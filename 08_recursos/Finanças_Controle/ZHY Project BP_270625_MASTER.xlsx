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Base Data" sheetId="2" r:id="rId5"/>
    <sheet state="visible" name="INPUT Costs --&gt;" sheetId="3" r:id="rId6"/>
    <sheet state="visible" name="Operational" sheetId="4" r:id="rId7"/>
    <sheet state="visible" name="Staff - Costs 2" sheetId="5" r:id="rId8"/>
    <sheet state="visible" name=" Staff" sheetId="6" r:id="rId9"/>
    <sheet state="visible" name="Adv &amp; Travel" sheetId="7" r:id="rId10"/>
    <sheet state="visible" name="Admin" sheetId="8" r:id="rId11"/>
    <sheet state="visible" name="Consulting" sheetId="9" r:id="rId12"/>
    <sheet state="visible" name="Input Revenues" sheetId="10" r:id="rId13"/>
    <sheet state="visible" name="Revenue Overview" sheetId="11" r:id="rId14"/>
    <sheet state="visible" name="Products_A" sheetId="12" r:id="rId15"/>
  </sheets>
  <definedNames>
    <definedName name="MONTH">'Base Data'!$B$15</definedName>
    <definedName name="IND_YEAR_1">'Base Data'!$E$8</definedName>
    <definedName name="YEAR_4">'Base Data'!$B$11</definedName>
    <definedName name="IND_YEAR_6">'Base Data'!$E$13</definedName>
    <definedName name="IND_YEAR_5">'Base Data'!$E$12</definedName>
    <definedName name="YEAR_1">'Base Data'!$B$8</definedName>
    <definedName name="IND_YEAR_2">'Base Data'!$E$9</definedName>
    <definedName name="SP_EXCEL_LINK_7353616ca9ac4baea658f5be2f83c964">OVERVIEW!$B$8:$BT$82</definedName>
    <definedName name="YEAR_3">'Base Data'!$B$10</definedName>
    <definedName name="COMP">'Base Data'!$B$5</definedName>
    <definedName name="YEAR_2">'Base Data'!$B$9</definedName>
    <definedName name="YEAR_6">'Base Data'!$B$13</definedName>
    <definedName name="IND_YEAR_3">'Base Data'!$E$10</definedName>
    <definedName name="SP_EXCEL_LINK_ffb73710684542a98aad81c21bf8ac33">#REF!</definedName>
    <definedName name="YEAR_5">'Base Data'!$B$12</definedName>
    <definedName name="YEAR">'Base Data'!$B$7</definedName>
    <definedName name="IND_YEAR_4">'Base Data'!$E$11</definedName>
  </definedNames>
  <calcPr/>
  <extLst>
    <ext uri="GoogleSheetsCustomDataVersion2">
      <go:sheetsCustomData xmlns:go="http://customooxmlschemas.google.com/" r:id="rId16" roundtripDataChecksum="q/z+9AsN3SpdxLPBp7/W6MmQ4ELC4WKHbr8cIkXcIs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S80">
      <text>
        <t xml:space="preserve">======
ID#AAABgy96MSg
Author    (2025-04-29 03:28:12)
Verwertung restl. Verlustvorträge - fiktiv da in Steuergruppe CC Real, hier jedoch noch nicht verwertet</t>
      </text>
    </comment>
    <comment authorId="0" ref="BE80">
      <text>
        <t xml:space="preserve">======
ID#AAABgy96MSc
Author    (2025-04-29 03:28:12)
Verrechnung mit Verlustvorträgen - fiktiv da in Steuergruppe CC Real jedoch Verluste noch nicht in CC Real verwertet</t>
      </text>
    </comment>
  </commentList>
  <extLst>
    <ext uri="GoogleSheetsCustomDataVersion2">
      <go:sheetsCustomData xmlns:go="http://customooxmlschemas.google.com/" r:id="rId1" roundtripDataSignature="AMtx7mh5nePMCWMWa6C7IDqR2XJp0YciHQ=="/>
    </ext>
  </extLst>
</comments>
</file>

<file path=xl/sharedStrings.xml><?xml version="1.0" encoding="utf-8"?>
<sst xmlns="http://schemas.openxmlformats.org/spreadsheetml/2006/main" count="2203" uniqueCount="193">
  <si>
    <t>Comp</t>
  </si>
  <si>
    <t>YEAR</t>
  </si>
  <si>
    <t>Version</t>
  </si>
  <si>
    <t>P&amp;L</t>
  </si>
  <si>
    <t>Month</t>
  </si>
  <si>
    <t>TOTAL</t>
  </si>
  <si>
    <t>Quarter</t>
  </si>
  <si>
    <t>Q1</t>
  </si>
  <si>
    <t>Q2</t>
  </si>
  <si>
    <t>Q3</t>
  </si>
  <si>
    <t>Q4</t>
  </si>
  <si>
    <t>Active Months</t>
  </si>
  <si>
    <t>in EUR</t>
  </si>
  <si>
    <t>Key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</si>
  <si>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</si>
  <si>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</si>
  <si>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</si>
  <si>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</si>
  <si>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</si>
  <si>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</si>
  <si>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</si>
  <si>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</si>
  <si>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</si>
  <si>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</si>
  <si>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</si>
  <si>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</si>
  <si>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INC1</t>
  </si>
  <si>
    <t>INC2</t>
  </si>
  <si>
    <t>INC3</t>
  </si>
  <si>
    <t>INC4</t>
  </si>
  <si>
    <t>INC5</t>
  </si>
  <si>
    <t>INC6</t>
  </si>
  <si>
    <t>INC7</t>
  </si>
  <si>
    <t>INC8</t>
  </si>
  <si>
    <t>INC9</t>
  </si>
  <si>
    <t>INC10</t>
  </si>
  <si>
    <t>TOTAL Revenues</t>
  </si>
  <si>
    <t>TOTAL REVENUES</t>
  </si>
  <si>
    <t>TO DO</t>
  </si>
  <si>
    <t>OPERATIONAL</t>
  </si>
  <si>
    <t>PERSONNEL</t>
  </si>
  <si>
    <t>ADVERTISING &amp; TRAVEL</t>
  </si>
  <si>
    <t>ADMINISTRATIVE</t>
  </si>
  <si>
    <t>CONSULTING</t>
  </si>
  <si>
    <t>TOTAL EXPENSES</t>
  </si>
  <si>
    <t>EBITDA</t>
  </si>
  <si>
    <t>Depreciation1</t>
  </si>
  <si>
    <t>D1</t>
  </si>
  <si>
    <t>Depreciation2</t>
  </si>
  <si>
    <t>D2</t>
  </si>
  <si>
    <t>DEPRECIATION</t>
  </si>
  <si>
    <t>EBIT</t>
  </si>
  <si>
    <t>CORPORATE INCOME TAX (Group Taxation)</t>
  </si>
  <si>
    <t>NET INCOME</t>
  </si>
  <si>
    <t>BASE DATA</t>
  </si>
  <si>
    <t>Company</t>
  </si>
  <si>
    <t>ZHY</t>
  </si>
  <si>
    <t>YEAR+1</t>
  </si>
  <si>
    <t>Indexation</t>
  </si>
  <si>
    <t>YEAR+2</t>
  </si>
  <si>
    <t>YEAR+3</t>
  </si>
  <si>
    <t>YEAR+4</t>
  </si>
  <si>
    <t>YEAR+5</t>
  </si>
  <si>
    <t>YEAR+6</t>
  </si>
  <si>
    <t>MONTH</t>
  </si>
  <si>
    <t>Inflation</t>
  </si>
  <si>
    <t>ADVERTISING &amp; TRAVEL EXPENSES</t>
  </si>
  <si>
    <t>Main Office</t>
  </si>
  <si>
    <t>O1</t>
  </si>
  <si>
    <t>Storage</t>
  </si>
  <si>
    <t>02a</t>
  </si>
  <si>
    <t>x</t>
  </si>
  <si>
    <t>O2b</t>
  </si>
  <si>
    <t>Cleaning</t>
  </si>
  <si>
    <t>O3</t>
  </si>
  <si>
    <t>Electricity</t>
  </si>
  <si>
    <t>O4</t>
  </si>
  <si>
    <t>Cooling / Heating</t>
  </si>
  <si>
    <t>O5</t>
  </si>
  <si>
    <t>Service Charges</t>
  </si>
  <si>
    <t>O6</t>
  </si>
  <si>
    <t>Managing Director</t>
  </si>
  <si>
    <t>P1</t>
  </si>
  <si>
    <t>Office Manager</t>
  </si>
  <si>
    <t>P2</t>
  </si>
  <si>
    <t>IT</t>
  </si>
  <si>
    <t>P3</t>
  </si>
  <si>
    <t>Production - Packaging</t>
  </si>
  <si>
    <t>P4</t>
  </si>
  <si>
    <t>Assistant</t>
  </si>
  <si>
    <t>P5</t>
  </si>
  <si>
    <t>P7</t>
  </si>
  <si>
    <t>per months</t>
  </si>
  <si>
    <t>August</t>
  </si>
  <si>
    <t xml:space="preserve">monthly payment </t>
  </si>
  <si>
    <t>13th months</t>
  </si>
  <si>
    <t>Vacation Bonus</t>
  </si>
  <si>
    <t>total Brutto Income</t>
  </si>
  <si>
    <t>additional payment</t>
  </si>
  <si>
    <t>Public Pension Fund (INSS)</t>
  </si>
  <si>
    <t>Severance Fund (FGTS)</t>
  </si>
  <si>
    <t>Education contribution, INCRA, SENAI, SESI and SEBRAE contributions</t>
  </si>
  <si>
    <t>Accident Insurance</t>
  </si>
  <si>
    <t>total costs for employer</t>
  </si>
  <si>
    <t>Production - packaging</t>
  </si>
  <si>
    <t>P6</t>
  </si>
  <si>
    <t>Order - Distribution</t>
  </si>
  <si>
    <t>Security</t>
  </si>
  <si>
    <t>Travel Expenses</t>
  </si>
  <si>
    <t>AT1</t>
  </si>
  <si>
    <t>Advertising - Consultant</t>
  </si>
  <si>
    <t>AT2</t>
  </si>
  <si>
    <t>Social Media</t>
  </si>
  <si>
    <t>AT3</t>
  </si>
  <si>
    <t>Advertising - Products</t>
  </si>
  <si>
    <t>AT4</t>
  </si>
  <si>
    <t>Office supplies</t>
  </si>
  <si>
    <t>A1</t>
  </si>
  <si>
    <t>Office &amp; Tech equipment</t>
  </si>
  <si>
    <t>A2</t>
  </si>
  <si>
    <t>Internet &amp; Phone</t>
  </si>
  <si>
    <t>A3</t>
  </si>
  <si>
    <t>bank fees</t>
  </si>
  <si>
    <t>A4</t>
  </si>
  <si>
    <t>intrest costs</t>
  </si>
  <si>
    <t>A5</t>
  </si>
  <si>
    <t>Software/Licences</t>
  </si>
  <si>
    <t>A6</t>
  </si>
  <si>
    <t>Capex - Maintenance</t>
  </si>
  <si>
    <t>A7</t>
  </si>
  <si>
    <t>A8</t>
  </si>
  <si>
    <t>Legal Fees  - Adriana</t>
  </si>
  <si>
    <t>C1</t>
  </si>
  <si>
    <t>Marketing - Rebu</t>
  </si>
  <si>
    <t>C2</t>
  </si>
  <si>
    <t>Accounting</t>
  </si>
  <si>
    <t>C3</t>
  </si>
  <si>
    <t>Tax Advisory Fees</t>
  </si>
  <si>
    <t>C4</t>
  </si>
  <si>
    <t>Web / IT / E-Commerce</t>
  </si>
  <si>
    <t>C5</t>
  </si>
  <si>
    <t>Architect</t>
  </si>
  <si>
    <t>C6</t>
  </si>
  <si>
    <t>Refurbishment</t>
  </si>
  <si>
    <t>C7</t>
  </si>
  <si>
    <t>Quality Manager / RT</t>
  </si>
  <si>
    <t>C8</t>
  </si>
  <si>
    <t>C9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</si>
  <si>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</si>
  <si>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</si>
  <si>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</si>
  <si>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</si>
  <si>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</si>
  <si>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</si>
  <si>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</si>
  <si>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</si>
  <si>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</si>
  <si>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</si>
  <si>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TOT1</t>
  </si>
  <si>
    <t>Product 1 - Juba de Leão - 60 Pills - 2 Months</t>
  </si>
  <si>
    <t xml:space="preserve">Purchase Price - internally </t>
  </si>
  <si>
    <t>30g</t>
  </si>
  <si>
    <t>kg</t>
  </si>
  <si>
    <t xml:space="preserve">Import </t>
  </si>
  <si>
    <t>gramm</t>
  </si>
  <si>
    <t>Import Tax</t>
  </si>
  <si>
    <t>Production &amp; Packaging</t>
  </si>
  <si>
    <t xml:space="preserve">Distribution </t>
  </si>
  <si>
    <t xml:space="preserve">Total Costs </t>
  </si>
  <si>
    <t>Revenues</t>
  </si>
  <si>
    <t xml:space="preserve">Sale Price </t>
  </si>
  <si>
    <t>Cross Margin / package</t>
  </si>
  <si>
    <t>Amount per month</t>
  </si>
  <si>
    <t>Total Revenues INC1</t>
  </si>
  <si>
    <t>Product 2 - Cordyceps - 60 Pills - 2 Months</t>
  </si>
  <si>
    <t>Total Revenues INC2</t>
  </si>
  <si>
    <t>Product 3 - Reishi - 60 Pills - 2 Months</t>
  </si>
  <si>
    <t>Total Revenues INC3</t>
  </si>
  <si>
    <t>Product 4 - Tremella - 60 Pills - 2 Months</t>
  </si>
  <si>
    <t>Total Revenues INC4</t>
  </si>
  <si>
    <t>Product 5 - Turkey Tail - 60 Pills - 2 Months</t>
  </si>
  <si>
    <t>Total Revenues INC5</t>
  </si>
  <si>
    <t>Product 6 - Tuber Fleeceflower - 60 Pills - 2 Months</t>
  </si>
  <si>
    <t>Total Revenues INC6</t>
  </si>
  <si>
    <t>Product 7 - Beleza - 60 Pills - 2 Months</t>
  </si>
  <si>
    <t>Total Revenues INC7</t>
  </si>
  <si>
    <t>Product 8 - Tonico - 2x60 Pills - 2 Months</t>
  </si>
  <si>
    <t>60g</t>
  </si>
  <si>
    <t>Total Revenues INC8</t>
  </si>
  <si>
    <t>Product 9 - Digestivo &amp; Restaurador - Powder - 2 Months</t>
  </si>
  <si>
    <t>Total Revenues INC9</t>
  </si>
  <si>
    <t>Product 10 - Sono - 60 Pills - 2 Months</t>
  </si>
  <si>
    <t>Total Revenues INC10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</si>
</sst>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20">
    <font>
      <sz val="11.0"/>
      <color theme="1"/>
      <name val="Mabry Pro"/>
      <scheme val="minor"/>
    </font>
    <font>
      <sz val="11.0"/>
      <color theme="1"/>
      <name val="Mabry Pro"/>
    </font>
    <font>
      <b/>
      <sz val="11.0"/>
      <color theme="1"/>
      <name val="Mabry Pro"/>
    </font>
    <font>
      <b/>
      <sz val="8.0"/>
      <color rgb="FFFF0000"/>
      <name val="Mabry Pro"/>
    </font>
    <font>
      <b/>
      <sz val="11.0"/>
      <color theme="0"/>
      <name val="Mabry Pro"/>
    </font>
    <font>
      <b/>
      <sz val="11.0"/>
      <color rgb="FFFF0000"/>
      <name val="Mabry Pro"/>
    </font>
    <font>
      <sz val="11.0"/>
      <color theme="0"/>
      <name val="Mabry Pro"/>
    </font>
    <font>
      <sz val="11.0"/>
      <color rgb="FFFF0000"/>
      <name val="Mabry Pro"/>
    </font>
    <font>
      <b/>
      <sz val="10.0"/>
      <color theme="0"/>
      <name val="Mabry Pro"/>
    </font>
    <font>
      <b/>
      <sz val="16.0"/>
      <color theme="0"/>
      <name val="Mabry Pro"/>
    </font>
    <font>
      <sz val="12.0"/>
      <color theme="0"/>
      <name val="Mabry Pro"/>
    </font>
    <font>
      <b/>
      <sz val="12.0"/>
      <color theme="0"/>
      <name val="Mabry Pro"/>
    </font>
    <font>
      <b/>
      <sz val="12.0"/>
      <color theme="1"/>
      <name val="Mabry Pro"/>
    </font>
    <font>
      <strike/>
      <sz val="11.0"/>
      <color rgb="FFFF0000"/>
      <name val="Mabry Pro"/>
    </font>
    <font>
      <color theme="1"/>
      <name val="Mabry Pro"/>
      <scheme val="minor"/>
    </font>
    <font>
      <sz val="11.0"/>
      <color theme="1"/>
      <name val="Arial"/>
    </font>
    <font>
      <color theme="1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DEFEF"/>
        <bgColor rgb="FFEDEFEF"/>
      </patternFill>
    </fill>
    <fill>
      <patternFill patternType="solid">
        <fgColor theme="4"/>
        <bgColor theme="4"/>
      </patternFill>
    </fill>
    <fill>
      <patternFill patternType="solid">
        <fgColor rgb="FFF0F4F8"/>
        <bgColor rgb="FFF0F4F8"/>
      </patternFill>
    </fill>
    <fill>
      <patternFill patternType="solid">
        <fgColor rgb="FFB7CDE0"/>
        <bgColor rgb="FFB7CDE0"/>
      </patternFill>
    </fill>
    <fill>
      <patternFill patternType="solid">
        <fgColor rgb="FF1AFF2B"/>
        <bgColor rgb="FF1AFF2B"/>
      </patternFill>
    </fill>
    <fill>
      <patternFill patternType="solid">
        <fgColor rgb="FFD92E1A"/>
        <bgColor rgb="FFD92E1A"/>
      </patternFill>
    </fill>
    <fill>
      <patternFill patternType="solid">
        <fgColor rgb="FFBACFE1"/>
        <bgColor rgb="FFBACFE1"/>
      </patternFill>
    </fill>
    <fill>
      <patternFill patternType="solid">
        <fgColor rgb="FF004488"/>
        <bgColor rgb="FF004488"/>
      </patternFill>
    </fill>
    <fill>
      <patternFill patternType="solid">
        <fgColor rgb="FFFFFF00"/>
        <bgColor rgb="FFFFFF00"/>
      </patternFill>
    </fill>
    <fill>
      <patternFill patternType="solid">
        <fgColor rgb="FF145A46"/>
        <bgColor rgb="FF145A46"/>
      </patternFill>
    </fill>
    <fill>
      <patternFill patternType="solid">
        <fgColor rgb="FF901E11"/>
        <bgColor rgb="FF901E11"/>
      </patternFill>
    </fill>
    <fill>
      <patternFill patternType="solid">
        <fgColor rgb="FF525C5C"/>
        <bgColor rgb="FF525C5C"/>
      </patternFill>
    </fill>
    <fill>
      <patternFill patternType="solid">
        <fgColor rgb="FF7030A0"/>
        <bgColor rgb="FF7030A0"/>
      </patternFill>
    </fill>
  </fills>
  <borders count="10">
    <border/>
    <border>
      <left/>
      <right/>
      <top/>
      <bottom/>
    </border>
    <border>
      <left style="thin">
        <color rgb="FF000000"/>
      </left>
      <right/>
      <top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wrapText="1"/>
    </xf>
    <xf borderId="0" fillId="0" fontId="2" numFmtId="0" xfId="0" applyFont="1"/>
    <xf borderId="1" fillId="2" fontId="4" numFmtId="0" xfId="0" applyBorder="1" applyFont="1"/>
    <xf borderId="0" fillId="0" fontId="4" numFmtId="0" xfId="0" applyFont="1"/>
    <xf borderId="1" fillId="4" fontId="4" numFmtId="0" xfId="0" applyBorder="1" applyFill="1" applyFont="1"/>
    <xf borderId="1" fillId="2" fontId="5" numFmtId="0" xfId="0" applyAlignment="1" applyBorder="1" applyFont="1">
      <alignment horizontal="center"/>
    </xf>
    <xf borderId="1" fillId="2" fontId="6" numFmtId="0" xfId="0" applyBorder="1" applyFont="1"/>
    <xf borderId="0" fillId="0" fontId="6" numFmtId="0" xfId="0" applyAlignment="1" applyFont="1">
      <alignment horizontal="center" vertical="center"/>
    </xf>
    <xf borderId="1" fillId="2" fontId="4" numFmtId="3" xfId="0" applyAlignment="1" applyBorder="1" applyFont="1" applyNumberFormat="1">
      <alignment horizontal="center" vertical="center"/>
    </xf>
    <xf borderId="1" fillId="2" fontId="1" numFmtId="3" xfId="0" applyBorder="1" applyFont="1" applyNumberFormat="1"/>
    <xf borderId="1" fillId="2" fontId="6" numFmtId="3" xfId="0" applyAlignment="1" applyBorder="1" applyFont="1" applyNumberFormat="1">
      <alignment horizontal="center" vertical="center"/>
    </xf>
    <xf borderId="1" fillId="2" fontId="5" numFmtId="3" xfId="0" applyAlignment="1" applyBorder="1" applyFont="1" applyNumberFormat="1">
      <alignment horizontal="center" vertical="center"/>
    </xf>
    <xf borderId="1" fillId="2" fontId="7" numFmtId="3" xfId="0" applyAlignment="1" applyBorder="1" applyFont="1" applyNumberFormat="1">
      <alignment horizontal="center" vertical="center"/>
    </xf>
    <xf borderId="1" fillId="2" fontId="2" numFmtId="0" xfId="0" applyBorder="1" applyFont="1"/>
    <xf borderId="1" fillId="4" fontId="8" numFmtId="0" xfId="0" applyBorder="1" applyFont="1"/>
    <xf borderId="1" fillId="4" fontId="9" numFmtId="0" xfId="0" applyBorder="1" applyFont="1"/>
    <xf borderId="1" fillId="4" fontId="4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horizontal="right" vertical="center"/>
    </xf>
    <xf borderId="1" fillId="5" fontId="2" numFmtId="4" xfId="0" applyBorder="1" applyFill="1" applyFont="1" applyNumberFormat="1"/>
    <xf borderId="1" fillId="2" fontId="1" numFmtId="4" xfId="0" applyBorder="1" applyFont="1" applyNumberFormat="1"/>
    <xf borderId="1" fillId="6" fontId="1" numFmtId="4" xfId="0" applyBorder="1" applyFill="1" applyFont="1" applyNumberFormat="1"/>
    <xf borderId="1" fillId="6" fontId="2" numFmtId="4" xfId="0" applyBorder="1" applyFont="1" applyNumberFormat="1"/>
    <xf borderId="0" fillId="0" fontId="2" numFmtId="4" xfId="0" applyFont="1" applyNumberFormat="1"/>
    <xf borderId="1" fillId="2" fontId="10" numFmtId="4" xfId="0" applyAlignment="1" applyBorder="1" applyFont="1" applyNumberFormat="1">
      <alignment vertical="center"/>
    </xf>
    <xf borderId="1" fillId="4" fontId="10" numFmtId="4" xfId="0" applyAlignment="1" applyBorder="1" applyFont="1" applyNumberFormat="1">
      <alignment vertical="center"/>
    </xf>
    <xf borderId="1" fillId="4" fontId="11" numFmtId="3" xfId="0" applyAlignment="1" applyBorder="1" applyFont="1" applyNumberFormat="1">
      <alignment vertical="center"/>
    </xf>
    <xf borderId="1" fillId="2" fontId="10" numFmtId="3" xfId="0" applyAlignment="1" applyBorder="1" applyFont="1" applyNumberFormat="1">
      <alignment vertical="center"/>
    </xf>
    <xf borderId="1" fillId="4" fontId="10" numFmtId="3" xfId="0" applyAlignment="1" applyBorder="1" applyFont="1" applyNumberFormat="1">
      <alignment vertical="center"/>
    </xf>
    <xf borderId="0" fillId="0" fontId="4" numFmtId="3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1" numFmtId="3" xfId="0" applyFont="1" applyNumberFormat="1"/>
    <xf borderId="1" fillId="2" fontId="7" numFmtId="4" xfId="0" applyBorder="1" applyFont="1" applyNumberFormat="1"/>
    <xf borderId="1" fillId="2" fontId="7" numFmtId="3" xfId="0" applyBorder="1" applyFont="1" applyNumberFormat="1"/>
    <xf borderId="0" fillId="0" fontId="7" numFmtId="4" xfId="0" applyAlignment="1" applyFont="1" applyNumberFormat="1">
      <alignment horizontal="center" vertical="center"/>
    </xf>
    <xf borderId="1" fillId="2" fontId="10" numFmtId="4" xfId="0" applyBorder="1" applyFont="1" applyNumberFormat="1"/>
    <xf borderId="1" fillId="4" fontId="10" numFmtId="4" xfId="0" applyBorder="1" applyFont="1" applyNumberFormat="1"/>
    <xf borderId="1" fillId="4" fontId="11" numFmtId="4" xfId="0" applyBorder="1" applyFont="1" applyNumberFormat="1"/>
    <xf borderId="1" fillId="2" fontId="10" numFmtId="3" xfId="0" applyBorder="1" applyFont="1" applyNumberFormat="1"/>
    <xf borderId="1" fillId="2" fontId="11" numFmtId="4" xfId="0" applyAlignment="1" applyBorder="1" applyFont="1" applyNumberFormat="1">
      <alignment vertical="center"/>
    </xf>
    <xf borderId="1" fillId="7" fontId="12" numFmtId="4" xfId="0" applyAlignment="1" applyBorder="1" applyFill="1" applyFont="1" applyNumberFormat="1">
      <alignment vertical="center"/>
    </xf>
    <xf borderId="1" fillId="2" fontId="11" numFmtId="4" xfId="0" applyBorder="1" applyFont="1" applyNumberFormat="1"/>
    <xf borderId="1" fillId="8" fontId="11" numFmtId="4" xfId="0" applyBorder="1" applyFill="1" applyFont="1" applyNumberFormat="1"/>
    <xf borderId="1" fillId="8" fontId="10" numFmtId="4" xfId="0" applyBorder="1" applyFont="1" applyNumberFormat="1"/>
    <xf borderId="1" fillId="2" fontId="13" numFmtId="4" xfId="0" applyBorder="1" applyFont="1" applyNumberFormat="1"/>
    <xf borderId="1" fillId="6" fontId="13" numFmtId="4" xfId="0" applyBorder="1" applyFont="1" applyNumberFormat="1"/>
    <xf borderId="1" fillId="2" fontId="13" numFmtId="3" xfId="0" applyBorder="1" applyFont="1" applyNumberFormat="1"/>
    <xf borderId="0" fillId="0" fontId="4" numFmtId="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1" fillId="4" fontId="11" numFmtId="4" xfId="0" applyAlignment="1" applyBorder="1" applyFont="1" applyNumberFormat="1">
      <alignment vertical="center"/>
    </xf>
    <xf borderId="1" fillId="2" fontId="11" numFmtId="3" xfId="0" applyAlignment="1" applyBorder="1" applyFont="1" applyNumberFormat="1">
      <alignment vertical="center"/>
    </xf>
    <xf borderId="0" fillId="0" fontId="2" numFmtId="3" xfId="0" applyFont="1" applyNumberFormat="1"/>
    <xf borderId="1" fillId="4" fontId="6" numFmtId="0" xfId="0" applyBorder="1" applyFont="1"/>
    <xf borderId="1" fillId="4" fontId="1" numFmtId="0" xfId="0" applyBorder="1" applyFont="1"/>
    <xf borderId="0" fillId="0" fontId="2" numFmtId="0" xfId="0" applyAlignment="1" applyFont="1">
      <alignment horizontal="right"/>
    </xf>
    <xf borderId="1" fillId="9" fontId="2" numFmtId="10" xfId="0" applyAlignment="1" applyBorder="1" applyFill="1" applyFont="1" applyNumberFormat="1">
      <alignment horizontal="left"/>
    </xf>
    <xf borderId="0" fillId="0" fontId="6" numFmtId="0" xfId="0" applyFont="1"/>
    <xf borderId="0" fillId="0" fontId="2" numFmtId="10" xfId="0" applyAlignment="1" applyFont="1" applyNumberFormat="1">
      <alignment horizontal="left"/>
    </xf>
    <xf borderId="0" fillId="0" fontId="1" numFmtId="0" xfId="0" applyAlignment="1" applyFont="1">
      <alignment vertical="center"/>
    </xf>
    <xf borderId="0" fillId="0" fontId="14" numFmtId="0" xfId="0" applyFont="1"/>
    <xf borderId="0" fillId="0" fontId="1" numFmtId="4" xfId="0" applyAlignment="1" applyFont="1" applyNumberFormat="1">
      <alignment horizontal="right"/>
    </xf>
    <xf borderId="0" fillId="0" fontId="2" numFmtId="4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5" numFmtId="0" xfId="0" applyAlignment="1" applyFont="1">
      <alignment readingOrder="0" vertical="center"/>
    </xf>
    <xf borderId="0" fillId="0" fontId="15" numFmtId="4" xfId="0" applyAlignment="1" applyFont="1" applyNumberFormat="1">
      <alignment readingOrder="0" vertical="center"/>
    </xf>
    <xf borderId="0" fillId="0" fontId="16" numFmtId="0" xfId="0" applyAlignment="1" applyFont="1">
      <alignment readingOrder="0"/>
    </xf>
    <xf borderId="0" fillId="0" fontId="14" numFmtId="2" xfId="0" applyFont="1" applyNumberFormat="1"/>
    <xf borderId="0" fillId="0" fontId="14" numFmtId="4" xfId="0" applyFont="1" applyNumberFormat="1"/>
    <xf borderId="1" fillId="10" fontId="4" numFmtId="0" xfId="0" applyAlignment="1" applyBorder="1" applyFill="1" applyFont="1">
      <alignment vertical="center"/>
    </xf>
    <xf borderId="1" fillId="10" fontId="4" numFmtId="0" xfId="0" applyAlignment="1" applyBorder="1" applyFont="1">
      <alignment horizontal="center" vertical="center"/>
    </xf>
    <xf borderId="2" fillId="10" fontId="4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4" fillId="11" fontId="1" numFmtId="3" xfId="0" applyAlignment="1" applyBorder="1" applyFill="1" applyFont="1" applyNumberFormat="1">
      <alignment horizontal="right" vertical="center"/>
    </xf>
    <xf borderId="5" fillId="0" fontId="1" numFmtId="3" xfId="0" applyAlignment="1" applyBorder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6" fillId="0" fontId="1" numFmtId="3" xfId="0" applyAlignment="1" applyBorder="1" applyFont="1" applyNumberFormat="1">
      <alignment horizontal="right" vertical="center"/>
    </xf>
    <xf borderId="0" fillId="0" fontId="1" numFmtId="10" xfId="0" applyAlignment="1" applyFont="1" applyNumberFormat="1">
      <alignment vertical="center"/>
    </xf>
    <xf borderId="7" fillId="0" fontId="1" numFmtId="3" xfId="0" applyAlignment="1" applyBorder="1" applyFont="1" applyNumberFormat="1">
      <alignment horizontal="right" vertical="center"/>
    </xf>
    <xf borderId="8" fillId="0" fontId="1" numFmtId="3" xfId="0" applyAlignment="1" applyBorder="1" applyFont="1" applyNumberFormat="1">
      <alignment horizontal="right" vertical="center"/>
    </xf>
    <xf borderId="3" fillId="0" fontId="2" numFmtId="0" xfId="0" applyAlignment="1" applyBorder="1" applyFont="1">
      <alignment vertical="center"/>
    </xf>
    <xf borderId="3" fillId="0" fontId="2" numFmtId="3" xfId="0" applyAlignment="1" applyBorder="1" applyFont="1" applyNumberFormat="1">
      <alignment horizontal="right" vertical="center"/>
    </xf>
    <xf borderId="6" fillId="0" fontId="2" numFmtId="3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vertical="center"/>
    </xf>
    <xf borderId="3" fillId="0" fontId="1" numFmtId="3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3" fillId="0" fontId="2" numFmtId="164" xfId="0" applyAlignment="1" applyBorder="1" applyFont="1" applyNumberFormat="1">
      <alignment vertical="center"/>
    </xf>
    <xf borderId="5" fillId="0" fontId="2" numFmtId="3" xfId="0" applyAlignment="1" applyBorder="1" applyFont="1" applyNumberFormat="1">
      <alignment horizontal="right" vertical="center"/>
    </xf>
    <xf borderId="0" fillId="0" fontId="2" numFmtId="3" xfId="0" applyAlignment="1" applyFont="1" applyNumberFormat="1">
      <alignment horizontal="right"/>
    </xf>
    <xf borderId="4" fillId="10" fontId="11" numFmtId="0" xfId="0" applyAlignment="1" applyBorder="1" applyFont="1">
      <alignment vertical="center"/>
    </xf>
    <xf borderId="4" fillId="10" fontId="11" numFmtId="3" xfId="0" applyAlignment="1" applyBorder="1" applyFont="1" applyNumberFormat="1">
      <alignment horizontal="right" vertical="center"/>
    </xf>
    <xf borderId="9" fillId="10" fontId="11" numFmtId="3" xfId="0" applyAlignment="1" applyBorder="1" applyFont="1" applyNumberFormat="1">
      <alignment horizontal="right" vertical="center"/>
    </xf>
    <xf borderId="1" fillId="12" fontId="4" numFmtId="0" xfId="0" applyAlignment="1" applyBorder="1" applyFill="1" applyFont="1">
      <alignment vertical="center"/>
    </xf>
    <xf borderId="1" fillId="12" fontId="4" numFmtId="0" xfId="0" applyAlignment="1" applyBorder="1" applyFont="1">
      <alignment horizontal="center" vertical="center"/>
    </xf>
    <xf borderId="2" fillId="12" fontId="4" numFmtId="0" xfId="0" applyAlignment="1" applyBorder="1" applyFont="1">
      <alignment horizontal="center" vertical="center"/>
    </xf>
    <xf borderId="1" fillId="12" fontId="17" numFmtId="0" xfId="0" applyAlignment="1" applyBorder="1" applyFont="1">
      <alignment horizontal="center" readingOrder="0" vertical="center"/>
    </xf>
    <xf borderId="4" fillId="11" fontId="15" numFmtId="3" xfId="0" applyAlignment="1" applyBorder="1" applyFont="1" applyNumberFormat="1">
      <alignment horizontal="right" readingOrder="0" vertical="center"/>
    </xf>
    <xf borderId="0" fillId="0" fontId="15" numFmtId="3" xfId="0" applyAlignment="1" applyFont="1" applyNumberFormat="1">
      <alignment horizontal="right" readingOrder="0" vertical="center"/>
    </xf>
    <xf borderId="4" fillId="12" fontId="11" numFmtId="0" xfId="0" applyAlignment="1" applyBorder="1" applyFont="1">
      <alignment vertical="center"/>
    </xf>
    <xf borderId="4" fillId="12" fontId="11" numFmtId="3" xfId="0" applyAlignment="1" applyBorder="1" applyFont="1" applyNumberFormat="1">
      <alignment horizontal="right" vertical="center"/>
    </xf>
    <xf borderId="9" fillId="12" fontId="11" numFmtId="3" xfId="0" applyAlignment="1" applyBorder="1" applyFont="1" applyNumberFormat="1">
      <alignment horizontal="right" vertical="center"/>
    </xf>
    <xf borderId="1" fillId="13" fontId="4" numFmtId="0" xfId="0" applyAlignment="1" applyBorder="1" applyFill="1" applyFont="1">
      <alignment vertical="center"/>
    </xf>
    <xf borderId="1" fillId="13" fontId="4" numFmtId="0" xfId="0" applyAlignment="1" applyBorder="1" applyFont="1">
      <alignment horizontal="center" vertical="center"/>
    </xf>
    <xf borderId="2" fillId="13" fontId="4" numFmtId="0" xfId="0" applyAlignment="1" applyBorder="1" applyFont="1">
      <alignment horizontal="center" vertical="center"/>
    </xf>
    <xf borderId="1" fillId="13" fontId="17" numFmtId="0" xfId="0" applyAlignment="1" applyBorder="1" applyFont="1">
      <alignment horizontal="center" readingOrder="0" vertical="center"/>
    </xf>
    <xf borderId="4" fillId="13" fontId="11" numFmtId="0" xfId="0" applyAlignment="1" applyBorder="1" applyFont="1">
      <alignment vertical="center"/>
    </xf>
    <xf borderId="4" fillId="13" fontId="11" numFmtId="3" xfId="0" applyAlignment="1" applyBorder="1" applyFont="1" applyNumberFormat="1">
      <alignment horizontal="right" vertical="center"/>
    </xf>
    <xf borderId="9" fillId="13" fontId="11" numFmtId="3" xfId="0" applyAlignment="1" applyBorder="1" applyFont="1" applyNumberFormat="1">
      <alignment horizontal="right" vertical="center"/>
    </xf>
    <xf borderId="1" fillId="14" fontId="4" numFmtId="0" xfId="0" applyAlignment="1" applyBorder="1" applyFill="1" applyFont="1">
      <alignment vertical="center"/>
    </xf>
    <xf borderId="1" fillId="14" fontId="4" numFmtId="0" xfId="0" applyAlignment="1" applyBorder="1" applyFont="1">
      <alignment horizontal="center" vertical="center"/>
    </xf>
    <xf borderId="2" fillId="14" fontId="4" numFmtId="0" xfId="0" applyAlignment="1" applyBorder="1" applyFont="1">
      <alignment horizontal="center" vertical="center"/>
    </xf>
    <xf borderId="1" fillId="14" fontId="17" numFmtId="0" xfId="0" applyAlignment="1" applyBorder="1" applyFont="1">
      <alignment horizontal="center" readingOrder="0" vertical="center"/>
    </xf>
    <xf borderId="4" fillId="14" fontId="11" numFmtId="0" xfId="0" applyAlignment="1" applyBorder="1" applyFont="1">
      <alignment vertical="center"/>
    </xf>
    <xf borderId="4" fillId="14" fontId="11" numFmtId="3" xfId="0" applyAlignment="1" applyBorder="1" applyFont="1" applyNumberFormat="1">
      <alignment horizontal="right" vertical="center"/>
    </xf>
    <xf borderId="9" fillId="14" fontId="11" numFmtId="3" xfId="0" applyAlignment="1" applyBorder="1" applyFont="1" applyNumberFormat="1">
      <alignment horizontal="right" vertical="center"/>
    </xf>
    <xf borderId="1" fillId="15" fontId="4" numFmtId="0" xfId="0" applyAlignment="1" applyBorder="1" applyFill="1" applyFont="1">
      <alignment vertical="center"/>
    </xf>
    <xf borderId="1" fillId="15" fontId="4" numFmtId="0" xfId="0" applyAlignment="1" applyBorder="1" applyFont="1">
      <alignment horizontal="center" vertical="center"/>
    </xf>
    <xf borderId="2" fillId="15" fontId="4" numFmtId="0" xfId="0" applyAlignment="1" applyBorder="1" applyFont="1">
      <alignment horizontal="center" vertical="center"/>
    </xf>
    <xf borderId="1" fillId="15" fontId="17" numFmtId="0" xfId="0" applyAlignment="1" applyBorder="1" applyFont="1">
      <alignment horizontal="center" readingOrder="0" vertical="center"/>
    </xf>
    <xf borderId="4" fillId="15" fontId="11" numFmtId="0" xfId="0" applyAlignment="1" applyBorder="1" applyFont="1">
      <alignment vertical="center"/>
    </xf>
    <xf borderId="4" fillId="15" fontId="11" numFmtId="3" xfId="0" applyAlignment="1" applyBorder="1" applyFont="1" applyNumberFormat="1">
      <alignment horizontal="right" vertical="center"/>
    </xf>
    <xf borderId="9" fillId="15" fontId="11" numFmtId="3" xfId="0" applyAlignment="1" applyBorder="1" applyFont="1" applyNumberFormat="1">
      <alignment horizontal="right" vertical="center"/>
    </xf>
    <xf borderId="0" fillId="0" fontId="1" numFmtId="17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1" fillId="15" fontId="17" numFmtId="0" xfId="0" applyAlignment="1" applyBorder="1" applyFont="1">
      <alignment readingOrder="0" vertical="center"/>
    </xf>
    <xf borderId="0" fillId="0" fontId="14" numFmtId="0" xfId="0" applyAlignment="1" applyFont="1">
      <alignment readingOrder="0"/>
    </xf>
    <xf borderId="0" fillId="0" fontId="1" numFmtId="4" xfId="0" applyAlignment="1" applyFont="1" applyNumberFormat="1">
      <alignment readingOrder="0" vertical="center"/>
    </xf>
    <xf borderId="1" fillId="10" fontId="17" numFmtId="0" xfId="0" applyAlignment="1" applyBorder="1" applyFont="1">
      <alignment readingOrder="0" vertical="center"/>
    </xf>
    <xf borderId="1" fillId="10" fontId="17" numFmtId="0" xfId="0" applyAlignment="1" applyBorder="1" applyFont="1">
      <alignment horizontal="center" readingOrder="0" vertical="center"/>
    </xf>
    <xf borderId="5" fillId="0" fontId="1" numFmtId="4" xfId="0" applyAlignment="1" applyBorder="1" applyFont="1" applyNumberFormat="1">
      <alignment horizontal="right" vertical="center"/>
    </xf>
    <xf borderId="1" fillId="11" fontId="1" numFmtId="9" xfId="0" applyAlignment="1" applyBorder="1" applyFont="1" applyNumberFormat="1">
      <alignment vertical="center"/>
    </xf>
    <xf borderId="6" fillId="0" fontId="1" numFmtId="4" xfId="0" applyAlignment="1" applyBorder="1" applyFont="1" applyNumberFormat="1">
      <alignment horizontal="right" vertical="center"/>
    </xf>
    <xf borderId="7" fillId="0" fontId="1" numFmtId="4" xfId="0" applyAlignment="1" applyBorder="1" applyFont="1" applyNumberFormat="1">
      <alignment horizontal="right" vertical="center"/>
    </xf>
    <xf borderId="6" fillId="0" fontId="2" numFmtId="4" xfId="0" applyAlignment="1" applyBorder="1" applyFont="1" applyNumberFormat="1">
      <alignment horizontal="right" vertical="center"/>
    </xf>
    <xf borderId="0" fillId="0" fontId="1" numFmtId="165" xfId="0" applyFont="1" applyNumberFormat="1"/>
    <xf borderId="5" fillId="0" fontId="15" numFmtId="4" xfId="0" applyAlignment="1" applyBorder="1" applyFont="1" applyNumberFormat="1">
      <alignment horizontal="right" readingOrder="0" vertical="center"/>
    </xf>
    <xf borderId="5" fillId="0" fontId="2" numFmtId="4" xfId="0" applyAlignment="1" applyBorder="1" applyFont="1" applyNumberFormat="1">
      <alignment horizontal="right" vertical="center"/>
    </xf>
    <xf borderId="6" fillId="0" fontId="15" numFmtId="3" xfId="0" applyAlignment="1" applyBorder="1" applyFont="1" applyNumberFormat="1">
      <alignment horizontal="right" readingOrder="0" vertical="center"/>
    </xf>
    <xf borderId="4" fillId="10" fontId="18" numFmtId="0" xfId="0" applyAlignment="1" applyBorder="1" applyFont="1">
      <alignment readingOrder="0" vertical="center"/>
    </xf>
    <xf borderId="5" fillId="0" fontId="19" numFmtId="4" xfId="0" applyAlignment="1" applyBorder="1" applyFont="1" applyNumberFormat="1">
      <alignment horizontal="right" readingOrder="0" vertical="center"/>
    </xf>
    <xf borderId="3" fillId="0" fontId="15" numFmtId="3" xfId="0" applyAlignment="1" applyBorder="1" applyFont="1" applyNumberFormat="1">
      <alignment horizontal="right" readingOrder="0" vertical="center"/>
    </xf>
    <xf borderId="5" fillId="0" fontId="15" numFmtId="4" xfId="0" applyAlignment="1" applyBorder="1" applyFont="1" applyNumberFormat="1">
      <alignment horizontal="right"/>
    </xf>
    <xf borderId="5" fillId="0" fontId="1" numFmtId="4" xfId="0" applyAlignment="1" applyBorder="1" applyFont="1" applyNumberFormat="1">
      <alignment horizontal="right"/>
    </xf>
    <xf borderId="5" fillId="0" fontId="19" numFmtId="4" xfId="0" applyAlignment="1" applyBorder="1" applyFont="1" applyNumberFormat="1">
      <alignment horizontal="right"/>
    </xf>
    <xf borderId="5" fillId="0" fontId="2" numFmtId="4" xfId="0" applyAlignment="1" applyBorder="1" applyFont="1" applyNumberFormat="1">
      <alignment horizontal="right"/>
    </xf>
    <xf borderId="6" fillId="0" fontId="1" numFmtId="4" xfId="0" applyBorder="1" applyFont="1" applyNumberFormat="1"/>
    <xf borderId="6" fillId="0" fontId="15" numFmtId="3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05F"/>
      </a:accent1>
      <a:accent2>
        <a:srgbClr val="5389B5"/>
      </a:accent2>
      <a:accent3>
        <a:srgbClr val="28B48C"/>
      </a:accent3>
      <a:accent4>
        <a:srgbClr val="78FF82"/>
      </a:accent4>
      <a:accent5>
        <a:srgbClr val="EB695A"/>
      </a:accent5>
      <a:accent6>
        <a:srgbClr val="AAB4B4"/>
      </a:accent6>
      <a:hlink>
        <a:srgbClr val="6F9BC1"/>
      </a:hlink>
      <a:folHlink>
        <a:srgbClr val="6F9BC1"/>
      </a:folHlink>
    </a:clrScheme>
    <a:fontScheme name="Sheets">
      <a:majorFont>
        <a:latin typeface="Mabry Pro"/>
        <a:ea typeface="Mabry Pro"/>
        <a:cs typeface="Mabry Pro"/>
      </a:majorFont>
      <a:minorFont>
        <a:latin typeface="Mabry Pro"/>
        <a:ea typeface="Mabry Pro"/>
        <a:cs typeface="Mabry Pr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98FF"/>
    <pageSetUpPr/>
  </sheetPr>
  <sheetViews>
    <sheetView showGridLines="0" workbookViewId="0">
      <pane xSplit="3.0" ySplit="11.0" topLeftCell="D12" activePane="bottomRight" state="frozen"/>
      <selection activeCell="D1" sqref="D1" pane="topRight"/>
      <selection activeCell="A12" sqref="A12" pane="bottomLeft"/>
      <selection activeCell="D12" sqref="D12" pane="bottomRight"/>
    </sheetView>
  </sheetViews>
  <sheetFormatPr customHeight="1" defaultColWidth="12.63" defaultRowHeight="15.0" outlineLevelCol="1" outlineLevelRow="1"/>
  <cols>
    <col customWidth="1" min="1" max="1" width="8.63"/>
    <col customWidth="1" min="2" max="2" width="24.75"/>
    <col customWidth="1" min="3" max="3" width="5.88"/>
    <col customWidth="1" hidden="1" min="4" max="15" width="12.13" outlineLevel="1"/>
    <col collapsed="1" customWidth="1" min="16" max="16" width="12.75"/>
    <col customWidth="1" min="17" max="17" width="1.13"/>
    <col customWidth="1" hidden="1" min="18" max="29" width="12.25" outlineLevel="1"/>
    <col collapsed="1" customWidth="1" min="30" max="30" width="12.88"/>
    <col customWidth="1" min="31" max="31" width="1.13"/>
    <col customWidth="1" hidden="1" min="32" max="43" width="12.13" outlineLevel="1"/>
    <col collapsed="1" customWidth="1" min="44" max="44" width="12.88"/>
    <col customWidth="1" min="45" max="45" width="1.13"/>
    <col customWidth="1" hidden="1" min="46" max="57" width="12.13" outlineLevel="1"/>
    <col collapsed="1" customWidth="1" min="58" max="58" width="12.88"/>
    <col customWidth="1" min="59" max="59" width="1.13"/>
    <col customWidth="1" hidden="1" min="60" max="71" width="12.13" outlineLevel="1"/>
    <col collapsed="1" customWidth="1" min="72" max="72" width="12.88"/>
    <col customWidth="1" min="73" max="73" width="1.13"/>
    <col customWidth="1" hidden="1" min="74" max="85" width="12.13" outlineLevel="1"/>
    <col collapsed="1" customWidth="1" min="86" max="86" width="12.75"/>
    <col customWidth="1" min="87" max="87" width="1.13"/>
    <col customWidth="1" min="88" max="106" width="8.63"/>
  </cols>
  <sheetData>
    <row r="1" ht="13.5" customHeight="1" outlineLevel="1">
      <c r="A1" s="1"/>
      <c r="B1" s="2" t="s">
        <v>0</v>
      </c>
      <c r="C1" s="2"/>
      <c r="D1" s="3" t="str">
        <f>+COMP</f>
        <v>ZHY</v>
      </c>
      <c r="E1" s="3" t="str">
        <f>+COMP</f>
        <v>ZHY</v>
      </c>
      <c r="F1" s="3" t="str">
        <f>+COMP</f>
        <v>ZHY</v>
      </c>
      <c r="G1" s="3" t="str">
        <f>+COMP</f>
        <v>ZHY</v>
      </c>
      <c r="H1" s="3" t="str">
        <f>+COMP</f>
        <v>ZHY</v>
      </c>
      <c r="I1" s="3" t="str">
        <f>+COMP</f>
        <v>ZHY</v>
      </c>
      <c r="J1" s="3" t="str">
        <f>+COMP</f>
        <v>ZHY</v>
      </c>
      <c r="K1" s="3" t="str">
        <f>+COMP</f>
        <v>ZHY</v>
      </c>
      <c r="L1" s="3" t="str">
        <f>+COMP</f>
        <v>ZHY</v>
      </c>
      <c r="M1" s="3" t="str">
        <f>+COMP</f>
        <v>ZHY</v>
      </c>
      <c r="N1" s="3" t="str">
        <f>+COMP</f>
        <v>ZHY</v>
      </c>
      <c r="O1" s="3" t="str">
        <f>+COMP</f>
        <v>ZHY</v>
      </c>
      <c r="P1" s="4" t="str">
        <f>+COMP</f>
        <v>ZHY</v>
      </c>
      <c r="Q1" s="1"/>
      <c r="R1" s="3" t="str">
        <f>+COMP</f>
        <v>ZHY</v>
      </c>
      <c r="S1" s="3" t="str">
        <f>+COMP</f>
        <v>ZHY</v>
      </c>
      <c r="T1" s="3" t="str">
        <f>+COMP</f>
        <v>ZHY</v>
      </c>
      <c r="U1" s="3" t="str">
        <f>+COMP</f>
        <v>ZHY</v>
      </c>
      <c r="V1" s="3" t="str">
        <f>+COMP</f>
        <v>ZHY</v>
      </c>
      <c r="W1" s="3" t="str">
        <f>+COMP</f>
        <v>ZHY</v>
      </c>
      <c r="X1" s="3" t="str">
        <f>+COMP</f>
        <v>ZHY</v>
      </c>
      <c r="Y1" s="3" t="str">
        <f>+COMP</f>
        <v>ZHY</v>
      </c>
      <c r="Z1" s="3" t="str">
        <f>+COMP</f>
        <v>ZHY</v>
      </c>
      <c r="AA1" s="3" t="str">
        <f>+COMP</f>
        <v>ZHY</v>
      </c>
      <c r="AB1" s="3" t="str">
        <f>+COMP</f>
        <v>ZHY</v>
      </c>
      <c r="AC1" s="3" t="str">
        <f>+COMP</f>
        <v>ZHY</v>
      </c>
      <c r="AD1" s="4" t="str">
        <f>+COMP</f>
        <v>ZHY</v>
      </c>
      <c r="AE1" s="1"/>
      <c r="AF1" s="3" t="str">
        <f>+COMP</f>
        <v>ZHY</v>
      </c>
      <c r="AG1" s="3" t="str">
        <f>+COMP</f>
        <v>ZHY</v>
      </c>
      <c r="AH1" s="3" t="str">
        <f>+COMP</f>
        <v>ZHY</v>
      </c>
      <c r="AI1" s="3" t="str">
        <f>+COMP</f>
        <v>ZHY</v>
      </c>
      <c r="AJ1" s="3" t="str">
        <f>+COMP</f>
        <v>ZHY</v>
      </c>
      <c r="AK1" s="3" t="str">
        <f>+COMP</f>
        <v>ZHY</v>
      </c>
      <c r="AL1" s="3" t="str">
        <f>+COMP</f>
        <v>ZHY</v>
      </c>
      <c r="AM1" s="3" t="str">
        <f>+COMP</f>
        <v>ZHY</v>
      </c>
      <c r="AN1" s="3" t="str">
        <f>+COMP</f>
        <v>ZHY</v>
      </c>
      <c r="AO1" s="3" t="str">
        <f>+COMP</f>
        <v>ZHY</v>
      </c>
      <c r="AP1" s="3" t="str">
        <f>+COMP</f>
        <v>ZHY</v>
      </c>
      <c r="AQ1" s="3" t="str">
        <f>+COMP</f>
        <v>ZHY</v>
      </c>
      <c r="AR1" s="4" t="str">
        <f>+COMP</f>
        <v>ZHY</v>
      </c>
      <c r="AS1" s="1"/>
      <c r="AT1" s="3" t="str">
        <f>+COMP</f>
        <v>ZHY</v>
      </c>
      <c r="AU1" s="3" t="str">
        <f>+COMP</f>
        <v>ZHY</v>
      </c>
      <c r="AV1" s="3" t="str">
        <f>+COMP</f>
        <v>ZHY</v>
      </c>
      <c r="AW1" s="3" t="str">
        <f>+COMP</f>
        <v>ZHY</v>
      </c>
      <c r="AX1" s="3" t="str">
        <f>+COMP</f>
        <v>ZHY</v>
      </c>
      <c r="AY1" s="3" t="str">
        <f>+COMP</f>
        <v>ZHY</v>
      </c>
      <c r="AZ1" s="3" t="str">
        <f>+COMP</f>
        <v>ZHY</v>
      </c>
      <c r="BA1" s="3" t="str">
        <f>+COMP</f>
        <v>ZHY</v>
      </c>
      <c r="BB1" s="3" t="str">
        <f>+COMP</f>
        <v>ZHY</v>
      </c>
      <c r="BC1" s="3" t="str">
        <f>+COMP</f>
        <v>ZHY</v>
      </c>
      <c r="BD1" s="3" t="str">
        <f>+COMP</f>
        <v>ZHY</v>
      </c>
      <c r="BE1" s="3" t="str">
        <f>+COMP</f>
        <v>ZHY</v>
      </c>
      <c r="BF1" s="4" t="str">
        <f>+COMP</f>
        <v>ZHY</v>
      </c>
      <c r="BG1" s="1"/>
      <c r="BH1" s="3" t="str">
        <f>+COMP</f>
        <v>ZHY</v>
      </c>
      <c r="BI1" s="3" t="str">
        <f>+COMP</f>
        <v>ZHY</v>
      </c>
      <c r="BJ1" s="3" t="str">
        <f>+COMP</f>
        <v>ZHY</v>
      </c>
      <c r="BK1" s="3" t="str">
        <f>+COMP</f>
        <v>ZHY</v>
      </c>
      <c r="BL1" s="3" t="str">
        <f>+COMP</f>
        <v>ZHY</v>
      </c>
      <c r="BM1" s="3" t="str">
        <f>+COMP</f>
        <v>ZHY</v>
      </c>
      <c r="BN1" s="3" t="str">
        <f>+COMP</f>
        <v>ZHY</v>
      </c>
      <c r="BO1" s="3" t="str">
        <f>+COMP</f>
        <v>ZHY</v>
      </c>
      <c r="BP1" s="3" t="str">
        <f>+COMP</f>
        <v>ZHY</v>
      </c>
      <c r="BQ1" s="3" t="str">
        <f>+COMP</f>
        <v>ZHY</v>
      </c>
      <c r="BR1" s="3" t="str">
        <f>+COMP</f>
        <v>ZHY</v>
      </c>
      <c r="BS1" s="3" t="str">
        <f>+COMP</f>
        <v>ZHY</v>
      </c>
      <c r="BT1" s="4" t="str">
        <f>+COMP</f>
        <v>ZHY</v>
      </c>
      <c r="BU1" s="1"/>
      <c r="BV1" s="3" t="str">
        <f>+COMP</f>
        <v>ZHY</v>
      </c>
      <c r="BW1" s="3" t="str">
        <f>+COMP</f>
        <v>ZHY</v>
      </c>
      <c r="BX1" s="3" t="str">
        <f>+COMP</f>
        <v>ZHY</v>
      </c>
      <c r="BY1" s="3" t="str">
        <f>+COMP</f>
        <v>ZHY</v>
      </c>
      <c r="BZ1" s="3" t="str">
        <f>+COMP</f>
        <v>ZHY</v>
      </c>
      <c r="CA1" s="3" t="str">
        <f>+COMP</f>
        <v>ZHY</v>
      </c>
      <c r="CB1" s="3" t="str">
        <f>+COMP</f>
        <v>ZHY</v>
      </c>
      <c r="CC1" s="3" t="str">
        <f>+COMP</f>
        <v>ZHY</v>
      </c>
      <c r="CD1" s="3" t="str">
        <f>+COMP</f>
        <v>ZHY</v>
      </c>
      <c r="CE1" s="3" t="str">
        <f>+COMP</f>
        <v>ZHY</v>
      </c>
      <c r="CF1" s="3" t="str">
        <f>+COMP</f>
        <v>ZHY</v>
      </c>
      <c r="CG1" s="3" t="str">
        <f>+COMP</f>
        <v>ZHY</v>
      </c>
      <c r="CH1" s="4" t="str">
        <f>+COMP</f>
        <v>ZHY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ht="13.5" customHeight="1" outlineLevel="1">
      <c r="A2" s="1"/>
      <c r="B2" s="2" t="s">
        <v>1</v>
      </c>
      <c r="C2" s="2"/>
      <c r="D2" s="3">
        <f>+YEAR</f>
        <v>2025</v>
      </c>
      <c r="E2" s="3">
        <f>+YEAR</f>
        <v>2025</v>
      </c>
      <c r="F2" s="3">
        <f>+YEAR</f>
        <v>2025</v>
      </c>
      <c r="G2" s="3">
        <f>+YEAR</f>
        <v>2025</v>
      </c>
      <c r="H2" s="3">
        <f>+YEAR</f>
        <v>2025</v>
      </c>
      <c r="I2" s="3">
        <f>+YEAR</f>
        <v>2025</v>
      </c>
      <c r="J2" s="3">
        <f>+YEAR</f>
        <v>2025</v>
      </c>
      <c r="K2" s="3">
        <f>+YEAR</f>
        <v>2025</v>
      </c>
      <c r="L2" s="3">
        <f>+YEAR</f>
        <v>2025</v>
      </c>
      <c r="M2" s="3">
        <f>+YEAR</f>
        <v>2025</v>
      </c>
      <c r="N2" s="3">
        <f>+YEAR</f>
        <v>2025</v>
      </c>
      <c r="O2" s="3">
        <f>+YEAR</f>
        <v>2025</v>
      </c>
      <c r="P2" s="4">
        <f>+YEAR</f>
        <v>2025</v>
      </c>
      <c r="Q2" s="1"/>
      <c r="R2" s="3">
        <f>+YEAR_1</f>
        <v>2026</v>
      </c>
      <c r="S2" s="3">
        <f>+YEAR_1</f>
        <v>2026</v>
      </c>
      <c r="T2" s="3">
        <f>+YEAR_1</f>
        <v>2026</v>
      </c>
      <c r="U2" s="3">
        <f>+YEAR_1</f>
        <v>2026</v>
      </c>
      <c r="V2" s="3">
        <f>+YEAR_1</f>
        <v>2026</v>
      </c>
      <c r="W2" s="3">
        <f>+YEAR_1</f>
        <v>2026</v>
      </c>
      <c r="X2" s="3">
        <f>+YEAR_1</f>
        <v>2026</v>
      </c>
      <c r="Y2" s="3">
        <f>+YEAR_1</f>
        <v>2026</v>
      </c>
      <c r="Z2" s="3">
        <f>+YEAR_1</f>
        <v>2026</v>
      </c>
      <c r="AA2" s="3">
        <f>+YEAR_1</f>
        <v>2026</v>
      </c>
      <c r="AB2" s="3">
        <f>+YEAR_1</f>
        <v>2026</v>
      </c>
      <c r="AC2" s="3">
        <f>+YEAR_1</f>
        <v>2026</v>
      </c>
      <c r="AD2" s="4">
        <f>+YEAR_1</f>
        <v>2026</v>
      </c>
      <c r="AE2" s="1"/>
      <c r="AF2" s="3">
        <f>+YEAR_2</f>
        <v>2027</v>
      </c>
      <c r="AG2" s="3">
        <f>+YEAR_2</f>
        <v>2027</v>
      </c>
      <c r="AH2" s="3">
        <f>+YEAR_2</f>
        <v>2027</v>
      </c>
      <c r="AI2" s="3">
        <f>+YEAR_2</f>
        <v>2027</v>
      </c>
      <c r="AJ2" s="3">
        <f>+YEAR_2</f>
        <v>2027</v>
      </c>
      <c r="AK2" s="3">
        <f>+YEAR_2</f>
        <v>2027</v>
      </c>
      <c r="AL2" s="3">
        <f>+YEAR_2</f>
        <v>2027</v>
      </c>
      <c r="AM2" s="3">
        <f>+YEAR_2</f>
        <v>2027</v>
      </c>
      <c r="AN2" s="3">
        <f>+YEAR_2</f>
        <v>2027</v>
      </c>
      <c r="AO2" s="3">
        <f>+YEAR_2</f>
        <v>2027</v>
      </c>
      <c r="AP2" s="3">
        <f>+YEAR_2</f>
        <v>2027</v>
      </c>
      <c r="AQ2" s="3">
        <f>+YEAR_2</f>
        <v>2027</v>
      </c>
      <c r="AR2" s="4">
        <f>+YEAR_2</f>
        <v>2027</v>
      </c>
      <c r="AS2" s="1"/>
      <c r="AT2" s="3">
        <f>+YEAR_3</f>
        <v>2028</v>
      </c>
      <c r="AU2" s="3">
        <f>+YEAR_3</f>
        <v>2028</v>
      </c>
      <c r="AV2" s="3">
        <f>+YEAR_3</f>
        <v>2028</v>
      </c>
      <c r="AW2" s="3">
        <f>+YEAR_3</f>
        <v>2028</v>
      </c>
      <c r="AX2" s="3">
        <f>+YEAR_3</f>
        <v>2028</v>
      </c>
      <c r="AY2" s="3">
        <f>+YEAR_3</f>
        <v>2028</v>
      </c>
      <c r="AZ2" s="3">
        <f>+YEAR_3</f>
        <v>2028</v>
      </c>
      <c r="BA2" s="3">
        <f>+YEAR_3</f>
        <v>2028</v>
      </c>
      <c r="BB2" s="3">
        <f>+YEAR_3</f>
        <v>2028</v>
      </c>
      <c r="BC2" s="3">
        <f>+YEAR_3</f>
        <v>2028</v>
      </c>
      <c r="BD2" s="3">
        <f>+YEAR_3</f>
        <v>2028</v>
      </c>
      <c r="BE2" s="3">
        <f>+YEAR_3</f>
        <v>2028</v>
      </c>
      <c r="BF2" s="4">
        <f>+YEAR_3</f>
        <v>2028</v>
      </c>
      <c r="BG2" s="1"/>
      <c r="BH2" s="3">
        <f>+YEAR_4</f>
        <v>2029</v>
      </c>
      <c r="BI2" s="3">
        <f>+YEAR_4</f>
        <v>2029</v>
      </c>
      <c r="BJ2" s="3">
        <f>+YEAR_4</f>
        <v>2029</v>
      </c>
      <c r="BK2" s="3">
        <f>+YEAR_4</f>
        <v>2029</v>
      </c>
      <c r="BL2" s="3">
        <f>+YEAR_4</f>
        <v>2029</v>
      </c>
      <c r="BM2" s="3">
        <f>+YEAR_4</f>
        <v>2029</v>
      </c>
      <c r="BN2" s="3">
        <f>+YEAR_4</f>
        <v>2029</v>
      </c>
      <c r="BO2" s="3">
        <f>+YEAR_4</f>
        <v>2029</v>
      </c>
      <c r="BP2" s="3">
        <f>+YEAR_4</f>
        <v>2029</v>
      </c>
      <c r="BQ2" s="3">
        <f>+YEAR_4</f>
        <v>2029</v>
      </c>
      <c r="BR2" s="3">
        <f>+YEAR_4</f>
        <v>2029</v>
      </c>
      <c r="BS2" s="3">
        <f>+YEAR_4</f>
        <v>2029</v>
      </c>
      <c r="BT2" s="4">
        <f>+YEAR_4</f>
        <v>2029</v>
      </c>
      <c r="BU2" s="1"/>
      <c r="BV2" s="3">
        <f>+YEAR_5</f>
        <v>2030</v>
      </c>
      <c r="BW2" s="3">
        <f>+YEAR_5</f>
        <v>2030</v>
      </c>
      <c r="BX2" s="3">
        <f>+YEAR_5</f>
        <v>2030</v>
      </c>
      <c r="BY2" s="3">
        <f>+YEAR_5</f>
        <v>2030</v>
      </c>
      <c r="BZ2" s="3">
        <f>+YEAR_5</f>
        <v>2030</v>
      </c>
      <c r="CA2" s="3">
        <f>+YEAR_5</f>
        <v>2030</v>
      </c>
      <c r="CB2" s="3">
        <f>+YEAR_5</f>
        <v>2030</v>
      </c>
      <c r="CC2" s="3">
        <f>+YEAR_5</f>
        <v>2030</v>
      </c>
      <c r="CD2" s="3">
        <f>+YEAR_5</f>
        <v>2030</v>
      </c>
      <c r="CE2" s="3">
        <f>+YEAR_5</f>
        <v>2030</v>
      </c>
      <c r="CF2" s="3">
        <f>+YEAR_5</f>
        <v>2030</v>
      </c>
      <c r="CG2" s="3">
        <f>+YEAR_5</f>
        <v>2030</v>
      </c>
      <c r="CH2" s="4">
        <f>+YEAR_5</f>
        <v>2030</v>
      </c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ht="13.5" customHeight="1" outlineLevel="1">
      <c r="A3" s="1"/>
      <c r="B3" s="2" t="s">
        <v>2</v>
      </c>
      <c r="C3" s="2"/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4" t="s">
        <v>3</v>
      </c>
      <c r="Q3" s="1"/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4" t="s">
        <v>3</v>
      </c>
      <c r="AE3" s="1"/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4" t="s">
        <v>3</v>
      </c>
      <c r="AS3" s="1"/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4" t="s">
        <v>3</v>
      </c>
      <c r="BG3" s="1"/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4" t="s">
        <v>3</v>
      </c>
      <c r="BU3" s="1"/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4" t="s">
        <v>3</v>
      </c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ht="13.5" customHeight="1" outlineLevel="1">
      <c r="A4" s="1"/>
      <c r="B4" s="2" t="s">
        <v>4</v>
      </c>
      <c r="C4" s="2"/>
      <c r="D4" s="3">
        <v>1.0</v>
      </c>
      <c r="E4" s="3">
        <f t="shared" ref="E4:O4" si="1">+D4+1</f>
        <v>2</v>
      </c>
      <c r="F4" s="3">
        <f t="shared" si="1"/>
        <v>3</v>
      </c>
      <c r="G4" s="3">
        <f t="shared" si="1"/>
        <v>4</v>
      </c>
      <c r="H4" s="3">
        <f t="shared" si="1"/>
        <v>5</v>
      </c>
      <c r="I4" s="3">
        <f t="shared" si="1"/>
        <v>6</v>
      </c>
      <c r="J4" s="3">
        <f t="shared" si="1"/>
        <v>7</v>
      </c>
      <c r="K4" s="3">
        <f t="shared" si="1"/>
        <v>8</v>
      </c>
      <c r="L4" s="3">
        <f t="shared" si="1"/>
        <v>9</v>
      </c>
      <c r="M4" s="3">
        <f t="shared" si="1"/>
        <v>10</v>
      </c>
      <c r="N4" s="3">
        <f t="shared" si="1"/>
        <v>11</v>
      </c>
      <c r="O4" s="3">
        <f t="shared" si="1"/>
        <v>12</v>
      </c>
      <c r="P4" s="4" t="s">
        <v>5</v>
      </c>
      <c r="Q4" s="1"/>
      <c r="R4" s="3">
        <v>1.0</v>
      </c>
      <c r="S4" s="3">
        <f t="shared" ref="S4:AC4" si="2">+R4+1</f>
        <v>2</v>
      </c>
      <c r="T4" s="3">
        <f t="shared" si="2"/>
        <v>3</v>
      </c>
      <c r="U4" s="3">
        <f t="shared" si="2"/>
        <v>4</v>
      </c>
      <c r="V4" s="3">
        <f t="shared" si="2"/>
        <v>5</v>
      </c>
      <c r="W4" s="3">
        <f t="shared" si="2"/>
        <v>6</v>
      </c>
      <c r="X4" s="3">
        <f t="shared" si="2"/>
        <v>7</v>
      </c>
      <c r="Y4" s="3">
        <f t="shared" si="2"/>
        <v>8</v>
      </c>
      <c r="Z4" s="3">
        <f t="shared" si="2"/>
        <v>9</v>
      </c>
      <c r="AA4" s="3">
        <f t="shared" si="2"/>
        <v>10</v>
      </c>
      <c r="AB4" s="3">
        <f t="shared" si="2"/>
        <v>11</v>
      </c>
      <c r="AC4" s="3">
        <f t="shared" si="2"/>
        <v>12</v>
      </c>
      <c r="AD4" s="4" t="s">
        <v>5</v>
      </c>
      <c r="AE4" s="1"/>
      <c r="AF4" s="3">
        <v>1.0</v>
      </c>
      <c r="AG4" s="3">
        <f t="shared" ref="AG4:AQ4" si="3">+AF4+1</f>
        <v>2</v>
      </c>
      <c r="AH4" s="3">
        <f t="shared" si="3"/>
        <v>3</v>
      </c>
      <c r="AI4" s="3">
        <f t="shared" si="3"/>
        <v>4</v>
      </c>
      <c r="AJ4" s="3">
        <f t="shared" si="3"/>
        <v>5</v>
      </c>
      <c r="AK4" s="3">
        <f t="shared" si="3"/>
        <v>6</v>
      </c>
      <c r="AL4" s="3">
        <f t="shared" si="3"/>
        <v>7</v>
      </c>
      <c r="AM4" s="3">
        <f t="shared" si="3"/>
        <v>8</v>
      </c>
      <c r="AN4" s="3">
        <f t="shared" si="3"/>
        <v>9</v>
      </c>
      <c r="AO4" s="3">
        <f t="shared" si="3"/>
        <v>10</v>
      </c>
      <c r="AP4" s="3">
        <f t="shared" si="3"/>
        <v>11</v>
      </c>
      <c r="AQ4" s="3">
        <f t="shared" si="3"/>
        <v>12</v>
      </c>
      <c r="AR4" s="4" t="s">
        <v>5</v>
      </c>
      <c r="AS4" s="1"/>
      <c r="AT4" s="3">
        <v>1.0</v>
      </c>
      <c r="AU4" s="3">
        <f t="shared" ref="AU4:BE4" si="4">+AT4+1</f>
        <v>2</v>
      </c>
      <c r="AV4" s="3">
        <f t="shared" si="4"/>
        <v>3</v>
      </c>
      <c r="AW4" s="3">
        <f t="shared" si="4"/>
        <v>4</v>
      </c>
      <c r="AX4" s="3">
        <f t="shared" si="4"/>
        <v>5</v>
      </c>
      <c r="AY4" s="3">
        <f t="shared" si="4"/>
        <v>6</v>
      </c>
      <c r="AZ4" s="3">
        <f t="shared" si="4"/>
        <v>7</v>
      </c>
      <c r="BA4" s="3">
        <f t="shared" si="4"/>
        <v>8</v>
      </c>
      <c r="BB4" s="3">
        <f t="shared" si="4"/>
        <v>9</v>
      </c>
      <c r="BC4" s="3">
        <f t="shared" si="4"/>
        <v>10</v>
      </c>
      <c r="BD4" s="3">
        <f t="shared" si="4"/>
        <v>11</v>
      </c>
      <c r="BE4" s="3">
        <f t="shared" si="4"/>
        <v>12</v>
      </c>
      <c r="BF4" s="4" t="s">
        <v>5</v>
      </c>
      <c r="BG4" s="1"/>
      <c r="BH4" s="3">
        <v>1.0</v>
      </c>
      <c r="BI4" s="3">
        <f t="shared" ref="BI4:BS4" si="5">+BH4+1</f>
        <v>2</v>
      </c>
      <c r="BJ4" s="3">
        <f t="shared" si="5"/>
        <v>3</v>
      </c>
      <c r="BK4" s="3">
        <f t="shared" si="5"/>
        <v>4</v>
      </c>
      <c r="BL4" s="3">
        <f t="shared" si="5"/>
        <v>5</v>
      </c>
      <c r="BM4" s="3">
        <f t="shared" si="5"/>
        <v>6</v>
      </c>
      <c r="BN4" s="3">
        <f t="shared" si="5"/>
        <v>7</v>
      </c>
      <c r="BO4" s="3">
        <f t="shared" si="5"/>
        <v>8</v>
      </c>
      <c r="BP4" s="3">
        <f t="shared" si="5"/>
        <v>9</v>
      </c>
      <c r="BQ4" s="3">
        <f t="shared" si="5"/>
        <v>10</v>
      </c>
      <c r="BR4" s="3">
        <f t="shared" si="5"/>
        <v>11</v>
      </c>
      <c r="BS4" s="3">
        <f t="shared" si="5"/>
        <v>12</v>
      </c>
      <c r="BT4" s="4" t="s">
        <v>5</v>
      </c>
      <c r="BU4" s="1"/>
      <c r="BV4" s="3">
        <v>1.0</v>
      </c>
      <c r="BW4" s="3">
        <f t="shared" ref="BW4:CG4" si="6">+BV4+1</f>
        <v>2</v>
      </c>
      <c r="BX4" s="3">
        <f t="shared" si="6"/>
        <v>3</v>
      </c>
      <c r="BY4" s="3">
        <f t="shared" si="6"/>
        <v>4</v>
      </c>
      <c r="BZ4" s="3">
        <f t="shared" si="6"/>
        <v>5</v>
      </c>
      <c r="CA4" s="3">
        <f t="shared" si="6"/>
        <v>6</v>
      </c>
      <c r="CB4" s="3">
        <f t="shared" si="6"/>
        <v>7</v>
      </c>
      <c r="CC4" s="3">
        <f t="shared" si="6"/>
        <v>8</v>
      </c>
      <c r="CD4" s="3">
        <f t="shared" si="6"/>
        <v>9</v>
      </c>
      <c r="CE4" s="3">
        <f t="shared" si="6"/>
        <v>10</v>
      </c>
      <c r="CF4" s="3">
        <f t="shared" si="6"/>
        <v>11</v>
      </c>
      <c r="CG4" s="3">
        <f t="shared" si="6"/>
        <v>12</v>
      </c>
      <c r="CH4" s="4" t="s">
        <v>5</v>
      </c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ht="13.5" customHeight="1" outlineLevel="1">
      <c r="A5" s="1"/>
      <c r="B5" s="2" t="s">
        <v>6</v>
      </c>
      <c r="C5" s="2"/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9</v>
      </c>
      <c r="K5" s="3" t="s">
        <v>9</v>
      </c>
      <c r="L5" s="3" t="s">
        <v>9</v>
      </c>
      <c r="M5" s="3" t="s">
        <v>10</v>
      </c>
      <c r="N5" s="3" t="s">
        <v>10</v>
      </c>
      <c r="O5" s="3" t="s">
        <v>10</v>
      </c>
      <c r="P5" s="4"/>
      <c r="Q5" s="1"/>
      <c r="R5" s="3" t="s">
        <v>7</v>
      </c>
      <c r="S5" s="3" t="s">
        <v>7</v>
      </c>
      <c r="T5" s="3" t="s">
        <v>7</v>
      </c>
      <c r="U5" s="3" t="s">
        <v>8</v>
      </c>
      <c r="V5" s="3" t="s">
        <v>8</v>
      </c>
      <c r="W5" s="3" t="s">
        <v>8</v>
      </c>
      <c r="X5" s="3" t="s">
        <v>9</v>
      </c>
      <c r="Y5" s="3" t="s">
        <v>9</v>
      </c>
      <c r="Z5" s="3" t="s">
        <v>9</v>
      </c>
      <c r="AA5" s="3" t="s">
        <v>10</v>
      </c>
      <c r="AB5" s="3" t="s">
        <v>10</v>
      </c>
      <c r="AC5" s="3" t="s">
        <v>10</v>
      </c>
      <c r="AD5" s="4"/>
      <c r="AE5" s="1"/>
      <c r="AF5" s="3" t="s">
        <v>7</v>
      </c>
      <c r="AG5" s="3" t="s">
        <v>7</v>
      </c>
      <c r="AH5" s="3" t="s">
        <v>7</v>
      </c>
      <c r="AI5" s="3" t="s">
        <v>8</v>
      </c>
      <c r="AJ5" s="3" t="s">
        <v>8</v>
      </c>
      <c r="AK5" s="3" t="s">
        <v>8</v>
      </c>
      <c r="AL5" s="3" t="s">
        <v>9</v>
      </c>
      <c r="AM5" s="3" t="s">
        <v>9</v>
      </c>
      <c r="AN5" s="3" t="s">
        <v>9</v>
      </c>
      <c r="AO5" s="3" t="s">
        <v>10</v>
      </c>
      <c r="AP5" s="3" t="s">
        <v>10</v>
      </c>
      <c r="AQ5" s="3" t="s">
        <v>10</v>
      </c>
      <c r="AR5" s="4"/>
      <c r="AS5" s="1"/>
      <c r="AT5" s="3" t="s">
        <v>7</v>
      </c>
      <c r="AU5" s="3" t="s">
        <v>7</v>
      </c>
      <c r="AV5" s="3" t="s">
        <v>7</v>
      </c>
      <c r="AW5" s="3" t="s">
        <v>8</v>
      </c>
      <c r="AX5" s="3" t="s">
        <v>8</v>
      </c>
      <c r="AY5" s="3" t="s">
        <v>8</v>
      </c>
      <c r="AZ5" s="3" t="s">
        <v>9</v>
      </c>
      <c r="BA5" s="3" t="s">
        <v>9</v>
      </c>
      <c r="BB5" s="3" t="s">
        <v>9</v>
      </c>
      <c r="BC5" s="3" t="s">
        <v>10</v>
      </c>
      <c r="BD5" s="3" t="s">
        <v>10</v>
      </c>
      <c r="BE5" s="3" t="s">
        <v>10</v>
      </c>
      <c r="BF5" s="4"/>
      <c r="BG5" s="1"/>
      <c r="BH5" s="3" t="s">
        <v>7</v>
      </c>
      <c r="BI5" s="3" t="s">
        <v>7</v>
      </c>
      <c r="BJ5" s="3" t="s">
        <v>7</v>
      </c>
      <c r="BK5" s="3" t="s">
        <v>8</v>
      </c>
      <c r="BL5" s="3" t="s">
        <v>8</v>
      </c>
      <c r="BM5" s="3" t="s">
        <v>8</v>
      </c>
      <c r="BN5" s="3" t="s">
        <v>9</v>
      </c>
      <c r="BO5" s="3" t="s">
        <v>9</v>
      </c>
      <c r="BP5" s="3" t="s">
        <v>9</v>
      </c>
      <c r="BQ5" s="3" t="s">
        <v>10</v>
      </c>
      <c r="BR5" s="3" t="s">
        <v>10</v>
      </c>
      <c r="BS5" s="3" t="s">
        <v>10</v>
      </c>
      <c r="BT5" s="4"/>
      <c r="BU5" s="1"/>
      <c r="BV5" s="3" t="s">
        <v>7</v>
      </c>
      <c r="BW5" s="3" t="s">
        <v>7</v>
      </c>
      <c r="BX5" s="3" t="s">
        <v>7</v>
      </c>
      <c r="BY5" s="3" t="s">
        <v>8</v>
      </c>
      <c r="BZ5" s="3" t="s">
        <v>8</v>
      </c>
      <c r="CA5" s="3" t="s">
        <v>8</v>
      </c>
      <c r="CB5" s="3" t="s">
        <v>9</v>
      </c>
      <c r="CC5" s="3" t="s">
        <v>9</v>
      </c>
      <c r="CD5" s="3" t="s">
        <v>9</v>
      </c>
      <c r="CE5" s="3" t="s">
        <v>10</v>
      </c>
      <c r="CF5" s="3" t="s">
        <v>10</v>
      </c>
      <c r="CG5" s="3" t="s">
        <v>10</v>
      </c>
      <c r="CH5" s="4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ht="13.5" customHeight="1" outlineLevel="1">
      <c r="A6" s="1"/>
      <c r="B6" s="2" t="s">
        <v>11</v>
      </c>
      <c r="C6" s="2"/>
      <c r="D6" s="3">
        <f>+IF(D4&lt;=MONTH,1,0)</f>
        <v>1</v>
      </c>
      <c r="E6" s="3">
        <f>+IF(E4&lt;=MONTH,1,0)</f>
        <v>1</v>
      </c>
      <c r="F6" s="3">
        <f>+IF(F4&lt;=MONTH,1,0)</f>
        <v>1</v>
      </c>
      <c r="G6" s="3">
        <f>+IF(G4&lt;=MONTH,1,0)</f>
        <v>1</v>
      </c>
      <c r="H6" s="3">
        <f>+IF(H4&lt;=MONTH,1,0)</f>
        <v>1</v>
      </c>
      <c r="I6" s="3">
        <f>+IF(I4&lt;=MONTH,1,0)</f>
        <v>1</v>
      </c>
      <c r="J6" s="3">
        <f>+IF(J4&lt;=MONTH,1,0)</f>
        <v>1</v>
      </c>
      <c r="K6" s="3">
        <f>+IF(K4&lt;=MONTH,1,0)</f>
        <v>1</v>
      </c>
      <c r="L6" s="3">
        <f>+IF(L4&lt;=MONTH,1,0)</f>
        <v>1</v>
      </c>
      <c r="M6" s="3">
        <f>+IF(M4&lt;=MONTH,1,0)</f>
        <v>1</v>
      </c>
      <c r="N6" s="3">
        <f>+IF(N4&lt;=MONTH,1,0)</f>
        <v>1</v>
      </c>
      <c r="O6" s="3">
        <f>+IF(O4&lt;=MONTH,1,0)</f>
        <v>1</v>
      </c>
      <c r="P6" s="4"/>
      <c r="Q6" s="1"/>
      <c r="R6" s="3">
        <f>+IF(R4&lt;=MONTH,1,0)</f>
        <v>1</v>
      </c>
      <c r="S6" s="3">
        <f>+IF(S4&lt;=MONTH,1,0)</f>
        <v>1</v>
      </c>
      <c r="T6" s="3">
        <f>+IF(T4&lt;=MONTH,1,0)</f>
        <v>1</v>
      </c>
      <c r="U6" s="3">
        <f>+IF(U4&lt;=MONTH,1,0)</f>
        <v>1</v>
      </c>
      <c r="V6" s="3">
        <f>+IF(V4&lt;=MONTH,1,0)</f>
        <v>1</v>
      </c>
      <c r="W6" s="3">
        <f>+IF(W4&lt;=MONTH,1,0)</f>
        <v>1</v>
      </c>
      <c r="X6" s="3">
        <f>+IF(X4&lt;=MONTH,1,0)</f>
        <v>1</v>
      </c>
      <c r="Y6" s="3">
        <f>+IF(Y4&lt;=MONTH,1,0)</f>
        <v>1</v>
      </c>
      <c r="Z6" s="3">
        <f>+IF(Z4&lt;=MONTH,1,0)</f>
        <v>1</v>
      </c>
      <c r="AA6" s="3">
        <f>+IF(AA4&lt;=MONTH,1,0)</f>
        <v>1</v>
      </c>
      <c r="AB6" s="3">
        <f>+IF(AB4&lt;=MONTH,1,0)</f>
        <v>1</v>
      </c>
      <c r="AC6" s="3">
        <f>+IF(AC4&lt;=MONTH,1,0)</f>
        <v>1</v>
      </c>
      <c r="AD6" s="4"/>
      <c r="AE6" s="1"/>
      <c r="AF6" s="3">
        <f>+IF(AF4&lt;=MONTH,1,0)</f>
        <v>1</v>
      </c>
      <c r="AG6" s="3">
        <f>+IF(AG4&lt;=MONTH,1,0)</f>
        <v>1</v>
      </c>
      <c r="AH6" s="3">
        <f>+IF(AH4&lt;=MONTH,1,0)</f>
        <v>1</v>
      </c>
      <c r="AI6" s="3">
        <f>+IF(AI4&lt;=MONTH,1,0)</f>
        <v>1</v>
      </c>
      <c r="AJ6" s="3">
        <f>+IF(AJ4&lt;=MONTH,1,0)</f>
        <v>1</v>
      </c>
      <c r="AK6" s="3">
        <f>+IF(AK4&lt;=MONTH,1,0)</f>
        <v>1</v>
      </c>
      <c r="AL6" s="3">
        <f>+IF(AL4&lt;=MONTH,1,0)</f>
        <v>1</v>
      </c>
      <c r="AM6" s="3">
        <f>+IF(AM4&lt;=MONTH,1,0)</f>
        <v>1</v>
      </c>
      <c r="AN6" s="3">
        <f>+IF(AN4&lt;=MONTH,1,0)</f>
        <v>1</v>
      </c>
      <c r="AO6" s="3">
        <f>+IF(AO4&lt;=MONTH,1,0)</f>
        <v>1</v>
      </c>
      <c r="AP6" s="3">
        <f>+IF(AP4&lt;=MONTH,1,0)</f>
        <v>1</v>
      </c>
      <c r="AQ6" s="3">
        <f>+IF(AQ4&lt;=MONTH,1,0)</f>
        <v>1</v>
      </c>
      <c r="AR6" s="4"/>
      <c r="AS6" s="1"/>
      <c r="AT6" s="3">
        <f>+IF(AT4&lt;=MONTH,1,0)</f>
        <v>1</v>
      </c>
      <c r="AU6" s="3">
        <f>+IF(AU4&lt;=MONTH,1,0)</f>
        <v>1</v>
      </c>
      <c r="AV6" s="3">
        <f>+IF(AV4&lt;=MONTH,1,0)</f>
        <v>1</v>
      </c>
      <c r="AW6" s="3">
        <f>+IF(AW4&lt;=MONTH,1,0)</f>
        <v>1</v>
      </c>
      <c r="AX6" s="3">
        <f>+IF(AX4&lt;=MONTH,1,0)</f>
        <v>1</v>
      </c>
      <c r="AY6" s="3">
        <f>+IF(AY4&lt;=MONTH,1,0)</f>
        <v>1</v>
      </c>
      <c r="AZ6" s="3">
        <f>+IF(AZ4&lt;=MONTH,1,0)</f>
        <v>1</v>
      </c>
      <c r="BA6" s="3">
        <f>+IF(BA4&lt;=MONTH,1,0)</f>
        <v>1</v>
      </c>
      <c r="BB6" s="3">
        <f>+IF(BB4&lt;=MONTH,1,0)</f>
        <v>1</v>
      </c>
      <c r="BC6" s="3">
        <f>+IF(BC4&lt;=MONTH,1,0)</f>
        <v>1</v>
      </c>
      <c r="BD6" s="3">
        <f>+IF(BD4&lt;=MONTH,1,0)</f>
        <v>1</v>
      </c>
      <c r="BE6" s="3">
        <f>+IF(BE4&lt;=MONTH,1,0)</f>
        <v>1</v>
      </c>
      <c r="BF6" s="4"/>
      <c r="BG6" s="1"/>
      <c r="BH6" s="3">
        <f>+IF(BH4&lt;=MONTH,1,0)</f>
        <v>1</v>
      </c>
      <c r="BI6" s="3">
        <f>+IF(BI4&lt;=MONTH,1,0)</f>
        <v>1</v>
      </c>
      <c r="BJ6" s="3">
        <f>+IF(BJ4&lt;=MONTH,1,0)</f>
        <v>1</v>
      </c>
      <c r="BK6" s="3">
        <f>+IF(BK4&lt;=MONTH,1,0)</f>
        <v>1</v>
      </c>
      <c r="BL6" s="3">
        <f>+IF(BL4&lt;=MONTH,1,0)</f>
        <v>1</v>
      </c>
      <c r="BM6" s="3">
        <f>+IF(BM4&lt;=MONTH,1,0)</f>
        <v>1</v>
      </c>
      <c r="BN6" s="3">
        <f>+IF(BN4&lt;=MONTH,1,0)</f>
        <v>1</v>
      </c>
      <c r="BO6" s="3">
        <f>+IF(BO4&lt;=MONTH,1,0)</f>
        <v>1</v>
      </c>
      <c r="BP6" s="3">
        <f>+IF(BP4&lt;=MONTH,1,0)</f>
        <v>1</v>
      </c>
      <c r="BQ6" s="3">
        <f>+IF(BQ4&lt;=MONTH,1,0)</f>
        <v>1</v>
      </c>
      <c r="BR6" s="3">
        <f>+IF(BR4&lt;=MONTH,1,0)</f>
        <v>1</v>
      </c>
      <c r="BS6" s="3">
        <f>+IF(BS4&lt;=MONTH,1,0)</f>
        <v>1</v>
      </c>
      <c r="BT6" s="4"/>
      <c r="BU6" s="1"/>
      <c r="BV6" s="3">
        <f>+IF(BV4&lt;=MONTH,1,0)</f>
        <v>1</v>
      </c>
      <c r="BW6" s="3">
        <f>+IF(BW4&lt;=MONTH,1,0)</f>
        <v>1</v>
      </c>
      <c r="BX6" s="3">
        <f>+IF(BX4&lt;=MONTH,1,0)</f>
        <v>1</v>
      </c>
      <c r="BY6" s="3">
        <f>+IF(BY4&lt;=MONTH,1,0)</f>
        <v>1</v>
      </c>
      <c r="BZ6" s="3">
        <f>+IF(BZ4&lt;=MONTH,1,0)</f>
        <v>1</v>
      </c>
      <c r="CA6" s="3">
        <f>+IF(CA4&lt;=MONTH,1,0)</f>
        <v>1</v>
      </c>
      <c r="CB6" s="3">
        <f>+IF(CB4&lt;=MONTH,1,0)</f>
        <v>1</v>
      </c>
      <c r="CC6" s="3">
        <f>+IF(CC4&lt;=MONTH,1,0)</f>
        <v>1</v>
      </c>
      <c r="CD6" s="3">
        <f>+IF(CD4&lt;=MONTH,1,0)</f>
        <v>1</v>
      </c>
      <c r="CE6" s="3">
        <f>+IF(CE4&lt;=MONTH,1,0)</f>
        <v>1</v>
      </c>
      <c r="CF6" s="3">
        <f>+IF(CF4&lt;=MONTH,1,0)</f>
        <v>1</v>
      </c>
      <c r="CG6" s="3">
        <f>+IF(CG4&lt;=MONTH,1,0)</f>
        <v>1</v>
      </c>
      <c r="CH6" s="4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ht="13.5" customHeight="1">
      <c r="A7" s="1"/>
      <c r="P7" s="5"/>
      <c r="Q7" s="1"/>
      <c r="AD7" s="6"/>
      <c r="AE7" s="1"/>
      <c r="AR7" s="6"/>
      <c r="AS7" s="1"/>
      <c r="BF7" s="6"/>
      <c r="BG7" s="1"/>
      <c r="BT7" s="6"/>
      <c r="BU7" s="1"/>
      <c r="CH7" s="6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ht="14.25" customHeight="1">
      <c r="A8" s="7"/>
      <c r="B8" s="7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7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7"/>
      <c r="CI8" s="11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</row>
    <row r="9" ht="4.5" customHeight="1">
      <c r="A9" s="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4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6"/>
      <c r="AS9" s="14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6"/>
      <c r="BG9" s="14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6"/>
      <c r="BU9" s="14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6"/>
      <c r="CI9" s="14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ht="15.0" customHeight="1">
      <c r="A10" s="18"/>
      <c r="B10" s="19" t="s">
        <v>12</v>
      </c>
      <c r="C10" s="20"/>
      <c r="D10" s="21">
        <f t="shared" ref="D10:P10" si="7">+D2</f>
        <v>2025</v>
      </c>
      <c r="E10" s="21">
        <f t="shared" si="7"/>
        <v>2025</v>
      </c>
      <c r="F10" s="21">
        <f t="shared" si="7"/>
        <v>2025</v>
      </c>
      <c r="G10" s="21">
        <f t="shared" si="7"/>
        <v>2025</v>
      </c>
      <c r="H10" s="21">
        <f t="shared" si="7"/>
        <v>2025</v>
      </c>
      <c r="I10" s="21">
        <f t="shared" si="7"/>
        <v>2025</v>
      </c>
      <c r="J10" s="21">
        <f t="shared" si="7"/>
        <v>2025</v>
      </c>
      <c r="K10" s="21">
        <f t="shared" si="7"/>
        <v>2025</v>
      </c>
      <c r="L10" s="21">
        <f t="shared" si="7"/>
        <v>2025</v>
      </c>
      <c r="M10" s="21">
        <f t="shared" si="7"/>
        <v>2025</v>
      </c>
      <c r="N10" s="21">
        <f t="shared" si="7"/>
        <v>2025</v>
      </c>
      <c r="O10" s="21">
        <f t="shared" si="7"/>
        <v>2025</v>
      </c>
      <c r="P10" s="21">
        <f t="shared" si="7"/>
        <v>2025</v>
      </c>
      <c r="Q10" s="1"/>
      <c r="R10" s="22">
        <f t="shared" ref="R10:AD10" si="8">+R2</f>
        <v>2026</v>
      </c>
      <c r="S10" s="22">
        <f t="shared" si="8"/>
        <v>2026</v>
      </c>
      <c r="T10" s="22">
        <f t="shared" si="8"/>
        <v>2026</v>
      </c>
      <c r="U10" s="22">
        <f t="shared" si="8"/>
        <v>2026</v>
      </c>
      <c r="V10" s="22">
        <f t="shared" si="8"/>
        <v>2026</v>
      </c>
      <c r="W10" s="22">
        <f t="shared" si="8"/>
        <v>2026</v>
      </c>
      <c r="X10" s="22">
        <f t="shared" si="8"/>
        <v>2026</v>
      </c>
      <c r="Y10" s="22">
        <f t="shared" si="8"/>
        <v>2026</v>
      </c>
      <c r="Z10" s="22">
        <f t="shared" si="8"/>
        <v>2026</v>
      </c>
      <c r="AA10" s="22">
        <f t="shared" si="8"/>
        <v>2026</v>
      </c>
      <c r="AB10" s="22">
        <f t="shared" si="8"/>
        <v>2026</v>
      </c>
      <c r="AC10" s="22">
        <f t="shared" si="8"/>
        <v>2026</v>
      </c>
      <c r="AD10" s="21">
        <f t="shared" si="8"/>
        <v>2026</v>
      </c>
      <c r="AE10" s="18"/>
      <c r="AF10" s="21">
        <f t="shared" ref="AF10:AR10" si="9">+AF2</f>
        <v>2027</v>
      </c>
      <c r="AG10" s="21">
        <f t="shared" si="9"/>
        <v>2027</v>
      </c>
      <c r="AH10" s="21">
        <f t="shared" si="9"/>
        <v>2027</v>
      </c>
      <c r="AI10" s="21">
        <f t="shared" si="9"/>
        <v>2027</v>
      </c>
      <c r="AJ10" s="21">
        <f t="shared" si="9"/>
        <v>2027</v>
      </c>
      <c r="AK10" s="21">
        <f t="shared" si="9"/>
        <v>2027</v>
      </c>
      <c r="AL10" s="21">
        <f t="shared" si="9"/>
        <v>2027</v>
      </c>
      <c r="AM10" s="21">
        <f t="shared" si="9"/>
        <v>2027</v>
      </c>
      <c r="AN10" s="21">
        <f t="shared" si="9"/>
        <v>2027</v>
      </c>
      <c r="AO10" s="21">
        <f t="shared" si="9"/>
        <v>2027</v>
      </c>
      <c r="AP10" s="21">
        <f t="shared" si="9"/>
        <v>2027</v>
      </c>
      <c r="AQ10" s="21">
        <f t="shared" si="9"/>
        <v>2027</v>
      </c>
      <c r="AR10" s="21">
        <f t="shared" si="9"/>
        <v>2027</v>
      </c>
      <c r="AS10" s="18"/>
      <c r="AT10" s="21">
        <f t="shared" ref="AT10:BF10" si="10">+AT2</f>
        <v>2028</v>
      </c>
      <c r="AU10" s="21">
        <f t="shared" si="10"/>
        <v>2028</v>
      </c>
      <c r="AV10" s="21">
        <f t="shared" si="10"/>
        <v>2028</v>
      </c>
      <c r="AW10" s="21">
        <f t="shared" si="10"/>
        <v>2028</v>
      </c>
      <c r="AX10" s="21">
        <f t="shared" si="10"/>
        <v>2028</v>
      </c>
      <c r="AY10" s="21">
        <f t="shared" si="10"/>
        <v>2028</v>
      </c>
      <c r="AZ10" s="21">
        <f t="shared" si="10"/>
        <v>2028</v>
      </c>
      <c r="BA10" s="21">
        <f t="shared" si="10"/>
        <v>2028</v>
      </c>
      <c r="BB10" s="21">
        <f t="shared" si="10"/>
        <v>2028</v>
      </c>
      <c r="BC10" s="21">
        <f t="shared" si="10"/>
        <v>2028</v>
      </c>
      <c r="BD10" s="21">
        <f t="shared" si="10"/>
        <v>2028</v>
      </c>
      <c r="BE10" s="21">
        <f t="shared" si="10"/>
        <v>2028</v>
      </c>
      <c r="BF10" s="21">
        <f t="shared" si="10"/>
        <v>2028</v>
      </c>
      <c r="BG10" s="1"/>
      <c r="BH10" s="22">
        <f t="shared" ref="BH10:BT10" si="11">+BH2</f>
        <v>2029</v>
      </c>
      <c r="BI10" s="22">
        <f t="shared" si="11"/>
        <v>2029</v>
      </c>
      <c r="BJ10" s="22">
        <f t="shared" si="11"/>
        <v>2029</v>
      </c>
      <c r="BK10" s="22">
        <f t="shared" si="11"/>
        <v>2029</v>
      </c>
      <c r="BL10" s="22">
        <f t="shared" si="11"/>
        <v>2029</v>
      </c>
      <c r="BM10" s="22">
        <f t="shared" si="11"/>
        <v>2029</v>
      </c>
      <c r="BN10" s="22">
        <f t="shared" si="11"/>
        <v>2029</v>
      </c>
      <c r="BO10" s="22">
        <f t="shared" si="11"/>
        <v>2029</v>
      </c>
      <c r="BP10" s="22">
        <f t="shared" si="11"/>
        <v>2029</v>
      </c>
      <c r="BQ10" s="22">
        <f t="shared" si="11"/>
        <v>2029</v>
      </c>
      <c r="BR10" s="22">
        <f t="shared" si="11"/>
        <v>2029</v>
      </c>
      <c r="BS10" s="22">
        <f t="shared" si="11"/>
        <v>2029</v>
      </c>
      <c r="BT10" s="21">
        <f t="shared" si="11"/>
        <v>2029</v>
      </c>
      <c r="BU10" s="1"/>
      <c r="BV10" s="22">
        <f t="shared" ref="BV10:CH10" si="12">+BV2</f>
        <v>2030</v>
      </c>
      <c r="BW10" s="22">
        <f t="shared" si="12"/>
        <v>2030</v>
      </c>
      <c r="BX10" s="22">
        <f t="shared" si="12"/>
        <v>2030</v>
      </c>
      <c r="BY10" s="22">
        <f t="shared" si="12"/>
        <v>2030</v>
      </c>
      <c r="BZ10" s="22">
        <f t="shared" si="12"/>
        <v>2030</v>
      </c>
      <c r="CA10" s="22">
        <f t="shared" si="12"/>
        <v>2030</v>
      </c>
      <c r="CB10" s="22">
        <f t="shared" si="12"/>
        <v>2030</v>
      </c>
      <c r="CC10" s="22">
        <f t="shared" si="12"/>
        <v>2030</v>
      </c>
      <c r="CD10" s="22">
        <f t="shared" si="12"/>
        <v>2030</v>
      </c>
      <c r="CE10" s="22">
        <f t="shared" si="12"/>
        <v>2030</v>
      </c>
      <c r="CF10" s="22">
        <f t="shared" si="12"/>
        <v>2030</v>
      </c>
      <c r="CG10" s="22">
        <f t="shared" si="12"/>
        <v>2030</v>
      </c>
      <c r="CH10" s="21">
        <f t="shared" si="12"/>
        <v>2030</v>
      </c>
      <c r="CI10" s="1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</row>
    <row r="11" ht="13.5" customHeight="1">
      <c r="A11" s="18"/>
      <c r="B11" s="19"/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17</v>
      </c>
      <c r="H11" s="21" t="s">
        <v>18</v>
      </c>
      <c r="I11" s="21" t="s">
        <v>19</v>
      </c>
      <c r="J11" s="21" t="s">
        <v>20</v>
      </c>
      <c r="K11" s="21" t="s">
        <v>21</v>
      </c>
      <c r="L11" s="21" t="s">
        <v>22</v>
      </c>
      <c r="M11" s="21" t="s">
        <v>23</v>
      </c>
      <c r="N11" s="21" t="s">
        <v>24</v>
      </c>
      <c r="O11" s="21" t="s">
        <v>25</v>
      </c>
      <c r="P11" s="21" t="str">
        <f>+P4</f>
        <v>TOTAL</v>
      </c>
      <c r="Q11" s="1"/>
      <c r="R11" s="22" t="s">
        <v>14</v>
      </c>
      <c r="S11" s="22" t="s">
        <v>15</v>
      </c>
      <c r="T11" s="22" t="s">
        <v>16</v>
      </c>
      <c r="U11" s="22" t="s">
        <v>17</v>
      </c>
      <c r="V11" s="22" t="s">
        <v>18</v>
      </c>
      <c r="W11" s="22" t="s">
        <v>19</v>
      </c>
      <c r="X11" s="22" t="s">
        <v>20</v>
      </c>
      <c r="Y11" s="22" t="s">
        <v>21</v>
      </c>
      <c r="Z11" s="22" t="s">
        <v>22</v>
      </c>
      <c r="AA11" s="22" t="s">
        <v>23</v>
      </c>
      <c r="AB11" s="22" t="s">
        <v>24</v>
      </c>
      <c r="AC11" s="22" t="s">
        <v>25</v>
      </c>
      <c r="AD11" s="21" t="str">
        <f>+AD4</f>
        <v>TOTAL</v>
      </c>
      <c r="AE11" s="18"/>
      <c r="AF11" s="21" t="s">
        <v>14</v>
      </c>
      <c r="AG11" s="21" t="s">
        <v>15</v>
      </c>
      <c r="AH11" s="21" t="s">
        <v>16</v>
      </c>
      <c r="AI11" s="21" t="s">
        <v>17</v>
      </c>
      <c r="AJ11" s="21" t="s">
        <v>18</v>
      </c>
      <c r="AK11" s="21" t="s">
        <v>19</v>
      </c>
      <c r="AL11" s="21" t="s">
        <v>20</v>
      </c>
      <c r="AM11" s="21" t="s">
        <v>21</v>
      </c>
      <c r="AN11" s="21" t="s">
        <v>22</v>
      </c>
      <c r="AO11" s="21" t="s">
        <v>23</v>
      </c>
      <c r="AP11" s="21" t="s">
        <v>24</v>
      </c>
      <c r="AQ11" s="21" t="s">
        <v>25</v>
      </c>
      <c r="AR11" s="21" t="str">
        <f>+AR4</f>
        <v>TOTAL</v>
      </c>
      <c r="AS11" s="18"/>
      <c r="AT11" s="21" t="s">
        <v>14</v>
      </c>
      <c r="AU11" s="21" t="s">
        <v>15</v>
      </c>
      <c r="AV11" s="21" t="s">
        <v>16</v>
      </c>
      <c r="AW11" s="21" t="s">
        <v>17</v>
      </c>
      <c r="AX11" s="21" t="s">
        <v>18</v>
      </c>
      <c r="AY11" s="21" t="s">
        <v>19</v>
      </c>
      <c r="AZ11" s="21" t="s">
        <v>20</v>
      </c>
      <c r="BA11" s="21" t="s">
        <v>21</v>
      </c>
      <c r="BB11" s="21" t="s">
        <v>22</v>
      </c>
      <c r="BC11" s="21" t="s">
        <v>23</v>
      </c>
      <c r="BD11" s="21" t="s">
        <v>24</v>
      </c>
      <c r="BE11" s="21" t="s">
        <v>25</v>
      </c>
      <c r="BF11" s="21" t="str">
        <f>+BF4</f>
        <v>TOTAL</v>
      </c>
      <c r="BG11" s="1"/>
      <c r="BH11" s="22" t="s">
        <v>14</v>
      </c>
      <c r="BI11" s="22" t="s">
        <v>15</v>
      </c>
      <c r="BJ11" s="22" t="s">
        <v>16</v>
      </c>
      <c r="BK11" s="22" t="s">
        <v>17</v>
      </c>
      <c r="BL11" s="22" t="s">
        <v>18</v>
      </c>
      <c r="BM11" s="22" t="s">
        <v>19</v>
      </c>
      <c r="BN11" s="22" t="s">
        <v>20</v>
      </c>
      <c r="BO11" s="22" t="s">
        <v>21</v>
      </c>
      <c r="BP11" s="22" t="s">
        <v>22</v>
      </c>
      <c r="BQ11" s="22" t="s">
        <v>23</v>
      </c>
      <c r="BR11" s="22" t="s">
        <v>24</v>
      </c>
      <c r="BS11" s="22" t="s">
        <v>25</v>
      </c>
      <c r="BT11" s="21" t="str">
        <f>+BT4</f>
        <v>TOTAL</v>
      </c>
      <c r="BU11" s="1"/>
      <c r="BV11" s="22" t="s">
        <v>14</v>
      </c>
      <c r="BW11" s="22" t="s">
        <v>15</v>
      </c>
      <c r="BX11" s="22" t="s">
        <v>16</v>
      </c>
      <c r="BY11" s="22" t="s">
        <v>17</v>
      </c>
      <c r="BZ11" s="22" t="s">
        <v>18</v>
      </c>
      <c r="CA11" s="22" t="s">
        <v>19</v>
      </c>
      <c r="CB11" s="22" t="s">
        <v>20</v>
      </c>
      <c r="CC11" s="22" t="s">
        <v>21</v>
      </c>
      <c r="CD11" s="22" t="s">
        <v>22</v>
      </c>
      <c r="CE11" s="22" t="s">
        <v>23</v>
      </c>
      <c r="CF11" s="22" t="s">
        <v>24</v>
      </c>
      <c r="CG11" s="22" t="s">
        <v>25</v>
      </c>
      <c r="CH11" s="21" t="str">
        <f>+CH4</f>
        <v>TOTAL</v>
      </c>
      <c r="CI11" s="1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</row>
    <row r="12" ht="13.5" customHeight="1" outlineLevel="1">
      <c r="A12" s="1"/>
      <c r="B12" s="23" t="str">
        <f>'Revenue Overview'!B12</f>
        <v>Product 1</v>
      </c>
      <c r="C12" s="24" t="s">
        <v>26</v>
      </c>
      <c r="D12" s="25">
        <f>'Revenue Overview'!D12</f>
        <v>0</v>
      </c>
      <c r="E12" s="25">
        <f>'Revenue Overview'!E12</f>
        <v>0</v>
      </c>
      <c r="F12" s="25">
        <f>'Revenue Overview'!F12</f>
        <v>0</v>
      </c>
      <c r="G12" s="25">
        <f>'Revenue Overview'!G12</f>
        <v>0</v>
      </c>
      <c r="H12" s="25">
        <f>'Revenue Overview'!H12</f>
        <v>0</v>
      </c>
      <c r="I12" s="25">
        <f>'Revenue Overview'!I12</f>
        <v>0</v>
      </c>
      <c r="J12" s="25">
        <f>'Revenue Overview'!J12</f>
        <v>0</v>
      </c>
      <c r="K12" s="25">
        <f>'Revenue Overview'!K12</f>
        <v>0</v>
      </c>
      <c r="L12" s="25">
        <f>'Revenue Overview'!L12</f>
        <v>525</v>
      </c>
      <c r="M12" s="25">
        <f>'Revenue Overview'!M12</f>
        <v>693</v>
      </c>
      <c r="N12" s="25">
        <f>'Revenue Overview'!N12</f>
        <v>997.5</v>
      </c>
      <c r="O12" s="25">
        <f>'Revenue Overview'!O12</f>
        <v>1386</v>
      </c>
      <c r="P12" s="26">
        <f t="shared" ref="P12:P17" si="13">SUM(D12:O12)</f>
        <v>3601.5</v>
      </c>
      <c r="Q12" s="14"/>
      <c r="R12" s="25">
        <f>'Revenue Overview'!R12</f>
        <v>1680</v>
      </c>
      <c r="S12" s="25">
        <f>'Revenue Overview'!S12</f>
        <v>2100</v>
      </c>
      <c r="T12" s="25">
        <f>'Revenue Overview'!T12</f>
        <v>3150</v>
      </c>
      <c r="U12" s="25">
        <f>'Revenue Overview'!U12</f>
        <v>4200</v>
      </c>
      <c r="V12" s="25">
        <f>'Revenue Overview'!V12</f>
        <v>5250</v>
      </c>
      <c r="W12" s="25">
        <f>'Revenue Overview'!W12</f>
        <v>6993</v>
      </c>
      <c r="X12" s="25">
        <f>'Revenue Overview'!X12</f>
        <v>8925</v>
      </c>
      <c r="Y12" s="25">
        <f>'Revenue Overview'!Y12</f>
        <v>10500</v>
      </c>
      <c r="Z12" s="25">
        <f>'Revenue Overview'!Z12</f>
        <v>10500</v>
      </c>
      <c r="AA12" s="25">
        <f>'Revenue Overview'!AA12</f>
        <v>10500</v>
      </c>
      <c r="AB12" s="25">
        <f>'Revenue Overview'!AB12</f>
        <v>10500</v>
      </c>
      <c r="AC12" s="25">
        <f>'Revenue Overview'!AC12</f>
        <v>10500</v>
      </c>
      <c r="AD12" s="26">
        <f t="shared" ref="AD12:AD22" si="14">SUM(R12:AC12)</f>
        <v>84798</v>
      </c>
      <c r="AE12" s="14"/>
      <c r="AF12" s="25">
        <f>'Revenue Overview'!AF12</f>
        <v>11035.5</v>
      </c>
      <c r="AG12" s="25">
        <f>'Revenue Overview'!AG12</f>
        <v>11035.5</v>
      </c>
      <c r="AH12" s="25">
        <f>'Revenue Overview'!AH12</f>
        <v>11035.5</v>
      </c>
      <c r="AI12" s="25">
        <f>'Revenue Overview'!AI12</f>
        <v>11035.5</v>
      </c>
      <c r="AJ12" s="25">
        <f>'Revenue Overview'!AJ12</f>
        <v>11035.5</v>
      </c>
      <c r="AK12" s="25">
        <f>'Revenue Overview'!AK12</f>
        <v>11035.5</v>
      </c>
      <c r="AL12" s="25">
        <f>'Revenue Overview'!AL12</f>
        <v>11035.5</v>
      </c>
      <c r="AM12" s="25">
        <f>'Revenue Overview'!AM12</f>
        <v>11035.5</v>
      </c>
      <c r="AN12" s="25">
        <f>'Revenue Overview'!AN12</f>
        <v>11035.5</v>
      </c>
      <c r="AO12" s="25">
        <f>'Revenue Overview'!AO12</f>
        <v>11035.5</v>
      </c>
      <c r="AP12" s="25">
        <f>'Revenue Overview'!AP12</f>
        <v>11035.5</v>
      </c>
      <c r="AQ12" s="25">
        <f>'Revenue Overview'!AQ12</f>
        <v>11035.5</v>
      </c>
      <c r="AR12" s="26">
        <f t="shared" ref="AR12:AR22" si="15">SUM(AF12:AQ12)</f>
        <v>132426</v>
      </c>
      <c r="AS12" s="14"/>
      <c r="AT12" s="25">
        <f>'Revenue Overview'!AT12</f>
        <v>11432.778</v>
      </c>
      <c r="AU12" s="25">
        <f>'Revenue Overview'!AU12</f>
        <v>11432.778</v>
      </c>
      <c r="AV12" s="25">
        <f>'Revenue Overview'!AV12</f>
        <v>11432.778</v>
      </c>
      <c r="AW12" s="25">
        <f>'Revenue Overview'!AW12</f>
        <v>11432.778</v>
      </c>
      <c r="AX12" s="25">
        <f>'Revenue Overview'!AX12</f>
        <v>11432.778</v>
      </c>
      <c r="AY12" s="25">
        <f>'Revenue Overview'!AY12</f>
        <v>11432.778</v>
      </c>
      <c r="AZ12" s="25">
        <f>'Revenue Overview'!AZ12</f>
        <v>11432.778</v>
      </c>
      <c r="BA12" s="25">
        <f>'Revenue Overview'!BA12</f>
        <v>11432.778</v>
      </c>
      <c r="BB12" s="25">
        <f>'Revenue Overview'!BB12</f>
        <v>11432.778</v>
      </c>
      <c r="BC12" s="25">
        <f>'Revenue Overview'!BC12</f>
        <v>11432.778</v>
      </c>
      <c r="BD12" s="25">
        <f>'Revenue Overview'!BD12</f>
        <v>11432.778</v>
      </c>
      <c r="BE12" s="25">
        <f>'Revenue Overview'!BE12</f>
        <v>11432.778</v>
      </c>
      <c r="BF12" s="26">
        <f t="shared" ref="BF12:BF22" si="16">SUM(AT12:BE12)</f>
        <v>137193.336</v>
      </c>
      <c r="BG12" s="14"/>
      <c r="BH12" s="25">
        <f>'Revenue Overview'!BH12</f>
        <v>11832.92523</v>
      </c>
      <c r="BI12" s="25">
        <f>'Revenue Overview'!BI12</f>
        <v>11832.92523</v>
      </c>
      <c r="BJ12" s="25">
        <f>'Revenue Overview'!BJ12</f>
        <v>11832.92523</v>
      </c>
      <c r="BK12" s="25">
        <f>'Revenue Overview'!BK12</f>
        <v>11832.92523</v>
      </c>
      <c r="BL12" s="25">
        <f>'Revenue Overview'!BL12</f>
        <v>11832.92523</v>
      </c>
      <c r="BM12" s="25">
        <f>'Revenue Overview'!BM12</f>
        <v>11832.92523</v>
      </c>
      <c r="BN12" s="25">
        <f>'Revenue Overview'!BN12</f>
        <v>11832.92523</v>
      </c>
      <c r="BO12" s="25">
        <f>'Revenue Overview'!BO12</f>
        <v>11832.92523</v>
      </c>
      <c r="BP12" s="25">
        <f>'Revenue Overview'!BP12</f>
        <v>11832.92523</v>
      </c>
      <c r="BQ12" s="25">
        <f>'Revenue Overview'!BQ12</f>
        <v>11832.92523</v>
      </c>
      <c r="BR12" s="25">
        <f>'Revenue Overview'!BR12</f>
        <v>11832.92523</v>
      </c>
      <c r="BS12" s="25">
        <f>'Revenue Overview'!BS12</f>
        <v>11832.92523</v>
      </c>
      <c r="BT12" s="26">
        <f t="shared" ref="BT12:BT22" si="17">SUM(BH12:BS12)</f>
        <v>141995.1028</v>
      </c>
      <c r="BU12" s="14"/>
      <c r="BV12" s="25">
        <f>'Revenue Overview'!BV12</f>
        <v>12247.07761</v>
      </c>
      <c r="BW12" s="25">
        <f>'Revenue Overview'!BW12</f>
        <v>12247.07761</v>
      </c>
      <c r="BX12" s="25">
        <f>'Revenue Overview'!BX12</f>
        <v>12247.07761</v>
      </c>
      <c r="BY12" s="25">
        <f>'Revenue Overview'!BY12</f>
        <v>12247.07761</v>
      </c>
      <c r="BZ12" s="25">
        <f>'Revenue Overview'!BZ12</f>
        <v>12247.07761</v>
      </c>
      <c r="CA12" s="25">
        <f>'Revenue Overview'!CA12</f>
        <v>12247.07761</v>
      </c>
      <c r="CB12" s="25">
        <f>'Revenue Overview'!CB12</f>
        <v>12247.07761</v>
      </c>
      <c r="CC12" s="25">
        <f>'Revenue Overview'!CC12</f>
        <v>12247.07761</v>
      </c>
      <c r="CD12" s="25">
        <f>'Revenue Overview'!CD12</f>
        <v>12247.07761</v>
      </c>
      <c r="CE12" s="25">
        <f>'Revenue Overview'!CE12</f>
        <v>12247.07761</v>
      </c>
      <c r="CF12" s="25">
        <f>'Revenue Overview'!CF12</f>
        <v>12247.07761</v>
      </c>
      <c r="CG12" s="25">
        <f>'Revenue Overview'!CG12</f>
        <v>12247.07761</v>
      </c>
      <c r="CH12" s="26">
        <f t="shared" ref="CH12:CH22" si="18">SUM(BV12:CG12)</f>
        <v>146964.9314</v>
      </c>
      <c r="CI12" s="14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ht="13.5" customHeight="1" outlineLevel="1">
      <c r="A13" s="1"/>
      <c r="B13" s="23" t="str">
        <f>'Revenue Overview'!B13</f>
        <v>Product 2</v>
      </c>
      <c r="C13" s="24" t="s">
        <v>27</v>
      </c>
      <c r="D13" s="25">
        <f>'Revenue Overview'!D13</f>
        <v>0</v>
      </c>
      <c r="E13" s="25">
        <f>'Revenue Overview'!E13</f>
        <v>0</v>
      </c>
      <c r="F13" s="25">
        <f>'Revenue Overview'!F13</f>
        <v>0</v>
      </c>
      <c r="G13" s="25">
        <f>'Revenue Overview'!G13</f>
        <v>0</v>
      </c>
      <c r="H13" s="25">
        <f>'Revenue Overview'!H13</f>
        <v>0</v>
      </c>
      <c r="I13" s="25">
        <f>'Revenue Overview'!I13</f>
        <v>0</v>
      </c>
      <c r="J13" s="25">
        <f>'Revenue Overview'!J13</f>
        <v>0</v>
      </c>
      <c r="K13" s="25">
        <f>'Revenue Overview'!K13</f>
        <v>0</v>
      </c>
      <c r="L13" s="25">
        <f>'Revenue Overview'!L13</f>
        <v>525</v>
      </c>
      <c r="M13" s="25">
        <f>'Revenue Overview'!M13</f>
        <v>693</v>
      </c>
      <c r="N13" s="25">
        <f>'Revenue Overview'!N13</f>
        <v>997.5</v>
      </c>
      <c r="O13" s="25">
        <f>'Revenue Overview'!O13</f>
        <v>1386</v>
      </c>
      <c r="P13" s="26">
        <f t="shared" si="13"/>
        <v>3601.5</v>
      </c>
      <c r="Q13" s="14"/>
      <c r="R13" s="25">
        <f>'Revenue Overview'!R13</f>
        <v>1680</v>
      </c>
      <c r="S13" s="25">
        <f>'Revenue Overview'!S13</f>
        <v>2100</v>
      </c>
      <c r="T13" s="25">
        <f>'Revenue Overview'!T13</f>
        <v>3150</v>
      </c>
      <c r="U13" s="25">
        <f>'Revenue Overview'!U13</f>
        <v>4200</v>
      </c>
      <c r="V13" s="25">
        <f>'Revenue Overview'!V13</f>
        <v>5250</v>
      </c>
      <c r="W13" s="25">
        <f>'Revenue Overview'!W13</f>
        <v>6993</v>
      </c>
      <c r="X13" s="25">
        <f>'Revenue Overview'!X13</f>
        <v>8925</v>
      </c>
      <c r="Y13" s="25">
        <f>'Revenue Overview'!Y13</f>
        <v>10500</v>
      </c>
      <c r="Z13" s="25">
        <f>'Revenue Overview'!Z13</f>
        <v>10500</v>
      </c>
      <c r="AA13" s="25">
        <f>'Revenue Overview'!AA13</f>
        <v>10500</v>
      </c>
      <c r="AB13" s="25">
        <f>'Revenue Overview'!AB13</f>
        <v>10500</v>
      </c>
      <c r="AC13" s="25">
        <f>'Revenue Overview'!AC13</f>
        <v>10500</v>
      </c>
      <c r="AD13" s="26">
        <f t="shared" si="14"/>
        <v>84798</v>
      </c>
      <c r="AE13" s="14"/>
      <c r="AF13" s="25">
        <f>'Revenue Overview'!AF13</f>
        <v>11035.5</v>
      </c>
      <c r="AG13" s="25">
        <f>'Revenue Overview'!AG13</f>
        <v>11035.5</v>
      </c>
      <c r="AH13" s="25">
        <f>'Revenue Overview'!AH13</f>
        <v>11035.5</v>
      </c>
      <c r="AI13" s="25">
        <f>'Revenue Overview'!AI13</f>
        <v>11035.5</v>
      </c>
      <c r="AJ13" s="25">
        <f>'Revenue Overview'!AJ13</f>
        <v>11035.5</v>
      </c>
      <c r="AK13" s="25">
        <f>'Revenue Overview'!AK13</f>
        <v>11035.5</v>
      </c>
      <c r="AL13" s="25">
        <f>'Revenue Overview'!AL13</f>
        <v>11035.5</v>
      </c>
      <c r="AM13" s="25">
        <f>'Revenue Overview'!AM13</f>
        <v>11035.5</v>
      </c>
      <c r="AN13" s="25">
        <f>'Revenue Overview'!AN13</f>
        <v>11035.5</v>
      </c>
      <c r="AO13" s="25">
        <f>'Revenue Overview'!AO13</f>
        <v>11035.5</v>
      </c>
      <c r="AP13" s="25">
        <f>'Revenue Overview'!AP13</f>
        <v>11035.5</v>
      </c>
      <c r="AQ13" s="25">
        <f>'Revenue Overview'!AQ13</f>
        <v>11035.5</v>
      </c>
      <c r="AR13" s="26">
        <f t="shared" si="15"/>
        <v>132426</v>
      </c>
      <c r="AS13" s="14"/>
      <c r="AT13" s="25">
        <f>'Revenue Overview'!AT13</f>
        <v>11432.778</v>
      </c>
      <c r="AU13" s="25">
        <f>'Revenue Overview'!AU13</f>
        <v>11432.778</v>
      </c>
      <c r="AV13" s="25">
        <f>'Revenue Overview'!AV13</f>
        <v>11432.778</v>
      </c>
      <c r="AW13" s="25">
        <f>'Revenue Overview'!AW13</f>
        <v>11432.778</v>
      </c>
      <c r="AX13" s="25">
        <f>'Revenue Overview'!AX13</f>
        <v>11432.778</v>
      </c>
      <c r="AY13" s="25">
        <f>'Revenue Overview'!AY13</f>
        <v>11432.778</v>
      </c>
      <c r="AZ13" s="25">
        <f>'Revenue Overview'!AZ13</f>
        <v>11432.778</v>
      </c>
      <c r="BA13" s="25">
        <f>'Revenue Overview'!BA13</f>
        <v>11432.778</v>
      </c>
      <c r="BB13" s="25">
        <f>'Revenue Overview'!BB13</f>
        <v>11432.778</v>
      </c>
      <c r="BC13" s="25">
        <f>'Revenue Overview'!BC13</f>
        <v>11432.778</v>
      </c>
      <c r="BD13" s="25">
        <f>'Revenue Overview'!BD13</f>
        <v>11432.778</v>
      </c>
      <c r="BE13" s="25">
        <f>'Revenue Overview'!BE13</f>
        <v>11432.778</v>
      </c>
      <c r="BF13" s="26">
        <f t="shared" si="16"/>
        <v>137193.336</v>
      </c>
      <c r="BG13" s="14"/>
      <c r="BH13" s="25">
        <f>'Revenue Overview'!BH13</f>
        <v>11832.92523</v>
      </c>
      <c r="BI13" s="25">
        <f>'Revenue Overview'!BI13</f>
        <v>11832.92523</v>
      </c>
      <c r="BJ13" s="25">
        <f>'Revenue Overview'!BJ13</f>
        <v>11832.92523</v>
      </c>
      <c r="BK13" s="25">
        <f>'Revenue Overview'!BK13</f>
        <v>11832.92523</v>
      </c>
      <c r="BL13" s="25">
        <f>'Revenue Overview'!BL13</f>
        <v>11832.92523</v>
      </c>
      <c r="BM13" s="25">
        <f>'Revenue Overview'!BM13</f>
        <v>11832.92523</v>
      </c>
      <c r="BN13" s="25">
        <f>'Revenue Overview'!BN13</f>
        <v>11832.92523</v>
      </c>
      <c r="BO13" s="25">
        <f>'Revenue Overview'!BO13</f>
        <v>11832.92523</v>
      </c>
      <c r="BP13" s="25">
        <f>'Revenue Overview'!BP13</f>
        <v>11832.92523</v>
      </c>
      <c r="BQ13" s="25">
        <f>'Revenue Overview'!BQ13</f>
        <v>11832.92523</v>
      </c>
      <c r="BR13" s="25">
        <f>'Revenue Overview'!BR13</f>
        <v>11832.92523</v>
      </c>
      <c r="BS13" s="25">
        <f>'Revenue Overview'!BS13</f>
        <v>11832.92523</v>
      </c>
      <c r="BT13" s="26">
        <f t="shared" si="17"/>
        <v>141995.1028</v>
      </c>
      <c r="BU13" s="14"/>
      <c r="BV13" s="25">
        <f>'Revenue Overview'!BV13</f>
        <v>12247.07761</v>
      </c>
      <c r="BW13" s="25">
        <f>'Revenue Overview'!BW13</f>
        <v>12247.07761</v>
      </c>
      <c r="BX13" s="25">
        <f>'Revenue Overview'!BX13</f>
        <v>12247.07761</v>
      </c>
      <c r="BY13" s="25">
        <f>'Revenue Overview'!BY13</f>
        <v>12247.07761</v>
      </c>
      <c r="BZ13" s="25">
        <f>'Revenue Overview'!BZ13</f>
        <v>12247.07761</v>
      </c>
      <c r="CA13" s="25">
        <f>'Revenue Overview'!CA13</f>
        <v>12247.07761</v>
      </c>
      <c r="CB13" s="25">
        <f>'Revenue Overview'!CB13</f>
        <v>12247.07761</v>
      </c>
      <c r="CC13" s="25">
        <f>'Revenue Overview'!CC13</f>
        <v>12247.07761</v>
      </c>
      <c r="CD13" s="25">
        <f>'Revenue Overview'!CD13</f>
        <v>12247.07761</v>
      </c>
      <c r="CE13" s="25">
        <f>'Revenue Overview'!CE13</f>
        <v>12247.07761</v>
      </c>
      <c r="CF13" s="25">
        <f>'Revenue Overview'!CF13</f>
        <v>12247.07761</v>
      </c>
      <c r="CG13" s="25">
        <f>'Revenue Overview'!CG13</f>
        <v>12247.07761</v>
      </c>
      <c r="CH13" s="26">
        <f t="shared" si="18"/>
        <v>146964.9314</v>
      </c>
      <c r="CI13" s="14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ht="13.5" customHeight="1" outlineLevel="1">
      <c r="A14" s="1"/>
      <c r="B14" s="23" t="str">
        <f>'Revenue Overview'!B14</f>
        <v>Product 3</v>
      </c>
      <c r="C14" s="24" t="s">
        <v>28</v>
      </c>
      <c r="D14" s="25">
        <f>'Revenue Overview'!D14</f>
        <v>0</v>
      </c>
      <c r="E14" s="25">
        <f>'Revenue Overview'!E14</f>
        <v>0</v>
      </c>
      <c r="F14" s="25">
        <f>'Revenue Overview'!F14</f>
        <v>0</v>
      </c>
      <c r="G14" s="25">
        <f>'Revenue Overview'!G14</f>
        <v>0</v>
      </c>
      <c r="H14" s="25">
        <f>'Revenue Overview'!H14</f>
        <v>0</v>
      </c>
      <c r="I14" s="25">
        <f>'Revenue Overview'!I14</f>
        <v>0</v>
      </c>
      <c r="J14" s="25">
        <f>'Revenue Overview'!J14</f>
        <v>0</v>
      </c>
      <c r="K14" s="25">
        <f>'Revenue Overview'!K14</f>
        <v>0</v>
      </c>
      <c r="L14" s="25">
        <f>'Revenue Overview'!L14</f>
        <v>525</v>
      </c>
      <c r="M14" s="25">
        <f>'Revenue Overview'!M14</f>
        <v>693</v>
      </c>
      <c r="N14" s="25">
        <f>'Revenue Overview'!N14</f>
        <v>997.5</v>
      </c>
      <c r="O14" s="25">
        <f>'Revenue Overview'!O14</f>
        <v>1386</v>
      </c>
      <c r="P14" s="26">
        <f t="shared" si="13"/>
        <v>3601.5</v>
      </c>
      <c r="Q14" s="14"/>
      <c r="R14" s="25">
        <f>'Revenue Overview'!R14</f>
        <v>1680</v>
      </c>
      <c r="S14" s="25">
        <f>'Revenue Overview'!S14</f>
        <v>2100</v>
      </c>
      <c r="T14" s="25">
        <f>'Revenue Overview'!T14</f>
        <v>3150</v>
      </c>
      <c r="U14" s="25">
        <f>'Revenue Overview'!U14</f>
        <v>4200</v>
      </c>
      <c r="V14" s="25">
        <f>'Revenue Overview'!V14</f>
        <v>5250</v>
      </c>
      <c r="W14" s="25">
        <f>'Revenue Overview'!W14</f>
        <v>6993</v>
      </c>
      <c r="X14" s="25">
        <f>'Revenue Overview'!X14</f>
        <v>8925</v>
      </c>
      <c r="Y14" s="25">
        <f>'Revenue Overview'!Y14</f>
        <v>10500</v>
      </c>
      <c r="Z14" s="25">
        <f>'Revenue Overview'!Z14</f>
        <v>10500</v>
      </c>
      <c r="AA14" s="25">
        <f>'Revenue Overview'!AA14</f>
        <v>10500</v>
      </c>
      <c r="AB14" s="25">
        <f>'Revenue Overview'!AB14</f>
        <v>10500</v>
      </c>
      <c r="AC14" s="25">
        <f>'Revenue Overview'!AC14</f>
        <v>10500</v>
      </c>
      <c r="AD14" s="26">
        <f t="shared" si="14"/>
        <v>84798</v>
      </c>
      <c r="AE14" s="14"/>
      <c r="AF14" s="25">
        <f>'Revenue Overview'!AF14</f>
        <v>11035.5</v>
      </c>
      <c r="AG14" s="25">
        <f>'Revenue Overview'!AG14</f>
        <v>11035.5</v>
      </c>
      <c r="AH14" s="25">
        <f>'Revenue Overview'!AH14</f>
        <v>11035.5</v>
      </c>
      <c r="AI14" s="25">
        <f>'Revenue Overview'!AI14</f>
        <v>11035.5</v>
      </c>
      <c r="AJ14" s="25">
        <f>'Revenue Overview'!AJ14</f>
        <v>11035.5</v>
      </c>
      <c r="AK14" s="25">
        <f>'Revenue Overview'!AK14</f>
        <v>11035.5</v>
      </c>
      <c r="AL14" s="25">
        <f>'Revenue Overview'!AL14</f>
        <v>11035.5</v>
      </c>
      <c r="AM14" s="25">
        <f>'Revenue Overview'!AM14</f>
        <v>11035.5</v>
      </c>
      <c r="AN14" s="25">
        <f>'Revenue Overview'!AN14</f>
        <v>11035.5</v>
      </c>
      <c r="AO14" s="25">
        <f>'Revenue Overview'!AO14</f>
        <v>11035.5</v>
      </c>
      <c r="AP14" s="25">
        <f>'Revenue Overview'!AP14</f>
        <v>11035.5</v>
      </c>
      <c r="AQ14" s="25">
        <f>'Revenue Overview'!AQ14</f>
        <v>11035.5</v>
      </c>
      <c r="AR14" s="26">
        <f t="shared" si="15"/>
        <v>132426</v>
      </c>
      <c r="AS14" s="14"/>
      <c r="AT14" s="25">
        <f>'Revenue Overview'!AT14</f>
        <v>11432.778</v>
      </c>
      <c r="AU14" s="25">
        <f>'Revenue Overview'!AU14</f>
        <v>11432.778</v>
      </c>
      <c r="AV14" s="25">
        <f>'Revenue Overview'!AV14</f>
        <v>11432.778</v>
      </c>
      <c r="AW14" s="25">
        <f>'Revenue Overview'!AW14</f>
        <v>11432.778</v>
      </c>
      <c r="AX14" s="25">
        <f>'Revenue Overview'!AX14</f>
        <v>11432.778</v>
      </c>
      <c r="AY14" s="25">
        <f>'Revenue Overview'!AY14</f>
        <v>11432.778</v>
      </c>
      <c r="AZ14" s="25">
        <f>'Revenue Overview'!AZ14</f>
        <v>11432.778</v>
      </c>
      <c r="BA14" s="25">
        <f>'Revenue Overview'!BA14</f>
        <v>11432.778</v>
      </c>
      <c r="BB14" s="25">
        <f>'Revenue Overview'!BB14</f>
        <v>11432.778</v>
      </c>
      <c r="BC14" s="25">
        <f>'Revenue Overview'!BC14</f>
        <v>11432.778</v>
      </c>
      <c r="BD14" s="25">
        <f>'Revenue Overview'!BD14</f>
        <v>11432.778</v>
      </c>
      <c r="BE14" s="25">
        <f>'Revenue Overview'!BE14</f>
        <v>11432.778</v>
      </c>
      <c r="BF14" s="26">
        <f t="shared" si="16"/>
        <v>137193.336</v>
      </c>
      <c r="BG14" s="14"/>
      <c r="BH14" s="25">
        <f>'Revenue Overview'!BH14</f>
        <v>11832.92523</v>
      </c>
      <c r="BI14" s="25">
        <f>'Revenue Overview'!BI14</f>
        <v>11832.92523</v>
      </c>
      <c r="BJ14" s="25">
        <f>'Revenue Overview'!BJ14</f>
        <v>11832.92523</v>
      </c>
      <c r="BK14" s="25">
        <f>'Revenue Overview'!BK14</f>
        <v>11832.92523</v>
      </c>
      <c r="BL14" s="25">
        <f>'Revenue Overview'!BL14</f>
        <v>11832.92523</v>
      </c>
      <c r="BM14" s="25">
        <f>'Revenue Overview'!BM14</f>
        <v>11832.92523</v>
      </c>
      <c r="BN14" s="25">
        <f>'Revenue Overview'!BN14</f>
        <v>11832.92523</v>
      </c>
      <c r="BO14" s="25">
        <f>'Revenue Overview'!BO14</f>
        <v>11832.92523</v>
      </c>
      <c r="BP14" s="25">
        <f>'Revenue Overview'!BP14</f>
        <v>11832.92523</v>
      </c>
      <c r="BQ14" s="25">
        <f>'Revenue Overview'!BQ14</f>
        <v>11832.92523</v>
      </c>
      <c r="BR14" s="25">
        <f>'Revenue Overview'!BR14</f>
        <v>11832.92523</v>
      </c>
      <c r="BS14" s="25">
        <f>'Revenue Overview'!BS14</f>
        <v>11832.92523</v>
      </c>
      <c r="BT14" s="26">
        <f t="shared" si="17"/>
        <v>141995.1028</v>
      </c>
      <c r="BU14" s="14"/>
      <c r="BV14" s="25">
        <f>'Revenue Overview'!BV14</f>
        <v>12247.07761</v>
      </c>
      <c r="BW14" s="25">
        <f>'Revenue Overview'!BW14</f>
        <v>12247.07761</v>
      </c>
      <c r="BX14" s="25">
        <f>'Revenue Overview'!BX14</f>
        <v>12247.07761</v>
      </c>
      <c r="BY14" s="25">
        <f>'Revenue Overview'!BY14</f>
        <v>12247.07761</v>
      </c>
      <c r="BZ14" s="25">
        <f>'Revenue Overview'!BZ14</f>
        <v>12247.07761</v>
      </c>
      <c r="CA14" s="25">
        <f>'Revenue Overview'!CA14</f>
        <v>12247.07761</v>
      </c>
      <c r="CB14" s="25">
        <f>'Revenue Overview'!CB14</f>
        <v>12247.07761</v>
      </c>
      <c r="CC14" s="25">
        <f>'Revenue Overview'!CC14</f>
        <v>12247.07761</v>
      </c>
      <c r="CD14" s="25">
        <f>'Revenue Overview'!CD14</f>
        <v>12247.07761</v>
      </c>
      <c r="CE14" s="25">
        <f>'Revenue Overview'!CE14</f>
        <v>12247.07761</v>
      </c>
      <c r="CF14" s="25">
        <f>'Revenue Overview'!CF14</f>
        <v>12247.07761</v>
      </c>
      <c r="CG14" s="25">
        <f>'Revenue Overview'!CG14</f>
        <v>12247.07761</v>
      </c>
      <c r="CH14" s="26">
        <f t="shared" si="18"/>
        <v>146964.9314</v>
      </c>
      <c r="CI14" s="14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ht="13.5" customHeight="1" outlineLevel="1">
      <c r="A15" s="1"/>
      <c r="B15" s="23" t="str">
        <f>'Revenue Overview'!B15</f>
        <v>Product 4</v>
      </c>
      <c r="C15" s="24" t="s">
        <v>29</v>
      </c>
      <c r="D15" s="25">
        <f>'Revenue Overview'!D15</f>
        <v>0</v>
      </c>
      <c r="E15" s="25">
        <f>'Revenue Overview'!E15</f>
        <v>0</v>
      </c>
      <c r="F15" s="25">
        <f>'Revenue Overview'!F15</f>
        <v>0</v>
      </c>
      <c r="G15" s="25">
        <f>'Revenue Overview'!G15</f>
        <v>0</v>
      </c>
      <c r="H15" s="25">
        <f>'Revenue Overview'!H15</f>
        <v>0</v>
      </c>
      <c r="I15" s="25">
        <f>'Revenue Overview'!I15</f>
        <v>0</v>
      </c>
      <c r="J15" s="25">
        <f>'Revenue Overview'!J15</f>
        <v>0</v>
      </c>
      <c r="K15" s="25">
        <f>'Revenue Overview'!K15</f>
        <v>0</v>
      </c>
      <c r="L15" s="25">
        <f>'Revenue Overview'!L15</f>
        <v>0</v>
      </c>
      <c r="M15" s="25">
        <f>'Revenue Overview'!M15</f>
        <v>0</v>
      </c>
      <c r="N15" s="25">
        <f>'Revenue Overview'!N15</f>
        <v>525</v>
      </c>
      <c r="O15" s="25">
        <f>'Revenue Overview'!O15</f>
        <v>693</v>
      </c>
      <c r="P15" s="26">
        <f t="shared" si="13"/>
        <v>1218</v>
      </c>
      <c r="Q15" s="14"/>
      <c r="R15" s="25">
        <f>'Revenue Overview'!R15</f>
        <v>840</v>
      </c>
      <c r="S15" s="25">
        <f>'Revenue Overview'!S15</f>
        <v>1050</v>
      </c>
      <c r="T15" s="25">
        <f>'Revenue Overview'!T15</f>
        <v>1575</v>
      </c>
      <c r="U15" s="25">
        <f>'Revenue Overview'!U15</f>
        <v>1575</v>
      </c>
      <c r="V15" s="25">
        <f>'Revenue Overview'!V15</f>
        <v>2100</v>
      </c>
      <c r="W15" s="25">
        <f>'Revenue Overview'!W15</f>
        <v>2625</v>
      </c>
      <c r="X15" s="25">
        <f>'Revenue Overview'!X15</f>
        <v>3675</v>
      </c>
      <c r="Y15" s="25">
        <f>'Revenue Overview'!Y15</f>
        <v>5250</v>
      </c>
      <c r="Z15" s="25">
        <f>'Revenue Overview'!Z15</f>
        <v>5250</v>
      </c>
      <c r="AA15" s="25">
        <f>'Revenue Overview'!AA15</f>
        <v>5250</v>
      </c>
      <c r="AB15" s="25">
        <f>'Revenue Overview'!AB15</f>
        <v>5250</v>
      </c>
      <c r="AC15" s="25">
        <f>'Revenue Overview'!AC15</f>
        <v>5250</v>
      </c>
      <c r="AD15" s="26">
        <f t="shared" si="14"/>
        <v>39690</v>
      </c>
      <c r="AE15" s="14"/>
      <c r="AF15" s="25">
        <f>'Revenue Overview'!AF15</f>
        <v>5517.75</v>
      </c>
      <c r="AG15" s="25">
        <f>'Revenue Overview'!AG15</f>
        <v>5517.75</v>
      </c>
      <c r="AH15" s="25">
        <f>'Revenue Overview'!AH15</f>
        <v>5517.75</v>
      </c>
      <c r="AI15" s="25">
        <f>'Revenue Overview'!AI15</f>
        <v>5517.75</v>
      </c>
      <c r="AJ15" s="25">
        <f>'Revenue Overview'!AJ15</f>
        <v>5517.75</v>
      </c>
      <c r="AK15" s="25">
        <f>'Revenue Overview'!AK15</f>
        <v>5517.75</v>
      </c>
      <c r="AL15" s="25">
        <f>'Revenue Overview'!AL15</f>
        <v>5517.75</v>
      </c>
      <c r="AM15" s="25">
        <f>'Revenue Overview'!AM15</f>
        <v>5517.75</v>
      </c>
      <c r="AN15" s="25">
        <f>'Revenue Overview'!AN15</f>
        <v>5517.75</v>
      </c>
      <c r="AO15" s="25">
        <f>'Revenue Overview'!AO15</f>
        <v>5517.75</v>
      </c>
      <c r="AP15" s="25">
        <f>'Revenue Overview'!AP15</f>
        <v>5517.75</v>
      </c>
      <c r="AQ15" s="25">
        <f>'Revenue Overview'!AQ15</f>
        <v>5517.75</v>
      </c>
      <c r="AR15" s="26">
        <f t="shared" si="15"/>
        <v>66213</v>
      </c>
      <c r="AS15" s="14"/>
      <c r="AT15" s="25">
        <f>'Revenue Overview'!AT15</f>
        <v>5716.389</v>
      </c>
      <c r="AU15" s="25">
        <f>'Revenue Overview'!AU15</f>
        <v>5716.389</v>
      </c>
      <c r="AV15" s="25">
        <f>'Revenue Overview'!AV15</f>
        <v>5716.389</v>
      </c>
      <c r="AW15" s="25">
        <f>'Revenue Overview'!AW15</f>
        <v>5716.389</v>
      </c>
      <c r="AX15" s="25">
        <f>'Revenue Overview'!AX15</f>
        <v>5716.389</v>
      </c>
      <c r="AY15" s="25">
        <f>'Revenue Overview'!AY15</f>
        <v>5716.389</v>
      </c>
      <c r="AZ15" s="25">
        <f>'Revenue Overview'!AZ15</f>
        <v>5716.389</v>
      </c>
      <c r="BA15" s="25">
        <f>'Revenue Overview'!BA15</f>
        <v>5716.389</v>
      </c>
      <c r="BB15" s="25">
        <f>'Revenue Overview'!BB15</f>
        <v>5716.389</v>
      </c>
      <c r="BC15" s="25">
        <f>'Revenue Overview'!BC15</f>
        <v>5716.389</v>
      </c>
      <c r="BD15" s="25">
        <f>'Revenue Overview'!BD15</f>
        <v>5716.389</v>
      </c>
      <c r="BE15" s="25">
        <f>'Revenue Overview'!BE15</f>
        <v>5716.389</v>
      </c>
      <c r="BF15" s="26">
        <f t="shared" si="16"/>
        <v>68596.668</v>
      </c>
      <c r="BG15" s="14"/>
      <c r="BH15" s="25">
        <f>'Revenue Overview'!BH15</f>
        <v>5916.462615</v>
      </c>
      <c r="BI15" s="25">
        <f>'Revenue Overview'!BI15</f>
        <v>5916.462615</v>
      </c>
      <c r="BJ15" s="25">
        <f>'Revenue Overview'!BJ15</f>
        <v>5916.462615</v>
      </c>
      <c r="BK15" s="25">
        <f>'Revenue Overview'!BK15</f>
        <v>5916.462615</v>
      </c>
      <c r="BL15" s="25">
        <f>'Revenue Overview'!BL15</f>
        <v>5916.462615</v>
      </c>
      <c r="BM15" s="25">
        <f>'Revenue Overview'!BM15</f>
        <v>5916.462615</v>
      </c>
      <c r="BN15" s="25">
        <f>'Revenue Overview'!BN15</f>
        <v>5916.462615</v>
      </c>
      <c r="BO15" s="25">
        <f>'Revenue Overview'!BO15</f>
        <v>5916.462615</v>
      </c>
      <c r="BP15" s="25">
        <f>'Revenue Overview'!BP15</f>
        <v>5916.462615</v>
      </c>
      <c r="BQ15" s="25">
        <f>'Revenue Overview'!BQ15</f>
        <v>5916.462615</v>
      </c>
      <c r="BR15" s="25">
        <f>'Revenue Overview'!BR15</f>
        <v>5916.462615</v>
      </c>
      <c r="BS15" s="25">
        <f>'Revenue Overview'!BS15</f>
        <v>5916.462615</v>
      </c>
      <c r="BT15" s="26">
        <f t="shared" si="17"/>
        <v>70997.55138</v>
      </c>
      <c r="BU15" s="14"/>
      <c r="BV15" s="25">
        <f>'Revenue Overview'!BV15</f>
        <v>6123.538807</v>
      </c>
      <c r="BW15" s="25">
        <f>'Revenue Overview'!BW15</f>
        <v>6123.538807</v>
      </c>
      <c r="BX15" s="25">
        <f>'Revenue Overview'!BX15</f>
        <v>6123.538807</v>
      </c>
      <c r="BY15" s="25">
        <f>'Revenue Overview'!BY15</f>
        <v>6123.538807</v>
      </c>
      <c r="BZ15" s="25">
        <f>'Revenue Overview'!BZ15</f>
        <v>6123.538807</v>
      </c>
      <c r="CA15" s="25">
        <f>'Revenue Overview'!CA15</f>
        <v>6123.538807</v>
      </c>
      <c r="CB15" s="25">
        <f>'Revenue Overview'!CB15</f>
        <v>6123.538807</v>
      </c>
      <c r="CC15" s="25">
        <f>'Revenue Overview'!CC15</f>
        <v>6123.538807</v>
      </c>
      <c r="CD15" s="25">
        <f>'Revenue Overview'!CD15</f>
        <v>6123.538807</v>
      </c>
      <c r="CE15" s="25">
        <f>'Revenue Overview'!CE15</f>
        <v>6123.538807</v>
      </c>
      <c r="CF15" s="25">
        <f>'Revenue Overview'!CF15</f>
        <v>6123.538807</v>
      </c>
      <c r="CG15" s="25">
        <f>'Revenue Overview'!CG15</f>
        <v>6123.538807</v>
      </c>
      <c r="CH15" s="26">
        <f t="shared" si="18"/>
        <v>73482.46568</v>
      </c>
      <c r="CI15" s="14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ht="13.5" customHeight="1" outlineLevel="1">
      <c r="A16" s="1"/>
      <c r="B16" s="23" t="str">
        <f>'Revenue Overview'!B16</f>
        <v>Product 5</v>
      </c>
      <c r="C16" s="24" t="s">
        <v>30</v>
      </c>
      <c r="D16" s="25">
        <f>'Revenue Overview'!D16</f>
        <v>0</v>
      </c>
      <c r="E16" s="25">
        <f>'Revenue Overview'!E16</f>
        <v>0</v>
      </c>
      <c r="F16" s="25">
        <f>'Revenue Overview'!F16</f>
        <v>0</v>
      </c>
      <c r="G16" s="25">
        <f>'Revenue Overview'!G16</f>
        <v>0</v>
      </c>
      <c r="H16" s="25">
        <f>'Revenue Overview'!H16</f>
        <v>0</v>
      </c>
      <c r="I16" s="25">
        <f>'Revenue Overview'!I16</f>
        <v>0</v>
      </c>
      <c r="J16" s="25">
        <f>'Revenue Overview'!J16</f>
        <v>0</v>
      </c>
      <c r="K16" s="25">
        <f>'Revenue Overview'!K16</f>
        <v>0</v>
      </c>
      <c r="L16" s="25">
        <f>'Revenue Overview'!L16</f>
        <v>0</v>
      </c>
      <c r="M16" s="25">
        <f>'Revenue Overview'!M16</f>
        <v>0</v>
      </c>
      <c r="N16" s="25">
        <f>'Revenue Overview'!N16</f>
        <v>525</v>
      </c>
      <c r="O16" s="25">
        <f>'Revenue Overview'!O16</f>
        <v>693</v>
      </c>
      <c r="P16" s="26">
        <f t="shared" si="13"/>
        <v>1218</v>
      </c>
      <c r="Q16" s="14"/>
      <c r="R16" s="25">
        <f>'Revenue Overview'!R16</f>
        <v>840</v>
      </c>
      <c r="S16" s="25">
        <f>'Revenue Overview'!S16</f>
        <v>1050</v>
      </c>
      <c r="T16" s="25">
        <f>'Revenue Overview'!T16</f>
        <v>1575</v>
      </c>
      <c r="U16" s="25">
        <f>'Revenue Overview'!U16</f>
        <v>1575</v>
      </c>
      <c r="V16" s="25">
        <f>'Revenue Overview'!V16</f>
        <v>2100</v>
      </c>
      <c r="W16" s="25">
        <f>'Revenue Overview'!W16</f>
        <v>2625</v>
      </c>
      <c r="X16" s="25">
        <f>'Revenue Overview'!X16</f>
        <v>3675</v>
      </c>
      <c r="Y16" s="25">
        <f>'Revenue Overview'!Y16</f>
        <v>5250</v>
      </c>
      <c r="Z16" s="25">
        <f>'Revenue Overview'!Z16</f>
        <v>5250</v>
      </c>
      <c r="AA16" s="25">
        <f>'Revenue Overview'!AA16</f>
        <v>5250</v>
      </c>
      <c r="AB16" s="25">
        <f>'Revenue Overview'!AB16</f>
        <v>5250</v>
      </c>
      <c r="AC16" s="25">
        <f>'Revenue Overview'!AC16</f>
        <v>5250</v>
      </c>
      <c r="AD16" s="26">
        <f t="shared" si="14"/>
        <v>39690</v>
      </c>
      <c r="AE16" s="14"/>
      <c r="AF16" s="25">
        <f>'Revenue Overview'!AF16</f>
        <v>5517.75</v>
      </c>
      <c r="AG16" s="25">
        <f>'Revenue Overview'!AG16</f>
        <v>5517.75</v>
      </c>
      <c r="AH16" s="25">
        <f>'Revenue Overview'!AH16</f>
        <v>5517.75</v>
      </c>
      <c r="AI16" s="25">
        <f>'Revenue Overview'!AI16</f>
        <v>5517.75</v>
      </c>
      <c r="AJ16" s="25">
        <f>'Revenue Overview'!AJ16</f>
        <v>5517.75</v>
      </c>
      <c r="AK16" s="25">
        <f>'Revenue Overview'!AK16</f>
        <v>5517.75</v>
      </c>
      <c r="AL16" s="25">
        <f>'Revenue Overview'!AL16</f>
        <v>5517.75</v>
      </c>
      <c r="AM16" s="25">
        <f>'Revenue Overview'!AM16</f>
        <v>5517.75</v>
      </c>
      <c r="AN16" s="25">
        <f>'Revenue Overview'!AN16</f>
        <v>5517.75</v>
      </c>
      <c r="AO16" s="25">
        <f>'Revenue Overview'!AO16</f>
        <v>5517.75</v>
      </c>
      <c r="AP16" s="25">
        <f>'Revenue Overview'!AP16</f>
        <v>5517.75</v>
      </c>
      <c r="AQ16" s="25">
        <f>'Revenue Overview'!AQ16</f>
        <v>5517.75</v>
      </c>
      <c r="AR16" s="26">
        <f t="shared" si="15"/>
        <v>66213</v>
      </c>
      <c r="AS16" s="14"/>
      <c r="AT16" s="25">
        <f>'Revenue Overview'!AT16</f>
        <v>5716.389</v>
      </c>
      <c r="AU16" s="25">
        <f>'Revenue Overview'!AU16</f>
        <v>5716.389</v>
      </c>
      <c r="AV16" s="25">
        <f>'Revenue Overview'!AV16</f>
        <v>5716.389</v>
      </c>
      <c r="AW16" s="25">
        <f>'Revenue Overview'!AW16</f>
        <v>5716.389</v>
      </c>
      <c r="AX16" s="25">
        <f>'Revenue Overview'!AX16</f>
        <v>5716.389</v>
      </c>
      <c r="AY16" s="25">
        <f>'Revenue Overview'!AY16</f>
        <v>5716.389</v>
      </c>
      <c r="AZ16" s="25">
        <f>'Revenue Overview'!AZ16</f>
        <v>5716.389</v>
      </c>
      <c r="BA16" s="25">
        <f>'Revenue Overview'!BA16</f>
        <v>5716.389</v>
      </c>
      <c r="BB16" s="25">
        <f>'Revenue Overview'!BB16</f>
        <v>5716.389</v>
      </c>
      <c r="BC16" s="25">
        <f>'Revenue Overview'!BC16</f>
        <v>5716.389</v>
      </c>
      <c r="BD16" s="25">
        <f>'Revenue Overview'!BD16</f>
        <v>5716.389</v>
      </c>
      <c r="BE16" s="25">
        <f>'Revenue Overview'!BE16</f>
        <v>5716.389</v>
      </c>
      <c r="BF16" s="26">
        <f t="shared" si="16"/>
        <v>68596.668</v>
      </c>
      <c r="BG16" s="14"/>
      <c r="BH16" s="25">
        <f>'Revenue Overview'!BH16</f>
        <v>5916.462615</v>
      </c>
      <c r="BI16" s="25">
        <f>'Revenue Overview'!BI16</f>
        <v>5916.462615</v>
      </c>
      <c r="BJ16" s="25">
        <f>'Revenue Overview'!BJ16</f>
        <v>5916.462615</v>
      </c>
      <c r="BK16" s="25">
        <f>'Revenue Overview'!BK16</f>
        <v>5916.462615</v>
      </c>
      <c r="BL16" s="25">
        <f>'Revenue Overview'!BL16</f>
        <v>5916.462615</v>
      </c>
      <c r="BM16" s="25">
        <f>'Revenue Overview'!BM16</f>
        <v>5916.462615</v>
      </c>
      <c r="BN16" s="25">
        <f>'Revenue Overview'!BN16</f>
        <v>5916.462615</v>
      </c>
      <c r="BO16" s="25">
        <f>'Revenue Overview'!BO16</f>
        <v>5916.462615</v>
      </c>
      <c r="BP16" s="25">
        <f>'Revenue Overview'!BP16</f>
        <v>5916.462615</v>
      </c>
      <c r="BQ16" s="25">
        <f>'Revenue Overview'!BQ16</f>
        <v>5916.462615</v>
      </c>
      <c r="BR16" s="25">
        <f>'Revenue Overview'!BR16</f>
        <v>5916.462615</v>
      </c>
      <c r="BS16" s="25">
        <f>'Revenue Overview'!BS16</f>
        <v>5916.462615</v>
      </c>
      <c r="BT16" s="26">
        <f t="shared" si="17"/>
        <v>70997.55138</v>
      </c>
      <c r="BU16" s="14"/>
      <c r="BV16" s="25">
        <f>'Revenue Overview'!BV16</f>
        <v>6123.538807</v>
      </c>
      <c r="BW16" s="25">
        <f>'Revenue Overview'!BW16</f>
        <v>6123.538807</v>
      </c>
      <c r="BX16" s="25">
        <f>'Revenue Overview'!BX16</f>
        <v>6123.538807</v>
      </c>
      <c r="BY16" s="25">
        <f>'Revenue Overview'!BY16</f>
        <v>6123.538807</v>
      </c>
      <c r="BZ16" s="25">
        <f>'Revenue Overview'!BZ16</f>
        <v>6123.538807</v>
      </c>
      <c r="CA16" s="25">
        <f>'Revenue Overview'!CA16</f>
        <v>6123.538807</v>
      </c>
      <c r="CB16" s="25">
        <f>'Revenue Overview'!CB16</f>
        <v>6123.538807</v>
      </c>
      <c r="CC16" s="25">
        <f>'Revenue Overview'!CC16</f>
        <v>6123.538807</v>
      </c>
      <c r="CD16" s="25">
        <f>'Revenue Overview'!CD16</f>
        <v>6123.538807</v>
      </c>
      <c r="CE16" s="25">
        <f>'Revenue Overview'!CE16</f>
        <v>6123.538807</v>
      </c>
      <c r="CF16" s="25">
        <f>'Revenue Overview'!CF16</f>
        <v>6123.538807</v>
      </c>
      <c r="CG16" s="25">
        <f>'Revenue Overview'!CG16</f>
        <v>6123.538807</v>
      </c>
      <c r="CH16" s="26">
        <f t="shared" si="18"/>
        <v>73482.46568</v>
      </c>
      <c r="CI16" s="14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ht="13.5" customHeight="1" outlineLevel="1">
      <c r="A17" s="1"/>
      <c r="B17" s="23" t="str">
        <f>'Revenue Overview'!B17</f>
        <v>Product 6</v>
      </c>
      <c r="C17" s="24" t="s">
        <v>31</v>
      </c>
      <c r="D17" s="25">
        <f>'Revenue Overview'!D17</f>
        <v>0</v>
      </c>
      <c r="E17" s="25">
        <f>'Revenue Overview'!E17</f>
        <v>0</v>
      </c>
      <c r="F17" s="25">
        <f>'Revenue Overview'!F17</f>
        <v>0</v>
      </c>
      <c r="G17" s="25">
        <f>'Revenue Overview'!G17</f>
        <v>0</v>
      </c>
      <c r="H17" s="25">
        <f>'Revenue Overview'!H17</f>
        <v>0</v>
      </c>
      <c r="I17" s="25">
        <f>'Revenue Overview'!I17</f>
        <v>0</v>
      </c>
      <c r="J17" s="25">
        <f>'Revenue Overview'!J17</f>
        <v>0</v>
      </c>
      <c r="K17" s="25">
        <f>'Revenue Overview'!K17</f>
        <v>0</v>
      </c>
      <c r="L17" s="25">
        <f>'Revenue Overview'!L17</f>
        <v>0</v>
      </c>
      <c r="M17" s="25">
        <f>'Revenue Overview'!M17</f>
        <v>0</v>
      </c>
      <c r="N17" s="25">
        <f>'Revenue Overview'!N17</f>
        <v>525</v>
      </c>
      <c r="O17" s="25">
        <f>'Revenue Overview'!O17</f>
        <v>693</v>
      </c>
      <c r="P17" s="26">
        <f t="shared" si="13"/>
        <v>1218</v>
      </c>
      <c r="Q17" s="14"/>
      <c r="R17" s="25">
        <f>'Revenue Overview'!R17</f>
        <v>840</v>
      </c>
      <c r="S17" s="25">
        <f>'Revenue Overview'!S17</f>
        <v>1050</v>
      </c>
      <c r="T17" s="25">
        <f>'Revenue Overview'!T17</f>
        <v>1575</v>
      </c>
      <c r="U17" s="25">
        <f>'Revenue Overview'!U17</f>
        <v>1575</v>
      </c>
      <c r="V17" s="25">
        <f>'Revenue Overview'!V17</f>
        <v>2100</v>
      </c>
      <c r="W17" s="25">
        <f>'Revenue Overview'!W17</f>
        <v>2625</v>
      </c>
      <c r="X17" s="25">
        <f>'Revenue Overview'!X17</f>
        <v>3675</v>
      </c>
      <c r="Y17" s="25">
        <f>'Revenue Overview'!Y17</f>
        <v>5250</v>
      </c>
      <c r="Z17" s="25">
        <f>'Revenue Overview'!Z17</f>
        <v>5250</v>
      </c>
      <c r="AA17" s="25">
        <f>'Revenue Overview'!AA17</f>
        <v>5250</v>
      </c>
      <c r="AB17" s="25">
        <f>'Revenue Overview'!AB17</f>
        <v>5250</v>
      </c>
      <c r="AC17" s="25">
        <f>'Revenue Overview'!AC17</f>
        <v>5250</v>
      </c>
      <c r="AD17" s="26">
        <f t="shared" si="14"/>
        <v>39690</v>
      </c>
      <c r="AE17" s="14"/>
      <c r="AF17" s="25">
        <f>'Revenue Overview'!AF17</f>
        <v>5517.75</v>
      </c>
      <c r="AG17" s="25">
        <f>'Revenue Overview'!AG17</f>
        <v>5517.75</v>
      </c>
      <c r="AH17" s="25">
        <f>'Revenue Overview'!AH17</f>
        <v>5517.75</v>
      </c>
      <c r="AI17" s="25">
        <f>'Revenue Overview'!AI17</f>
        <v>5517.75</v>
      </c>
      <c r="AJ17" s="25">
        <f>'Revenue Overview'!AJ17</f>
        <v>5517.75</v>
      </c>
      <c r="AK17" s="25">
        <f>'Revenue Overview'!AK17</f>
        <v>5517.75</v>
      </c>
      <c r="AL17" s="25">
        <f>'Revenue Overview'!AL17</f>
        <v>5517.75</v>
      </c>
      <c r="AM17" s="25">
        <f>'Revenue Overview'!AM17</f>
        <v>5517.75</v>
      </c>
      <c r="AN17" s="25">
        <f>'Revenue Overview'!AN17</f>
        <v>5517.75</v>
      </c>
      <c r="AO17" s="25">
        <f>'Revenue Overview'!AO17</f>
        <v>5517.75</v>
      </c>
      <c r="AP17" s="25">
        <f>'Revenue Overview'!AP17</f>
        <v>5517.75</v>
      </c>
      <c r="AQ17" s="25">
        <f>'Revenue Overview'!AQ17</f>
        <v>5517.75</v>
      </c>
      <c r="AR17" s="26">
        <f t="shared" si="15"/>
        <v>66213</v>
      </c>
      <c r="AS17" s="14"/>
      <c r="AT17" s="25">
        <f>'Revenue Overview'!AT17</f>
        <v>5716.389</v>
      </c>
      <c r="AU17" s="25">
        <f>'Revenue Overview'!AU17</f>
        <v>5716.389</v>
      </c>
      <c r="AV17" s="25">
        <f>'Revenue Overview'!AV17</f>
        <v>5716.389</v>
      </c>
      <c r="AW17" s="25">
        <f>'Revenue Overview'!AW17</f>
        <v>5716.389</v>
      </c>
      <c r="AX17" s="25">
        <f>'Revenue Overview'!AX17</f>
        <v>5716.389</v>
      </c>
      <c r="AY17" s="25">
        <f>'Revenue Overview'!AY17</f>
        <v>5716.389</v>
      </c>
      <c r="AZ17" s="25">
        <f>'Revenue Overview'!AZ17</f>
        <v>5716.389</v>
      </c>
      <c r="BA17" s="25">
        <f>'Revenue Overview'!BA17</f>
        <v>5716.389</v>
      </c>
      <c r="BB17" s="25">
        <f>'Revenue Overview'!BB17</f>
        <v>5716.389</v>
      </c>
      <c r="BC17" s="25">
        <f>'Revenue Overview'!BC17</f>
        <v>5716.389</v>
      </c>
      <c r="BD17" s="25">
        <f>'Revenue Overview'!BD17</f>
        <v>5716.389</v>
      </c>
      <c r="BE17" s="25">
        <f>'Revenue Overview'!BE17</f>
        <v>5716.389</v>
      </c>
      <c r="BF17" s="26">
        <f t="shared" si="16"/>
        <v>68596.668</v>
      </c>
      <c r="BG17" s="14"/>
      <c r="BH17" s="25">
        <f>'Revenue Overview'!BH17</f>
        <v>5916.462615</v>
      </c>
      <c r="BI17" s="25">
        <f>'Revenue Overview'!BI17</f>
        <v>5916.462615</v>
      </c>
      <c r="BJ17" s="25">
        <f>'Revenue Overview'!BJ17</f>
        <v>5916.462615</v>
      </c>
      <c r="BK17" s="25">
        <f>'Revenue Overview'!BK17</f>
        <v>5916.462615</v>
      </c>
      <c r="BL17" s="25">
        <f>'Revenue Overview'!BL17</f>
        <v>5916.462615</v>
      </c>
      <c r="BM17" s="25">
        <f>'Revenue Overview'!BM17</f>
        <v>5916.462615</v>
      </c>
      <c r="BN17" s="25">
        <f>'Revenue Overview'!BN17</f>
        <v>5916.462615</v>
      </c>
      <c r="BO17" s="25">
        <f>'Revenue Overview'!BO17</f>
        <v>5916.462615</v>
      </c>
      <c r="BP17" s="25">
        <f>'Revenue Overview'!BP17</f>
        <v>5916.462615</v>
      </c>
      <c r="BQ17" s="25">
        <f>'Revenue Overview'!BQ17</f>
        <v>5916.462615</v>
      </c>
      <c r="BR17" s="25">
        <f>'Revenue Overview'!BR17</f>
        <v>5916.462615</v>
      </c>
      <c r="BS17" s="25">
        <f>'Revenue Overview'!BS17</f>
        <v>5916.462615</v>
      </c>
      <c r="BT17" s="26">
        <f t="shared" si="17"/>
        <v>70997.55138</v>
      </c>
      <c r="BU17" s="14"/>
      <c r="BV17" s="25">
        <f>'Revenue Overview'!BV17</f>
        <v>6123.538807</v>
      </c>
      <c r="BW17" s="25">
        <f>'Revenue Overview'!BW17</f>
        <v>6123.538807</v>
      </c>
      <c r="BX17" s="25">
        <f>'Revenue Overview'!BX17</f>
        <v>6123.538807</v>
      </c>
      <c r="BY17" s="25">
        <f>'Revenue Overview'!BY17</f>
        <v>6123.538807</v>
      </c>
      <c r="BZ17" s="25">
        <f>'Revenue Overview'!BZ17</f>
        <v>6123.538807</v>
      </c>
      <c r="CA17" s="25">
        <f>'Revenue Overview'!CA17</f>
        <v>6123.538807</v>
      </c>
      <c r="CB17" s="25">
        <f>'Revenue Overview'!CB17</f>
        <v>6123.538807</v>
      </c>
      <c r="CC17" s="25">
        <f>'Revenue Overview'!CC17</f>
        <v>6123.538807</v>
      </c>
      <c r="CD17" s="25">
        <f>'Revenue Overview'!CD17</f>
        <v>6123.538807</v>
      </c>
      <c r="CE17" s="25">
        <f>'Revenue Overview'!CE17</f>
        <v>6123.538807</v>
      </c>
      <c r="CF17" s="25">
        <f>'Revenue Overview'!CF17</f>
        <v>6123.538807</v>
      </c>
      <c r="CG17" s="25">
        <f>'Revenue Overview'!CG17</f>
        <v>6123.538807</v>
      </c>
      <c r="CH17" s="26">
        <f t="shared" si="18"/>
        <v>73482.46568</v>
      </c>
      <c r="CI17" s="14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ht="13.5" customHeight="1" outlineLevel="1">
      <c r="A18" s="1"/>
      <c r="B18" s="23" t="str">
        <f>'Revenue Overview'!B18</f>
        <v>Product 7</v>
      </c>
      <c r="C18" s="24" t="s">
        <v>32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4"/>
      <c r="R18" s="25"/>
      <c r="S18" s="25"/>
      <c r="T18" s="25"/>
      <c r="U18" s="25"/>
      <c r="V18" s="25">
        <f>'Revenue Overview'!V18</f>
        <v>1050</v>
      </c>
      <c r="W18" s="25">
        <f>'Revenue Overview'!W18</f>
        <v>2100</v>
      </c>
      <c r="X18" s="25">
        <f>'Revenue Overview'!X18</f>
        <v>3150</v>
      </c>
      <c r="Y18" s="25">
        <f>'Revenue Overview'!Y18</f>
        <v>4725</v>
      </c>
      <c r="Z18" s="25">
        <f>'Revenue Overview'!Z18</f>
        <v>4725</v>
      </c>
      <c r="AA18" s="25">
        <f>'Revenue Overview'!AA18</f>
        <v>4725</v>
      </c>
      <c r="AB18" s="25">
        <f>'Revenue Overview'!AB18</f>
        <v>4725</v>
      </c>
      <c r="AC18" s="25">
        <f>'Revenue Overview'!AC18</f>
        <v>4725</v>
      </c>
      <c r="AD18" s="26">
        <f t="shared" si="14"/>
        <v>29925</v>
      </c>
      <c r="AE18" s="14"/>
      <c r="AF18" s="25">
        <f>'Revenue Overview'!AF18</f>
        <v>4965.975</v>
      </c>
      <c r="AG18" s="25">
        <f>'Revenue Overview'!AG18</f>
        <v>4965.975</v>
      </c>
      <c r="AH18" s="25">
        <f>'Revenue Overview'!AH18</f>
        <v>4965.975</v>
      </c>
      <c r="AI18" s="25">
        <f>'Revenue Overview'!AI18</f>
        <v>4965.975</v>
      </c>
      <c r="AJ18" s="25">
        <f>'Revenue Overview'!AJ18</f>
        <v>4965.975</v>
      </c>
      <c r="AK18" s="25">
        <f>'Revenue Overview'!AK18</f>
        <v>4965.975</v>
      </c>
      <c r="AL18" s="25">
        <f>'Revenue Overview'!AL18</f>
        <v>4965.975</v>
      </c>
      <c r="AM18" s="25">
        <f>'Revenue Overview'!AM18</f>
        <v>4965.975</v>
      </c>
      <c r="AN18" s="25">
        <f>'Revenue Overview'!AN18</f>
        <v>4965.975</v>
      </c>
      <c r="AO18" s="25">
        <f>'Revenue Overview'!AO18</f>
        <v>4965.975</v>
      </c>
      <c r="AP18" s="25">
        <f>'Revenue Overview'!AP18</f>
        <v>4965.975</v>
      </c>
      <c r="AQ18" s="25">
        <f>'Revenue Overview'!AQ18</f>
        <v>4965.975</v>
      </c>
      <c r="AR18" s="26">
        <f t="shared" si="15"/>
        <v>59591.7</v>
      </c>
      <c r="AS18" s="14"/>
      <c r="AT18" s="25">
        <f>'Revenue Overview'!AT18</f>
        <v>5144.7501</v>
      </c>
      <c r="AU18" s="25">
        <f>'Revenue Overview'!AU18</f>
        <v>5144.7501</v>
      </c>
      <c r="AV18" s="25">
        <f>'Revenue Overview'!AV18</f>
        <v>5144.7501</v>
      </c>
      <c r="AW18" s="25">
        <f>'Revenue Overview'!AW18</f>
        <v>5144.7501</v>
      </c>
      <c r="AX18" s="25">
        <f>'Revenue Overview'!AX18</f>
        <v>5144.7501</v>
      </c>
      <c r="AY18" s="25">
        <f>'Revenue Overview'!AY18</f>
        <v>5144.7501</v>
      </c>
      <c r="AZ18" s="25">
        <f>'Revenue Overview'!AZ18</f>
        <v>5144.7501</v>
      </c>
      <c r="BA18" s="25">
        <f>'Revenue Overview'!BA18</f>
        <v>5144.7501</v>
      </c>
      <c r="BB18" s="25">
        <f>'Revenue Overview'!BB18</f>
        <v>5144.7501</v>
      </c>
      <c r="BC18" s="25">
        <f>'Revenue Overview'!BC18</f>
        <v>5144.7501</v>
      </c>
      <c r="BD18" s="25">
        <f>'Revenue Overview'!BD18</f>
        <v>5144.7501</v>
      </c>
      <c r="BE18" s="25">
        <f>'Revenue Overview'!BE18</f>
        <v>5144.7501</v>
      </c>
      <c r="BF18" s="26">
        <f t="shared" si="16"/>
        <v>61737.0012</v>
      </c>
      <c r="BG18" s="14"/>
      <c r="BH18" s="25">
        <f>'Revenue Overview'!BH18</f>
        <v>5324.816354</v>
      </c>
      <c r="BI18" s="25">
        <f>'Revenue Overview'!BI18</f>
        <v>5324.816354</v>
      </c>
      <c r="BJ18" s="25">
        <f>'Revenue Overview'!BJ18</f>
        <v>5324.816354</v>
      </c>
      <c r="BK18" s="25">
        <f>'Revenue Overview'!BK18</f>
        <v>5324.816354</v>
      </c>
      <c r="BL18" s="25">
        <f>'Revenue Overview'!BL18</f>
        <v>5324.816354</v>
      </c>
      <c r="BM18" s="25">
        <f>'Revenue Overview'!BM18</f>
        <v>5324.816354</v>
      </c>
      <c r="BN18" s="25">
        <f>'Revenue Overview'!BN18</f>
        <v>5324.816354</v>
      </c>
      <c r="BO18" s="25">
        <f>'Revenue Overview'!BO18</f>
        <v>5324.816354</v>
      </c>
      <c r="BP18" s="25">
        <f>'Revenue Overview'!BP18</f>
        <v>5324.816354</v>
      </c>
      <c r="BQ18" s="25">
        <f>'Revenue Overview'!BQ18</f>
        <v>5324.816354</v>
      </c>
      <c r="BR18" s="25">
        <f>'Revenue Overview'!BR18</f>
        <v>5324.816354</v>
      </c>
      <c r="BS18" s="25">
        <f>'Revenue Overview'!BS18</f>
        <v>5324.816354</v>
      </c>
      <c r="BT18" s="26">
        <f t="shared" si="17"/>
        <v>63897.79624</v>
      </c>
      <c r="BU18" s="14"/>
      <c r="BV18" s="25">
        <f>'Revenue Overview'!BV18</f>
        <v>5511.184926</v>
      </c>
      <c r="BW18" s="25">
        <f>'Revenue Overview'!BW18</f>
        <v>5511.184926</v>
      </c>
      <c r="BX18" s="25">
        <f>'Revenue Overview'!BX18</f>
        <v>5511.184926</v>
      </c>
      <c r="BY18" s="25">
        <f>'Revenue Overview'!BY18</f>
        <v>5511.184926</v>
      </c>
      <c r="BZ18" s="25">
        <f>'Revenue Overview'!BZ18</f>
        <v>5511.184926</v>
      </c>
      <c r="CA18" s="25">
        <f>'Revenue Overview'!CA18</f>
        <v>5511.184926</v>
      </c>
      <c r="CB18" s="25">
        <f>'Revenue Overview'!CB18</f>
        <v>5511.184926</v>
      </c>
      <c r="CC18" s="25">
        <f>'Revenue Overview'!CC18</f>
        <v>5511.184926</v>
      </c>
      <c r="CD18" s="25">
        <f>'Revenue Overview'!CD18</f>
        <v>5511.184926</v>
      </c>
      <c r="CE18" s="25">
        <f>'Revenue Overview'!CE18</f>
        <v>5511.184926</v>
      </c>
      <c r="CF18" s="25">
        <f>'Revenue Overview'!CF18</f>
        <v>5511.184926</v>
      </c>
      <c r="CG18" s="25">
        <f>'Revenue Overview'!CG18</f>
        <v>5511.184926</v>
      </c>
      <c r="CH18" s="26">
        <f t="shared" si="18"/>
        <v>66134.21911</v>
      </c>
      <c r="CI18" s="14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ht="13.5" customHeight="1" outlineLevel="1">
      <c r="A19" s="1"/>
      <c r="B19" s="23" t="str">
        <f>'Revenue Overview'!B19</f>
        <v>Product 8</v>
      </c>
      <c r="C19" s="24" t="s">
        <v>33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4"/>
      <c r="R19" s="25"/>
      <c r="S19" s="25"/>
      <c r="T19" s="25"/>
      <c r="U19" s="25"/>
      <c r="V19" s="25">
        <f>'Revenue Overview'!V19</f>
        <v>1050</v>
      </c>
      <c r="W19" s="25">
        <f>'Revenue Overview'!W19</f>
        <v>2100</v>
      </c>
      <c r="X19" s="25">
        <f>'Revenue Overview'!X19</f>
        <v>3150</v>
      </c>
      <c r="Y19" s="25">
        <f>'Revenue Overview'!Y19</f>
        <v>4725</v>
      </c>
      <c r="Z19" s="25">
        <f>'Revenue Overview'!Z19</f>
        <v>4725</v>
      </c>
      <c r="AA19" s="25">
        <f>'Revenue Overview'!AA19</f>
        <v>4725</v>
      </c>
      <c r="AB19" s="25">
        <f>'Revenue Overview'!AB19</f>
        <v>4725</v>
      </c>
      <c r="AC19" s="25">
        <f>'Revenue Overview'!AC19</f>
        <v>4725</v>
      </c>
      <c r="AD19" s="26">
        <f t="shared" si="14"/>
        <v>29925</v>
      </c>
      <c r="AE19" s="14"/>
      <c r="AF19" s="25">
        <f>'Revenue Overview'!AF19</f>
        <v>4965.975</v>
      </c>
      <c r="AG19" s="25">
        <f>'Revenue Overview'!AG19</f>
        <v>4965.975</v>
      </c>
      <c r="AH19" s="25">
        <f>'Revenue Overview'!AH19</f>
        <v>4965.975</v>
      </c>
      <c r="AI19" s="25">
        <f>'Revenue Overview'!AI19</f>
        <v>4965.975</v>
      </c>
      <c r="AJ19" s="25">
        <f>'Revenue Overview'!AJ19</f>
        <v>4965.975</v>
      </c>
      <c r="AK19" s="25">
        <f>'Revenue Overview'!AK19</f>
        <v>4965.975</v>
      </c>
      <c r="AL19" s="25">
        <f>'Revenue Overview'!AL19</f>
        <v>4965.975</v>
      </c>
      <c r="AM19" s="25">
        <f>'Revenue Overview'!AM19</f>
        <v>4965.975</v>
      </c>
      <c r="AN19" s="25">
        <f>'Revenue Overview'!AN19</f>
        <v>4965.975</v>
      </c>
      <c r="AO19" s="25">
        <f>'Revenue Overview'!AO19</f>
        <v>4965.975</v>
      </c>
      <c r="AP19" s="25">
        <f>'Revenue Overview'!AP19</f>
        <v>4965.975</v>
      </c>
      <c r="AQ19" s="25">
        <f>'Revenue Overview'!AQ19</f>
        <v>4965.975</v>
      </c>
      <c r="AR19" s="26">
        <f t="shared" si="15"/>
        <v>59591.7</v>
      </c>
      <c r="AS19" s="14"/>
      <c r="AT19" s="25">
        <f>'Revenue Overview'!AT19</f>
        <v>5144.7501</v>
      </c>
      <c r="AU19" s="25">
        <f>'Revenue Overview'!AU19</f>
        <v>5144.7501</v>
      </c>
      <c r="AV19" s="25">
        <f>'Revenue Overview'!AV19</f>
        <v>5144.7501</v>
      </c>
      <c r="AW19" s="25">
        <f>'Revenue Overview'!AW19</f>
        <v>5144.7501</v>
      </c>
      <c r="AX19" s="25">
        <f>'Revenue Overview'!AX19</f>
        <v>5144.7501</v>
      </c>
      <c r="AY19" s="25">
        <f>'Revenue Overview'!AY19</f>
        <v>5144.7501</v>
      </c>
      <c r="AZ19" s="25">
        <f>'Revenue Overview'!AZ19</f>
        <v>5144.7501</v>
      </c>
      <c r="BA19" s="25">
        <f>'Revenue Overview'!BA19</f>
        <v>5144.7501</v>
      </c>
      <c r="BB19" s="25">
        <f>'Revenue Overview'!BB19</f>
        <v>5144.7501</v>
      </c>
      <c r="BC19" s="25">
        <f>'Revenue Overview'!BC19</f>
        <v>5144.7501</v>
      </c>
      <c r="BD19" s="25">
        <f>'Revenue Overview'!BD19</f>
        <v>5144.7501</v>
      </c>
      <c r="BE19" s="25">
        <f>'Revenue Overview'!BE19</f>
        <v>5144.7501</v>
      </c>
      <c r="BF19" s="26">
        <f t="shared" si="16"/>
        <v>61737.0012</v>
      </c>
      <c r="BG19" s="14"/>
      <c r="BH19" s="25">
        <f>'Revenue Overview'!BH19</f>
        <v>5324.816354</v>
      </c>
      <c r="BI19" s="25">
        <f>'Revenue Overview'!BI19</f>
        <v>5324.816354</v>
      </c>
      <c r="BJ19" s="25">
        <f>'Revenue Overview'!BJ19</f>
        <v>5324.816354</v>
      </c>
      <c r="BK19" s="25">
        <f>'Revenue Overview'!BK19</f>
        <v>5324.816354</v>
      </c>
      <c r="BL19" s="25">
        <f>'Revenue Overview'!BL19</f>
        <v>5324.816354</v>
      </c>
      <c r="BM19" s="25">
        <f>'Revenue Overview'!BM19</f>
        <v>5324.816354</v>
      </c>
      <c r="BN19" s="25">
        <f>'Revenue Overview'!BN19</f>
        <v>5324.816354</v>
      </c>
      <c r="BO19" s="25">
        <f>'Revenue Overview'!BO19</f>
        <v>5324.816354</v>
      </c>
      <c r="BP19" s="25">
        <f>'Revenue Overview'!BP19</f>
        <v>5324.816354</v>
      </c>
      <c r="BQ19" s="25">
        <f>'Revenue Overview'!BQ19</f>
        <v>5324.816354</v>
      </c>
      <c r="BR19" s="25">
        <f>'Revenue Overview'!BR19</f>
        <v>5324.816354</v>
      </c>
      <c r="BS19" s="25">
        <f>'Revenue Overview'!BS19</f>
        <v>5324.816354</v>
      </c>
      <c r="BT19" s="26">
        <f t="shared" si="17"/>
        <v>63897.79624</v>
      </c>
      <c r="BU19" s="14"/>
      <c r="BV19" s="25">
        <f>'Revenue Overview'!BV19</f>
        <v>5511.184926</v>
      </c>
      <c r="BW19" s="25">
        <f>'Revenue Overview'!BW19</f>
        <v>5511.184926</v>
      </c>
      <c r="BX19" s="25">
        <f>'Revenue Overview'!BX19</f>
        <v>5511.184926</v>
      </c>
      <c r="BY19" s="25">
        <f>'Revenue Overview'!BY19</f>
        <v>5511.184926</v>
      </c>
      <c r="BZ19" s="25">
        <f>'Revenue Overview'!BZ19</f>
        <v>5511.184926</v>
      </c>
      <c r="CA19" s="25">
        <f>'Revenue Overview'!CA19</f>
        <v>5511.184926</v>
      </c>
      <c r="CB19" s="25">
        <f>'Revenue Overview'!CB19</f>
        <v>5511.184926</v>
      </c>
      <c r="CC19" s="25">
        <f>'Revenue Overview'!CC19</f>
        <v>5511.184926</v>
      </c>
      <c r="CD19" s="25">
        <f>'Revenue Overview'!CD19</f>
        <v>5511.184926</v>
      </c>
      <c r="CE19" s="25">
        <f>'Revenue Overview'!CE19</f>
        <v>5511.184926</v>
      </c>
      <c r="CF19" s="25">
        <f>'Revenue Overview'!CF19</f>
        <v>5511.184926</v>
      </c>
      <c r="CG19" s="25">
        <f>'Revenue Overview'!CG19</f>
        <v>5511.184926</v>
      </c>
      <c r="CH19" s="26">
        <f t="shared" si="18"/>
        <v>66134.21911</v>
      </c>
      <c r="CI19" s="14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ht="13.5" customHeight="1" outlineLevel="1">
      <c r="A20" s="1"/>
      <c r="B20" s="23" t="str">
        <f>'Revenue Overview'!B20</f>
        <v>Product 9</v>
      </c>
      <c r="C20" s="24" t="s">
        <v>34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4"/>
      <c r="R20" s="25"/>
      <c r="S20" s="25"/>
      <c r="T20" s="25"/>
      <c r="U20" s="25"/>
      <c r="V20" s="25">
        <f>'Revenue Overview'!V20</f>
        <v>1050</v>
      </c>
      <c r="W20" s="25">
        <f>'Revenue Overview'!W20</f>
        <v>2100</v>
      </c>
      <c r="X20" s="25">
        <f>'Revenue Overview'!X20</f>
        <v>3150</v>
      </c>
      <c r="Y20" s="25">
        <f>'Revenue Overview'!Y20</f>
        <v>4725</v>
      </c>
      <c r="Z20" s="25">
        <f>'Revenue Overview'!Z20</f>
        <v>4725</v>
      </c>
      <c r="AA20" s="25">
        <f>'Revenue Overview'!AA20</f>
        <v>4725</v>
      </c>
      <c r="AB20" s="25">
        <f>'Revenue Overview'!AB20</f>
        <v>4725</v>
      </c>
      <c r="AC20" s="25">
        <f>'Revenue Overview'!AC20</f>
        <v>4725</v>
      </c>
      <c r="AD20" s="26">
        <f t="shared" si="14"/>
        <v>29925</v>
      </c>
      <c r="AE20" s="14"/>
      <c r="AF20" s="25">
        <f>'Revenue Overview'!AF20</f>
        <v>4965.975</v>
      </c>
      <c r="AG20" s="25">
        <f>'Revenue Overview'!AG20</f>
        <v>4965.975</v>
      </c>
      <c r="AH20" s="25">
        <f>'Revenue Overview'!AH20</f>
        <v>4965.975</v>
      </c>
      <c r="AI20" s="25">
        <f>'Revenue Overview'!AI20</f>
        <v>4965.975</v>
      </c>
      <c r="AJ20" s="25">
        <f>'Revenue Overview'!AJ20</f>
        <v>4965.975</v>
      </c>
      <c r="AK20" s="25">
        <f>'Revenue Overview'!AK20</f>
        <v>4965.975</v>
      </c>
      <c r="AL20" s="25">
        <f>'Revenue Overview'!AL20</f>
        <v>4965.975</v>
      </c>
      <c r="AM20" s="25">
        <f>'Revenue Overview'!AM20</f>
        <v>4965.975</v>
      </c>
      <c r="AN20" s="25">
        <f>'Revenue Overview'!AN20</f>
        <v>4965.975</v>
      </c>
      <c r="AO20" s="25">
        <f>'Revenue Overview'!AO20</f>
        <v>4965.975</v>
      </c>
      <c r="AP20" s="25">
        <f>'Revenue Overview'!AP20</f>
        <v>4965.975</v>
      </c>
      <c r="AQ20" s="25">
        <f>'Revenue Overview'!AQ20</f>
        <v>4965.975</v>
      </c>
      <c r="AR20" s="26">
        <f t="shared" si="15"/>
        <v>59591.7</v>
      </c>
      <c r="AS20" s="14"/>
      <c r="AT20" s="25">
        <f>'Revenue Overview'!AT20</f>
        <v>5144.7501</v>
      </c>
      <c r="AU20" s="25">
        <f>'Revenue Overview'!AU20</f>
        <v>5144.7501</v>
      </c>
      <c r="AV20" s="25">
        <f>'Revenue Overview'!AV20</f>
        <v>5144.7501</v>
      </c>
      <c r="AW20" s="25">
        <f>'Revenue Overview'!AW20</f>
        <v>5144.7501</v>
      </c>
      <c r="AX20" s="25">
        <f>'Revenue Overview'!AX20</f>
        <v>5144.7501</v>
      </c>
      <c r="AY20" s="25">
        <f>'Revenue Overview'!AY20</f>
        <v>5144.7501</v>
      </c>
      <c r="AZ20" s="25">
        <f>'Revenue Overview'!AZ20</f>
        <v>5144.7501</v>
      </c>
      <c r="BA20" s="25">
        <f>'Revenue Overview'!BA20</f>
        <v>5144.7501</v>
      </c>
      <c r="BB20" s="25">
        <f>'Revenue Overview'!BB20</f>
        <v>5144.7501</v>
      </c>
      <c r="BC20" s="25">
        <f>'Revenue Overview'!BC20</f>
        <v>5144.7501</v>
      </c>
      <c r="BD20" s="25">
        <f>'Revenue Overview'!BD20</f>
        <v>5144.7501</v>
      </c>
      <c r="BE20" s="25">
        <f>'Revenue Overview'!BE20</f>
        <v>5144.7501</v>
      </c>
      <c r="BF20" s="26">
        <f t="shared" si="16"/>
        <v>61737.0012</v>
      </c>
      <c r="BG20" s="14"/>
      <c r="BH20" s="25">
        <f>'Revenue Overview'!BH20</f>
        <v>5324.816354</v>
      </c>
      <c r="BI20" s="25">
        <f>'Revenue Overview'!BI20</f>
        <v>5324.816354</v>
      </c>
      <c r="BJ20" s="25">
        <f>'Revenue Overview'!BJ20</f>
        <v>5324.816354</v>
      </c>
      <c r="BK20" s="25">
        <f>'Revenue Overview'!BK20</f>
        <v>5324.816354</v>
      </c>
      <c r="BL20" s="25">
        <f>'Revenue Overview'!BL20</f>
        <v>5324.816354</v>
      </c>
      <c r="BM20" s="25">
        <f>'Revenue Overview'!BM20</f>
        <v>5324.816354</v>
      </c>
      <c r="BN20" s="25">
        <f>'Revenue Overview'!BN20</f>
        <v>5324.816354</v>
      </c>
      <c r="BO20" s="25">
        <f>'Revenue Overview'!BO20</f>
        <v>5324.816354</v>
      </c>
      <c r="BP20" s="25">
        <f>'Revenue Overview'!BP20</f>
        <v>5324.816354</v>
      </c>
      <c r="BQ20" s="25">
        <f>'Revenue Overview'!BQ20</f>
        <v>5324.816354</v>
      </c>
      <c r="BR20" s="25">
        <f>'Revenue Overview'!BR20</f>
        <v>5324.816354</v>
      </c>
      <c r="BS20" s="25">
        <f>'Revenue Overview'!BS20</f>
        <v>5324.816354</v>
      </c>
      <c r="BT20" s="26">
        <f t="shared" si="17"/>
        <v>63897.79624</v>
      </c>
      <c r="BU20" s="14"/>
      <c r="BV20" s="25">
        <f>'Revenue Overview'!BV20</f>
        <v>5511.184926</v>
      </c>
      <c r="BW20" s="25">
        <f>'Revenue Overview'!BW20</f>
        <v>5511.184926</v>
      </c>
      <c r="BX20" s="25">
        <f>'Revenue Overview'!BX20</f>
        <v>5511.184926</v>
      </c>
      <c r="BY20" s="25">
        <f>'Revenue Overview'!BY20</f>
        <v>5511.184926</v>
      </c>
      <c r="BZ20" s="25">
        <f>'Revenue Overview'!BZ20</f>
        <v>5511.184926</v>
      </c>
      <c r="CA20" s="25">
        <f>'Revenue Overview'!CA20</f>
        <v>5511.184926</v>
      </c>
      <c r="CB20" s="25">
        <f>'Revenue Overview'!CB20</f>
        <v>5511.184926</v>
      </c>
      <c r="CC20" s="25">
        <f>'Revenue Overview'!CC20</f>
        <v>5511.184926</v>
      </c>
      <c r="CD20" s="25">
        <f>'Revenue Overview'!CD20</f>
        <v>5511.184926</v>
      </c>
      <c r="CE20" s="25">
        <f>'Revenue Overview'!CE20</f>
        <v>5511.184926</v>
      </c>
      <c r="CF20" s="25">
        <f>'Revenue Overview'!CF20</f>
        <v>5511.184926</v>
      </c>
      <c r="CG20" s="25">
        <f>'Revenue Overview'!CG20</f>
        <v>5511.184926</v>
      </c>
      <c r="CH20" s="26">
        <f t="shared" si="18"/>
        <v>66134.21911</v>
      </c>
      <c r="CI20" s="14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ht="13.5" customHeight="1" outlineLevel="1">
      <c r="A21" s="1"/>
      <c r="B21" s="23" t="str">
        <f>'Revenue Overview'!B21</f>
        <v>Product 10</v>
      </c>
      <c r="C21" s="24" t="s">
        <v>35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4"/>
      <c r="R21" s="25"/>
      <c r="S21" s="25"/>
      <c r="T21" s="25"/>
      <c r="U21" s="25"/>
      <c r="V21" s="25">
        <f>'Revenue Overview'!V21</f>
        <v>1050</v>
      </c>
      <c r="W21" s="25">
        <f>'Revenue Overview'!W21</f>
        <v>2100</v>
      </c>
      <c r="X21" s="25">
        <f>'Revenue Overview'!X21</f>
        <v>3150</v>
      </c>
      <c r="Y21" s="25">
        <f>'Revenue Overview'!Y21</f>
        <v>4725</v>
      </c>
      <c r="Z21" s="25">
        <f>'Revenue Overview'!Z21</f>
        <v>4725</v>
      </c>
      <c r="AA21" s="25">
        <f>'Revenue Overview'!AA21</f>
        <v>4725</v>
      </c>
      <c r="AB21" s="25">
        <f>'Revenue Overview'!AB21</f>
        <v>4725</v>
      </c>
      <c r="AC21" s="25">
        <f>'Revenue Overview'!AC21</f>
        <v>4725</v>
      </c>
      <c r="AD21" s="26">
        <f t="shared" si="14"/>
        <v>29925</v>
      </c>
      <c r="AE21" s="14"/>
      <c r="AF21" s="25">
        <f>'Revenue Overview'!AF21</f>
        <v>4965.975</v>
      </c>
      <c r="AG21" s="25">
        <f>'Revenue Overview'!AG21</f>
        <v>4965.975</v>
      </c>
      <c r="AH21" s="25">
        <f>'Revenue Overview'!AH21</f>
        <v>4965.975</v>
      </c>
      <c r="AI21" s="25">
        <f>'Revenue Overview'!AI21</f>
        <v>4965.975</v>
      </c>
      <c r="AJ21" s="25">
        <f>'Revenue Overview'!AJ21</f>
        <v>4965.975</v>
      </c>
      <c r="AK21" s="25">
        <f>'Revenue Overview'!AK21</f>
        <v>4965.975</v>
      </c>
      <c r="AL21" s="25">
        <f>'Revenue Overview'!AL21</f>
        <v>4965.975</v>
      </c>
      <c r="AM21" s="25">
        <f>'Revenue Overview'!AM21</f>
        <v>4965.975</v>
      </c>
      <c r="AN21" s="25">
        <f>'Revenue Overview'!AN21</f>
        <v>4965.975</v>
      </c>
      <c r="AO21" s="25">
        <f>'Revenue Overview'!AO21</f>
        <v>4965.975</v>
      </c>
      <c r="AP21" s="25">
        <f>'Revenue Overview'!AP21</f>
        <v>4965.975</v>
      </c>
      <c r="AQ21" s="25">
        <f>'Revenue Overview'!AQ21</f>
        <v>4965.975</v>
      </c>
      <c r="AR21" s="26">
        <f t="shared" si="15"/>
        <v>59591.7</v>
      </c>
      <c r="AS21" s="14"/>
      <c r="AT21" s="25">
        <f>'Revenue Overview'!AT21</f>
        <v>5144.7501</v>
      </c>
      <c r="AU21" s="25">
        <f>'Revenue Overview'!AU21</f>
        <v>5144.7501</v>
      </c>
      <c r="AV21" s="25">
        <f>'Revenue Overview'!AV21</f>
        <v>5144.7501</v>
      </c>
      <c r="AW21" s="25">
        <f>'Revenue Overview'!AW21</f>
        <v>5144.7501</v>
      </c>
      <c r="AX21" s="25">
        <f>'Revenue Overview'!AX21</f>
        <v>5144.7501</v>
      </c>
      <c r="AY21" s="25">
        <f>'Revenue Overview'!AY21</f>
        <v>5144.7501</v>
      </c>
      <c r="AZ21" s="25">
        <f>'Revenue Overview'!AZ21</f>
        <v>5144.7501</v>
      </c>
      <c r="BA21" s="25">
        <f>'Revenue Overview'!BA21</f>
        <v>5144.7501</v>
      </c>
      <c r="BB21" s="25">
        <f>'Revenue Overview'!BB21</f>
        <v>5144.7501</v>
      </c>
      <c r="BC21" s="25">
        <f>'Revenue Overview'!BC21</f>
        <v>5144.7501</v>
      </c>
      <c r="BD21" s="25">
        <f>'Revenue Overview'!BD21</f>
        <v>5144.7501</v>
      </c>
      <c r="BE21" s="25">
        <f>'Revenue Overview'!BE21</f>
        <v>5144.7501</v>
      </c>
      <c r="BF21" s="26">
        <f t="shared" si="16"/>
        <v>61737.0012</v>
      </c>
      <c r="BG21" s="14"/>
      <c r="BH21" s="25">
        <f>'Revenue Overview'!BH21</f>
        <v>5324.816354</v>
      </c>
      <c r="BI21" s="25">
        <f>'Revenue Overview'!BI21</f>
        <v>5324.816354</v>
      </c>
      <c r="BJ21" s="25">
        <f>'Revenue Overview'!BJ21</f>
        <v>5324.816354</v>
      </c>
      <c r="BK21" s="25">
        <f>'Revenue Overview'!BK21</f>
        <v>5324.816354</v>
      </c>
      <c r="BL21" s="25">
        <f>'Revenue Overview'!BL21</f>
        <v>5324.816354</v>
      </c>
      <c r="BM21" s="25">
        <f>'Revenue Overview'!BM21</f>
        <v>5324.816354</v>
      </c>
      <c r="BN21" s="25">
        <f>'Revenue Overview'!BN21</f>
        <v>5324.816354</v>
      </c>
      <c r="BO21" s="25">
        <f>'Revenue Overview'!BO21</f>
        <v>5324.816354</v>
      </c>
      <c r="BP21" s="25">
        <f>'Revenue Overview'!BP21</f>
        <v>5324.816354</v>
      </c>
      <c r="BQ21" s="25">
        <f>'Revenue Overview'!BQ21</f>
        <v>5324.816354</v>
      </c>
      <c r="BR21" s="25">
        <f>'Revenue Overview'!BR21</f>
        <v>5324.816354</v>
      </c>
      <c r="BS21" s="25">
        <f>'Revenue Overview'!BS21</f>
        <v>5324.816354</v>
      </c>
      <c r="BT21" s="26">
        <f t="shared" si="17"/>
        <v>63897.79624</v>
      </c>
      <c r="BU21" s="14"/>
      <c r="BV21" s="25">
        <f>'Revenue Overview'!BV21</f>
        <v>5511.184926</v>
      </c>
      <c r="BW21" s="25">
        <f>'Revenue Overview'!BW21</f>
        <v>5511.184926</v>
      </c>
      <c r="BX21" s="25">
        <f>'Revenue Overview'!BX21</f>
        <v>5511.184926</v>
      </c>
      <c r="BY21" s="25">
        <f>'Revenue Overview'!BY21</f>
        <v>5511.184926</v>
      </c>
      <c r="BZ21" s="25">
        <f>'Revenue Overview'!BZ21</f>
        <v>5511.184926</v>
      </c>
      <c r="CA21" s="25">
        <f>'Revenue Overview'!CA21</f>
        <v>5511.184926</v>
      </c>
      <c r="CB21" s="25">
        <f>'Revenue Overview'!CB21</f>
        <v>5511.184926</v>
      </c>
      <c r="CC21" s="25">
        <f>'Revenue Overview'!CC21</f>
        <v>5511.184926</v>
      </c>
      <c r="CD21" s="25">
        <f>'Revenue Overview'!CD21</f>
        <v>5511.184926</v>
      </c>
      <c r="CE21" s="25">
        <f>'Revenue Overview'!CE21</f>
        <v>5511.184926</v>
      </c>
      <c r="CF21" s="25">
        <f>'Revenue Overview'!CF21</f>
        <v>5511.184926</v>
      </c>
      <c r="CG21" s="25">
        <f>'Revenue Overview'!CG21</f>
        <v>5511.184926</v>
      </c>
      <c r="CH21" s="26">
        <f t="shared" si="18"/>
        <v>66134.21911</v>
      </c>
      <c r="CI21" s="14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ht="13.5" customHeight="1" outlineLevel="1">
      <c r="A22" s="27"/>
      <c r="B22" s="28" t="s">
        <v>36</v>
      </c>
      <c r="C22" s="28"/>
      <c r="D22" s="28">
        <f t="shared" ref="D22:O22" si="19">SUM(D12:D17)</f>
        <v>0</v>
      </c>
      <c r="E22" s="28">
        <f t="shared" si="19"/>
        <v>0</v>
      </c>
      <c r="F22" s="28">
        <f t="shared" si="19"/>
        <v>0</v>
      </c>
      <c r="G22" s="28">
        <f t="shared" si="19"/>
        <v>0</v>
      </c>
      <c r="H22" s="28">
        <f t="shared" si="19"/>
        <v>0</v>
      </c>
      <c r="I22" s="28">
        <f t="shared" si="19"/>
        <v>0</v>
      </c>
      <c r="J22" s="28">
        <f t="shared" si="19"/>
        <v>0</v>
      </c>
      <c r="K22" s="28">
        <f t="shared" si="19"/>
        <v>0</v>
      </c>
      <c r="L22" s="28">
        <f t="shared" si="19"/>
        <v>1575</v>
      </c>
      <c r="M22" s="28">
        <f t="shared" si="19"/>
        <v>2079</v>
      </c>
      <c r="N22" s="28">
        <f t="shared" si="19"/>
        <v>4567.5</v>
      </c>
      <c r="O22" s="28">
        <f t="shared" si="19"/>
        <v>6237</v>
      </c>
      <c r="P22" s="29">
        <f>SUM(D22:O22)</f>
        <v>14458.5</v>
      </c>
      <c r="Q22" s="14"/>
      <c r="R22" s="28">
        <f t="shared" ref="R22:AC22" si="20">SUM(R12:R17)</f>
        <v>7560</v>
      </c>
      <c r="S22" s="28">
        <f t="shared" si="20"/>
        <v>9450</v>
      </c>
      <c r="T22" s="28">
        <f t="shared" si="20"/>
        <v>14175</v>
      </c>
      <c r="U22" s="28">
        <f t="shared" si="20"/>
        <v>17325</v>
      </c>
      <c r="V22" s="28">
        <f t="shared" si="20"/>
        <v>22050</v>
      </c>
      <c r="W22" s="28">
        <f t="shared" si="20"/>
        <v>28854</v>
      </c>
      <c r="X22" s="28">
        <f t="shared" si="20"/>
        <v>37800</v>
      </c>
      <c r="Y22" s="28">
        <f t="shared" si="20"/>
        <v>47250</v>
      </c>
      <c r="Z22" s="28">
        <f t="shared" si="20"/>
        <v>47250</v>
      </c>
      <c r="AA22" s="28">
        <f t="shared" si="20"/>
        <v>47250</v>
      </c>
      <c r="AB22" s="28">
        <f t="shared" si="20"/>
        <v>47250</v>
      </c>
      <c r="AC22" s="28">
        <f t="shared" si="20"/>
        <v>47250</v>
      </c>
      <c r="AD22" s="29">
        <f t="shared" si="14"/>
        <v>373464</v>
      </c>
      <c r="AE22" s="14"/>
      <c r="AF22" s="28">
        <f t="shared" ref="AF22:AQ22" si="21">SUM(AF12:AF17)</f>
        <v>49659.75</v>
      </c>
      <c r="AG22" s="28">
        <f t="shared" si="21"/>
        <v>49659.75</v>
      </c>
      <c r="AH22" s="28">
        <f t="shared" si="21"/>
        <v>49659.75</v>
      </c>
      <c r="AI22" s="28">
        <f t="shared" si="21"/>
        <v>49659.75</v>
      </c>
      <c r="AJ22" s="28">
        <f t="shared" si="21"/>
        <v>49659.75</v>
      </c>
      <c r="AK22" s="28">
        <f t="shared" si="21"/>
        <v>49659.75</v>
      </c>
      <c r="AL22" s="28">
        <f t="shared" si="21"/>
        <v>49659.75</v>
      </c>
      <c r="AM22" s="28">
        <f t="shared" si="21"/>
        <v>49659.75</v>
      </c>
      <c r="AN22" s="28">
        <f t="shared" si="21"/>
        <v>49659.75</v>
      </c>
      <c r="AO22" s="28">
        <f t="shared" si="21"/>
        <v>49659.75</v>
      </c>
      <c r="AP22" s="28">
        <f t="shared" si="21"/>
        <v>49659.75</v>
      </c>
      <c r="AQ22" s="28">
        <f t="shared" si="21"/>
        <v>49659.75</v>
      </c>
      <c r="AR22" s="29">
        <f t="shared" si="15"/>
        <v>595917</v>
      </c>
      <c r="AS22" s="14"/>
      <c r="AT22" s="28">
        <f t="shared" ref="AT22:BE22" si="22">SUM(AT12:AT17)</f>
        <v>51447.501</v>
      </c>
      <c r="AU22" s="28">
        <f t="shared" si="22"/>
        <v>51447.501</v>
      </c>
      <c r="AV22" s="28">
        <f t="shared" si="22"/>
        <v>51447.501</v>
      </c>
      <c r="AW22" s="28">
        <f t="shared" si="22"/>
        <v>51447.501</v>
      </c>
      <c r="AX22" s="28">
        <f t="shared" si="22"/>
        <v>51447.501</v>
      </c>
      <c r="AY22" s="28">
        <f t="shared" si="22"/>
        <v>51447.501</v>
      </c>
      <c r="AZ22" s="28">
        <f t="shared" si="22"/>
        <v>51447.501</v>
      </c>
      <c r="BA22" s="28">
        <f t="shared" si="22"/>
        <v>51447.501</v>
      </c>
      <c r="BB22" s="28">
        <f t="shared" si="22"/>
        <v>51447.501</v>
      </c>
      <c r="BC22" s="28">
        <f t="shared" si="22"/>
        <v>51447.501</v>
      </c>
      <c r="BD22" s="28">
        <f t="shared" si="22"/>
        <v>51447.501</v>
      </c>
      <c r="BE22" s="28">
        <f t="shared" si="22"/>
        <v>51447.501</v>
      </c>
      <c r="BF22" s="29">
        <f t="shared" si="16"/>
        <v>617370.012</v>
      </c>
      <c r="BG22" s="14"/>
      <c r="BH22" s="28">
        <f t="shared" ref="BH22:BS22" si="23">SUM(BH12:BH17)</f>
        <v>53248.16354</v>
      </c>
      <c r="BI22" s="28">
        <f t="shared" si="23"/>
        <v>53248.16354</v>
      </c>
      <c r="BJ22" s="28">
        <f t="shared" si="23"/>
        <v>53248.16354</v>
      </c>
      <c r="BK22" s="28">
        <f t="shared" si="23"/>
        <v>53248.16354</v>
      </c>
      <c r="BL22" s="28">
        <f t="shared" si="23"/>
        <v>53248.16354</v>
      </c>
      <c r="BM22" s="28">
        <f t="shared" si="23"/>
        <v>53248.16354</v>
      </c>
      <c r="BN22" s="28">
        <f t="shared" si="23"/>
        <v>53248.16354</v>
      </c>
      <c r="BO22" s="28">
        <f t="shared" si="23"/>
        <v>53248.16354</v>
      </c>
      <c r="BP22" s="28">
        <f t="shared" si="23"/>
        <v>53248.16354</v>
      </c>
      <c r="BQ22" s="28">
        <f t="shared" si="23"/>
        <v>53248.16354</v>
      </c>
      <c r="BR22" s="28">
        <f t="shared" si="23"/>
        <v>53248.16354</v>
      </c>
      <c r="BS22" s="28">
        <f t="shared" si="23"/>
        <v>53248.16354</v>
      </c>
      <c r="BT22" s="29">
        <f t="shared" si="17"/>
        <v>638977.9624</v>
      </c>
      <c r="BU22" s="14"/>
      <c r="BV22" s="28">
        <f t="shared" ref="BV22:CG22" si="24">SUM(BV12:BV17)</f>
        <v>55111.84926</v>
      </c>
      <c r="BW22" s="28">
        <f t="shared" si="24"/>
        <v>55111.84926</v>
      </c>
      <c r="BX22" s="28">
        <f t="shared" si="24"/>
        <v>55111.84926</v>
      </c>
      <c r="BY22" s="28">
        <f t="shared" si="24"/>
        <v>55111.84926</v>
      </c>
      <c r="BZ22" s="28">
        <f t="shared" si="24"/>
        <v>55111.84926</v>
      </c>
      <c r="CA22" s="28">
        <f t="shared" si="24"/>
        <v>55111.84926</v>
      </c>
      <c r="CB22" s="28">
        <f t="shared" si="24"/>
        <v>55111.84926</v>
      </c>
      <c r="CC22" s="28">
        <f t="shared" si="24"/>
        <v>55111.84926</v>
      </c>
      <c r="CD22" s="28">
        <f t="shared" si="24"/>
        <v>55111.84926</v>
      </c>
      <c r="CE22" s="28">
        <f t="shared" si="24"/>
        <v>55111.84926</v>
      </c>
      <c r="CF22" s="28">
        <f t="shared" si="24"/>
        <v>55111.84926</v>
      </c>
      <c r="CG22" s="28">
        <f t="shared" si="24"/>
        <v>55111.84926</v>
      </c>
      <c r="CH22" s="29">
        <f t="shared" si="18"/>
        <v>661342.1911</v>
      </c>
      <c r="CI22" s="14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</row>
    <row r="23" ht="6.0" customHeight="1">
      <c r="A23" s="2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30"/>
      <c r="Q23" s="27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30"/>
      <c r="AE23" s="27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30"/>
      <c r="AS23" s="27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30"/>
      <c r="BG23" s="27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30"/>
      <c r="BU23" s="27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30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</row>
    <row r="24" ht="20.25" customHeight="1">
      <c r="A24" s="31"/>
      <c r="B24" s="32" t="s">
        <v>37</v>
      </c>
      <c r="C24" s="32"/>
      <c r="D24" s="32">
        <f t="shared" ref="D24:P24" si="25">SUM(D22)</f>
        <v>0</v>
      </c>
      <c r="E24" s="32">
        <f t="shared" si="25"/>
        <v>0</v>
      </c>
      <c r="F24" s="32">
        <f t="shared" si="25"/>
        <v>0</v>
      </c>
      <c r="G24" s="32">
        <f t="shared" si="25"/>
        <v>0</v>
      </c>
      <c r="H24" s="32">
        <f t="shared" si="25"/>
        <v>0</v>
      </c>
      <c r="I24" s="32">
        <f t="shared" si="25"/>
        <v>0</v>
      </c>
      <c r="J24" s="32">
        <f t="shared" si="25"/>
        <v>0</v>
      </c>
      <c r="K24" s="32">
        <f t="shared" si="25"/>
        <v>0</v>
      </c>
      <c r="L24" s="32">
        <f t="shared" si="25"/>
        <v>1575</v>
      </c>
      <c r="M24" s="32">
        <f t="shared" si="25"/>
        <v>2079</v>
      </c>
      <c r="N24" s="32">
        <f t="shared" si="25"/>
        <v>4567.5</v>
      </c>
      <c r="O24" s="32">
        <f t="shared" si="25"/>
        <v>6237</v>
      </c>
      <c r="P24" s="33">
        <f t="shared" si="25"/>
        <v>14458.5</v>
      </c>
      <c r="Q24" s="34"/>
      <c r="R24" s="35">
        <f t="shared" ref="R24:AD24" si="26">SUM(R22)</f>
        <v>7560</v>
      </c>
      <c r="S24" s="35">
        <f t="shared" si="26"/>
        <v>9450</v>
      </c>
      <c r="T24" s="35">
        <f t="shared" si="26"/>
        <v>14175</v>
      </c>
      <c r="U24" s="35">
        <f t="shared" si="26"/>
        <v>17325</v>
      </c>
      <c r="V24" s="35">
        <f t="shared" si="26"/>
        <v>22050</v>
      </c>
      <c r="W24" s="35">
        <f t="shared" si="26"/>
        <v>28854</v>
      </c>
      <c r="X24" s="35">
        <f t="shared" si="26"/>
        <v>37800</v>
      </c>
      <c r="Y24" s="35">
        <f t="shared" si="26"/>
        <v>47250</v>
      </c>
      <c r="Z24" s="35">
        <f t="shared" si="26"/>
        <v>47250</v>
      </c>
      <c r="AA24" s="35">
        <f t="shared" si="26"/>
        <v>47250</v>
      </c>
      <c r="AB24" s="35">
        <f t="shared" si="26"/>
        <v>47250</v>
      </c>
      <c r="AC24" s="35">
        <f t="shared" si="26"/>
        <v>47250</v>
      </c>
      <c r="AD24" s="33">
        <f t="shared" si="26"/>
        <v>373464</v>
      </c>
      <c r="AE24" s="34"/>
      <c r="AF24" s="35">
        <f t="shared" ref="AF24:AR24" si="27">SUM(AF22)</f>
        <v>49659.75</v>
      </c>
      <c r="AG24" s="35">
        <f t="shared" si="27"/>
        <v>49659.75</v>
      </c>
      <c r="AH24" s="35">
        <f t="shared" si="27"/>
        <v>49659.75</v>
      </c>
      <c r="AI24" s="35">
        <f t="shared" si="27"/>
        <v>49659.75</v>
      </c>
      <c r="AJ24" s="35">
        <f t="shared" si="27"/>
        <v>49659.75</v>
      </c>
      <c r="AK24" s="35">
        <f t="shared" si="27"/>
        <v>49659.75</v>
      </c>
      <c r="AL24" s="35">
        <f t="shared" si="27"/>
        <v>49659.75</v>
      </c>
      <c r="AM24" s="35">
        <f t="shared" si="27"/>
        <v>49659.75</v>
      </c>
      <c r="AN24" s="35">
        <f t="shared" si="27"/>
        <v>49659.75</v>
      </c>
      <c r="AO24" s="35">
        <f t="shared" si="27"/>
        <v>49659.75</v>
      </c>
      <c r="AP24" s="35">
        <f t="shared" si="27"/>
        <v>49659.75</v>
      </c>
      <c r="AQ24" s="35">
        <f t="shared" si="27"/>
        <v>49659.75</v>
      </c>
      <c r="AR24" s="33">
        <f t="shared" si="27"/>
        <v>595917</v>
      </c>
      <c r="AS24" s="34"/>
      <c r="AT24" s="35">
        <f t="shared" ref="AT24:BF24" si="28">SUM(AT22)</f>
        <v>51447.501</v>
      </c>
      <c r="AU24" s="35">
        <f t="shared" si="28"/>
        <v>51447.501</v>
      </c>
      <c r="AV24" s="35">
        <f t="shared" si="28"/>
        <v>51447.501</v>
      </c>
      <c r="AW24" s="35">
        <f t="shared" si="28"/>
        <v>51447.501</v>
      </c>
      <c r="AX24" s="35">
        <f t="shared" si="28"/>
        <v>51447.501</v>
      </c>
      <c r="AY24" s="35">
        <f t="shared" si="28"/>
        <v>51447.501</v>
      </c>
      <c r="AZ24" s="35">
        <f t="shared" si="28"/>
        <v>51447.501</v>
      </c>
      <c r="BA24" s="35">
        <f t="shared" si="28"/>
        <v>51447.501</v>
      </c>
      <c r="BB24" s="35">
        <f t="shared" si="28"/>
        <v>51447.501</v>
      </c>
      <c r="BC24" s="35">
        <f t="shared" si="28"/>
        <v>51447.501</v>
      </c>
      <c r="BD24" s="35">
        <f t="shared" si="28"/>
        <v>51447.501</v>
      </c>
      <c r="BE24" s="35">
        <f t="shared" si="28"/>
        <v>51447.501</v>
      </c>
      <c r="BF24" s="33">
        <f t="shared" si="28"/>
        <v>617370.012</v>
      </c>
      <c r="BG24" s="34"/>
      <c r="BH24" s="35">
        <f t="shared" ref="BH24:BT24" si="29">SUM(BH22)</f>
        <v>53248.16354</v>
      </c>
      <c r="BI24" s="35">
        <f t="shared" si="29"/>
        <v>53248.16354</v>
      </c>
      <c r="BJ24" s="35">
        <f t="shared" si="29"/>
        <v>53248.16354</v>
      </c>
      <c r="BK24" s="35">
        <f t="shared" si="29"/>
        <v>53248.16354</v>
      </c>
      <c r="BL24" s="35">
        <f t="shared" si="29"/>
        <v>53248.16354</v>
      </c>
      <c r="BM24" s="35">
        <f t="shared" si="29"/>
        <v>53248.16354</v>
      </c>
      <c r="BN24" s="35">
        <f t="shared" si="29"/>
        <v>53248.16354</v>
      </c>
      <c r="BO24" s="35">
        <f t="shared" si="29"/>
        <v>53248.16354</v>
      </c>
      <c r="BP24" s="35">
        <f t="shared" si="29"/>
        <v>53248.16354</v>
      </c>
      <c r="BQ24" s="35">
        <f t="shared" si="29"/>
        <v>53248.16354</v>
      </c>
      <c r="BR24" s="35">
        <f t="shared" si="29"/>
        <v>53248.16354</v>
      </c>
      <c r="BS24" s="35">
        <f t="shared" si="29"/>
        <v>53248.16354</v>
      </c>
      <c r="BT24" s="33">
        <f t="shared" si="29"/>
        <v>638977.9624</v>
      </c>
      <c r="BU24" s="34"/>
      <c r="BV24" s="35">
        <f t="shared" ref="BV24:CH24" si="30">SUM(BV22)</f>
        <v>55111.84926</v>
      </c>
      <c r="BW24" s="35">
        <f t="shared" si="30"/>
        <v>55111.84926</v>
      </c>
      <c r="BX24" s="35">
        <f t="shared" si="30"/>
        <v>55111.84926</v>
      </c>
      <c r="BY24" s="35">
        <f t="shared" si="30"/>
        <v>55111.84926</v>
      </c>
      <c r="BZ24" s="35">
        <f t="shared" si="30"/>
        <v>55111.84926</v>
      </c>
      <c r="CA24" s="35">
        <f t="shared" si="30"/>
        <v>55111.84926</v>
      </c>
      <c r="CB24" s="35">
        <f t="shared" si="30"/>
        <v>55111.84926</v>
      </c>
      <c r="CC24" s="35">
        <f t="shared" si="30"/>
        <v>55111.84926</v>
      </c>
      <c r="CD24" s="35">
        <f t="shared" si="30"/>
        <v>55111.84926</v>
      </c>
      <c r="CE24" s="35">
        <f t="shared" si="30"/>
        <v>55111.84926</v>
      </c>
      <c r="CF24" s="35">
        <f t="shared" si="30"/>
        <v>55111.84926</v>
      </c>
      <c r="CG24" s="35">
        <f t="shared" si="30"/>
        <v>55111.84926</v>
      </c>
      <c r="CH24" s="33">
        <f t="shared" si="30"/>
        <v>661342.1911</v>
      </c>
      <c r="CI24" s="34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</row>
    <row r="25" ht="15.0" customHeight="1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36"/>
      <c r="Q25" s="14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8"/>
      <c r="AE25" s="14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8"/>
      <c r="AS25" s="14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8"/>
      <c r="BG25" s="14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8"/>
      <c r="BU25" s="14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8"/>
      <c r="CI25" s="14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ht="13.5" hidden="1" customHeight="1" outlineLevel="1">
      <c r="A26" s="24" t="s">
        <v>38</v>
      </c>
      <c r="B26" s="24" t="str">
        <f>Operational!B12</f>
        <v>Main Office</v>
      </c>
      <c r="C26" s="24" t="str">
        <f>Operational!C12</f>
        <v>O1</v>
      </c>
      <c r="D26" s="24">
        <f>Operational!D12</f>
        <v>0</v>
      </c>
      <c r="E26" s="24">
        <f>Operational!E12</f>
        <v>0</v>
      </c>
      <c r="F26" s="24">
        <f>Operational!F12</f>
        <v>0</v>
      </c>
      <c r="G26" s="24">
        <f>Operational!G12</f>
        <v>0</v>
      </c>
      <c r="H26" s="24">
        <f>Operational!H12</f>
        <v>0</v>
      </c>
      <c r="I26" s="24">
        <f>Operational!I12</f>
        <v>0</v>
      </c>
      <c r="J26" s="24">
        <f>Operational!J12</f>
        <v>-3000</v>
      </c>
      <c r="K26" s="24">
        <f>Operational!K12</f>
        <v>-3000</v>
      </c>
      <c r="L26" s="24">
        <f>Operational!L12</f>
        <v>-3000</v>
      </c>
      <c r="M26" s="24">
        <f>Operational!M12</f>
        <v>-3000</v>
      </c>
      <c r="N26" s="24">
        <f>Operational!N12</f>
        <v>-3000</v>
      </c>
      <c r="O26" s="24">
        <f>Operational!O12</f>
        <v>-3000</v>
      </c>
      <c r="P26" s="26">
        <f t="shared" ref="P26:P33" si="31">SUM(D26:O26)</f>
        <v>-18000</v>
      </c>
      <c r="Q26" s="40"/>
      <c r="R26" s="24">
        <f>Operational!R12</f>
        <v>-3168</v>
      </c>
      <c r="S26" s="24">
        <f>Operational!S12</f>
        <v>-3168</v>
      </c>
      <c r="T26" s="24">
        <f>Operational!T12</f>
        <v>-3168</v>
      </c>
      <c r="U26" s="24">
        <f>Operational!U12</f>
        <v>-3168</v>
      </c>
      <c r="V26" s="24">
        <f>Operational!V12</f>
        <v>-3168</v>
      </c>
      <c r="W26" s="24">
        <f>Operational!W12</f>
        <v>-3168</v>
      </c>
      <c r="X26" s="24">
        <f>Operational!X12</f>
        <v>-3168</v>
      </c>
      <c r="Y26" s="24">
        <f>Operational!Y12</f>
        <v>-3168</v>
      </c>
      <c r="Z26" s="24">
        <f>Operational!Z12</f>
        <v>-3168</v>
      </c>
      <c r="AA26" s="24">
        <f>Operational!AA12</f>
        <v>-3168</v>
      </c>
      <c r="AB26" s="24">
        <f>Operational!AB12</f>
        <v>-3168</v>
      </c>
      <c r="AC26" s="24">
        <f>Operational!AC12</f>
        <v>-3168</v>
      </c>
      <c r="AD26" s="26">
        <f t="shared" ref="AD26:AD33" si="32">SUM(R26:AC26)</f>
        <v>-38016</v>
      </c>
      <c r="AE26" s="40"/>
      <c r="AF26" s="24">
        <f>Operational!AF12</f>
        <v>-3329.568</v>
      </c>
      <c r="AG26" s="24">
        <f>Operational!AG12</f>
        <v>-3329.568</v>
      </c>
      <c r="AH26" s="24">
        <f>Operational!AH12</f>
        <v>-3329.568</v>
      </c>
      <c r="AI26" s="24">
        <f>Operational!AI12</f>
        <v>-3329.568</v>
      </c>
      <c r="AJ26" s="24">
        <f>Operational!AJ12</f>
        <v>-3329.568</v>
      </c>
      <c r="AK26" s="24">
        <f>Operational!AK12</f>
        <v>-3329.568</v>
      </c>
      <c r="AL26" s="24">
        <f>Operational!AL12</f>
        <v>-3329.568</v>
      </c>
      <c r="AM26" s="24">
        <f>Operational!AM12</f>
        <v>-3329.568</v>
      </c>
      <c r="AN26" s="24">
        <f>Operational!AN12</f>
        <v>-3329.568</v>
      </c>
      <c r="AO26" s="24">
        <f>Operational!AO12</f>
        <v>-3329.568</v>
      </c>
      <c r="AP26" s="24">
        <f>Operational!AP12</f>
        <v>-3329.568</v>
      </c>
      <c r="AQ26" s="24">
        <f>Operational!AQ12</f>
        <v>-3329.568</v>
      </c>
      <c r="AR26" s="26">
        <f t="shared" ref="AR26:AR33" si="33">SUM(AF26:AQ26)</f>
        <v>-39954.816</v>
      </c>
      <c r="AS26" s="40"/>
      <c r="AT26" s="24">
        <f>Operational!AT12</f>
        <v>-3499.375968</v>
      </c>
      <c r="AU26" s="24">
        <f>Operational!AU12</f>
        <v>-3499.375968</v>
      </c>
      <c r="AV26" s="24">
        <f>Operational!AV12</f>
        <v>-3499.375968</v>
      </c>
      <c r="AW26" s="24">
        <f>Operational!AW12</f>
        <v>-3499.375968</v>
      </c>
      <c r="AX26" s="24">
        <f>Operational!AX12</f>
        <v>-3499.375968</v>
      </c>
      <c r="AY26" s="24">
        <f>Operational!AY12</f>
        <v>-3499.375968</v>
      </c>
      <c r="AZ26" s="24">
        <f>Operational!AZ12</f>
        <v>-3499.375968</v>
      </c>
      <c r="BA26" s="24">
        <f>Operational!BA12</f>
        <v>-3499.375968</v>
      </c>
      <c r="BB26" s="24">
        <f>Operational!BB12</f>
        <v>-3499.375968</v>
      </c>
      <c r="BC26" s="24">
        <f>Operational!BC12</f>
        <v>-3499.375968</v>
      </c>
      <c r="BD26" s="24">
        <f>Operational!BD12</f>
        <v>-3499.375968</v>
      </c>
      <c r="BE26" s="24">
        <f>Operational!BE12</f>
        <v>-3499.375968</v>
      </c>
      <c r="BF26" s="26">
        <f t="shared" ref="BF26:BF33" si="34">SUM(AT26:BE26)</f>
        <v>-41992.51162</v>
      </c>
      <c r="BG26" s="40"/>
      <c r="BH26" s="24">
        <f>Operational!BH12</f>
        <v>-3677.844142</v>
      </c>
      <c r="BI26" s="24">
        <f>Operational!BI12</f>
        <v>-3677.844142</v>
      </c>
      <c r="BJ26" s="24">
        <f>Operational!BJ12</f>
        <v>-3677.844142</v>
      </c>
      <c r="BK26" s="24">
        <f>Operational!BK12</f>
        <v>-3677.844142</v>
      </c>
      <c r="BL26" s="24">
        <f>Operational!BL12</f>
        <v>-3677.844142</v>
      </c>
      <c r="BM26" s="24">
        <f>Operational!BM12</f>
        <v>-3677.844142</v>
      </c>
      <c r="BN26" s="24">
        <f>Operational!BN12</f>
        <v>-3677.844142</v>
      </c>
      <c r="BO26" s="24">
        <f>Operational!BO12</f>
        <v>-3677.844142</v>
      </c>
      <c r="BP26" s="24">
        <f>Operational!BP12</f>
        <v>-3677.844142</v>
      </c>
      <c r="BQ26" s="24">
        <f>Operational!BQ12</f>
        <v>-3677.844142</v>
      </c>
      <c r="BR26" s="24">
        <f>Operational!BR12</f>
        <v>-3677.844142</v>
      </c>
      <c r="BS26" s="24">
        <f>Operational!BS12</f>
        <v>-3677.844142</v>
      </c>
      <c r="BT26" s="26">
        <f t="shared" ref="BT26:BT33" si="35">SUM(BH26:BS26)</f>
        <v>-44134.12971</v>
      </c>
      <c r="BU26" s="40"/>
      <c r="BV26" s="24">
        <f>Operational!BV12</f>
        <v>-3865.414194</v>
      </c>
      <c r="BW26" s="24">
        <f>Operational!BW12</f>
        <v>-3865.414194</v>
      </c>
      <c r="BX26" s="24">
        <f>Operational!BX12</f>
        <v>-3865.414194</v>
      </c>
      <c r="BY26" s="24">
        <f>Operational!BY12</f>
        <v>-3865.414194</v>
      </c>
      <c r="BZ26" s="24">
        <f>Operational!BZ12</f>
        <v>-3865.414194</v>
      </c>
      <c r="CA26" s="24">
        <f>Operational!CA12</f>
        <v>-3865.414194</v>
      </c>
      <c r="CB26" s="24">
        <f>Operational!CB12</f>
        <v>-3865.414194</v>
      </c>
      <c r="CC26" s="24">
        <f>Operational!CC12</f>
        <v>-3865.414194</v>
      </c>
      <c r="CD26" s="24">
        <f>Operational!CD12</f>
        <v>-3865.414194</v>
      </c>
      <c r="CE26" s="24">
        <f>Operational!CE12</f>
        <v>-3865.414194</v>
      </c>
      <c r="CF26" s="24">
        <f>Operational!CF12</f>
        <v>-3865.414194</v>
      </c>
      <c r="CG26" s="24">
        <f>Operational!CG12</f>
        <v>-3865.414194</v>
      </c>
      <c r="CH26" s="26">
        <f t="shared" ref="CH26:CH33" si="36">SUM(BV26:CG26)</f>
        <v>-46384.97032</v>
      </c>
      <c r="CI26" s="40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</row>
    <row r="27" ht="13.5" hidden="1" customHeight="1" outlineLevel="1">
      <c r="A27" s="27"/>
      <c r="B27" s="24" t="str">
        <f>Operational!B13</f>
        <v>Storage</v>
      </c>
      <c r="C27" s="24" t="str">
        <f>Operational!C13</f>
        <v>02a</v>
      </c>
      <c r="D27" s="24">
        <f>Operational!D13</f>
        <v>0</v>
      </c>
      <c r="E27" s="24">
        <f>Operational!E13</f>
        <v>0</v>
      </c>
      <c r="F27" s="24">
        <f>Operational!F13</f>
        <v>0</v>
      </c>
      <c r="G27" s="24">
        <f>Operational!G13</f>
        <v>0</v>
      </c>
      <c r="H27" s="24">
        <f>Operational!H13</f>
        <v>0</v>
      </c>
      <c r="I27" s="24">
        <f>Operational!I13</f>
        <v>0</v>
      </c>
      <c r="J27" s="24">
        <f>Operational!J13</f>
        <v>0</v>
      </c>
      <c r="K27" s="24">
        <f>Operational!K13</f>
        <v>0</v>
      </c>
      <c r="L27" s="24">
        <f>Operational!L13</f>
        <v>0</v>
      </c>
      <c r="M27" s="24">
        <f>Operational!M13</f>
        <v>0</v>
      </c>
      <c r="N27" s="24">
        <f>Operational!N13</f>
        <v>0</v>
      </c>
      <c r="O27" s="24">
        <f>Operational!O13</f>
        <v>0</v>
      </c>
      <c r="P27" s="26">
        <f t="shared" si="31"/>
        <v>0</v>
      </c>
      <c r="Q27" s="14"/>
      <c r="R27" s="24">
        <f>Operational!R13</f>
        <v>0</v>
      </c>
      <c r="S27" s="24">
        <f>Operational!S13</f>
        <v>0</v>
      </c>
      <c r="T27" s="24">
        <f>Operational!T13</f>
        <v>0</v>
      </c>
      <c r="U27" s="24">
        <f>Operational!U13</f>
        <v>0</v>
      </c>
      <c r="V27" s="24">
        <f>Operational!V13</f>
        <v>0</v>
      </c>
      <c r="W27" s="24">
        <f>Operational!W13</f>
        <v>0</v>
      </c>
      <c r="X27" s="24">
        <f>Operational!X13</f>
        <v>0</v>
      </c>
      <c r="Y27" s="24">
        <f>Operational!Y13</f>
        <v>0</v>
      </c>
      <c r="Z27" s="24">
        <f>Operational!Z13</f>
        <v>0</v>
      </c>
      <c r="AA27" s="24">
        <f>Operational!AA13</f>
        <v>0</v>
      </c>
      <c r="AB27" s="24">
        <f>Operational!AB13</f>
        <v>0</v>
      </c>
      <c r="AC27" s="24">
        <f>Operational!AC13</f>
        <v>0</v>
      </c>
      <c r="AD27" s="26">
        <f t="shared" si="32"/>
        <v>0</v>
      </c>
      <c r="AE27" s="14"/>
      <c r="AF27" s="24">
        <f>Operational!AF13</f>
        <v>0</v>
      </c>
      <c r="AG27" s="24">
        <f>Operational!AG13</f>
        <v>0</v>
      </c>
      <c r="AH27" s="24">
        <f>Operational!AH13</f>
        <v>0</v>
      </c>
      <c r="AI27" s="24">
        <f>Operational!AI13</f>
        <v>0</v>
      </c>
      <c r="AJ27" s="24">
        <f>Operational!AJ13</f>
        <v>0</v>
      </c>
      <c r="AK27" s="24">
        <f>Operational!AK13</f>
        <v>0</v>
      </c>
      <c r="AL27" s="24">
        <f>Operational!AL13</f>
        <v>0</v>
      </c>
      <c r="AM27" s="24">
        <f>Operational!AM13</f>
        <v>0</v>
      </c>
      <c r="AN27" s="24">
        <f>Operational!AN13</f>
        <v>0</v>
      </c>
      <c r="AO27" s="24">
        <f>Operational!AO13</f>
        <v>0</v>
      </c>
      <c r="AP27" s="24">
        <f>Operational!AP13</f>
        <v>0</v>
      </c>
      <c r="AQ27" s="24">
        <f>Operational!AQ13</f>
        <v>0</v>
      </c>
      <c r="AR27" s="26">
        <f t="shared" si="33"/>
        <v>0</v>
      </c>
      <c r="AS27" s="14"/>
      <c r="AT27" s="24">
        <f>Operational!AT13</f>
        <v>0</v>
      </c>
      <c r="AU27" s="24">
        <f>Operational!AU13</f>
        <v>0</v>
      </c>
      <c r="AV27" s="24">
        <f>Operational!AV13</f>
        <v>0</v>
      </c>
      <c r="AW27" s="24">
        <f>Operational!AW13</f>
        <v>0</v>
      </c>
      <c r="AX27" s="24">
        <f>Operational!AX13</f>
        <v>0</v>
      </c>
      <c r="AY27" s="24">
        <f>Operational!AY13</f>
        <v>0</v>
      </c>
      <c r="AZ27" s="24">
        <f>Operational!AZ13</f>
        <v>0</v>
      </c>
      <c r="BA27" s="24">
        <f>Operational!BA13</f>
        <v>0</v>
      </c>
      <c r="BB27" s="24">
        <f>Operational!BB13</f>
        <v>0</v>
      </c>
      <c r="BC27" s="24">
        <f>Operational!BC13</f>
        <v>0</v>
      </c>
      <c r="BD27" s="24">
        <f>Operational!BD13</f>
        <v>0</v>
      </c>
      <c r="BE27" s="24">
        <f>Operational!BE13</f>
        <v>0</v>
      </c>
      <c r="BF27" s="26">
        <f t="shared" si="34"/>
        <v>0</v>
      </c>
      <c r="BG27" s="14"/>
      <c r="BH27" s="24">
        <f>Operational!BH13</f>
        <v>0</v>
      </c>
      <c r="BI27" s="24">
        <f>Operational!BI13</f>
        <v>0</v>
      </c>
      <c r="BJ27" s="24">
        <f>Operational!BJ13</f>
        <v>0</v>
      </c>
      <c r="BK27" s="24">
        <f>Operational!BK13</f>
        <v>0</v>
      </c>
      <c r="BL27" s="24">
        <f>Operational!BL13</f>
        <v>0</v>
      </c>
      <c r="BM27" s="24">
        <f>Operational!BM13</f>
        <v>0</v>
      </c>
      <c r="BN27" s="24">
        <f>Operational!BN13</f>
        <v>0</v>
      </c>
      <c r="BO27" s="24">
        <f>Operational!BO13</f>
        <v>0</v>
      </c>
      <c r="BP27" s="24">
        <f>Operational!BP13</f>
        <v>0</v>
      </c>
      <c r="BQ27" s="24">
        <f>Operational!BQ13</f>
        <v>0</v>
      </c>
      <c r="BR27" s="24">
        <f>Operational!BR13</f>
        <v>0</v>
      </c>
      <c r="BS27" s="24">
        <f>Operational!BS13</f>
        <v>0</v>
      </c>
      <c r="BT27" s="26">
        <f t="shared" si="35"/>
        <v>0</v>
      </c>
      <c r="BU27" s="14"/>
      <c r="BV27" s="24">
        <f>Operational!BV13</f>
        <v>0</v>
      </c>
      <c r="BW27" s="24">
        <f>Operational!BW13</f>
        <v>0</v>
      </c>
      <c r="BX27" s="24">
        <f>Operational!BX13</f>
        <v>0</v>
      </c>
      <c r="BY27" s="24">
        <f>Operational!BY13</f>
        <v>0</v>
      </c>
      <c r="BZ27" s="24">
        <f>Operational!BZ13</f>
        <v>0</v>
      </c>
      <c r="CA27" s="24">
        <f>Operational!CA13</f>
        <v>0</v>
      </c>
      <c r="CB27" s="24">
        <f>Operational!CB13</f>
        <v>0</v>
      </c>
      <c r="CC27" s="24">
        <f>Operational!CC13</f>
        <v>0</v>
      </c>
      <c r="CD27" s="24">
        <f>Operational!CD13</f>
        <v>0</v>
      </c>
      <c r="CE27" s="24">
        <f>Operational!CE13</f>
        <v>0</v>
      </c>
      <c r="CF27" s="24">
        <f>Operational!CF13</f>
        <v>0</v>
      </c>
      <c r="CG27" s="24">
        <f>Operational!CG13</f>
        <v>0</v>
      </c>
      <c r="CH27" s="26">
        <f t="shared" si="36"/>
        <v>0</v>
      </c>
      <c r="CI27" s="14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</row>
    <row r="28" ht="13.5" hidden="1" customHeight="1" outlineLevel="1">
      <c r="A28" s="27"/>
      <c r="B28" s="24" t="str">
        <f>Operational!B14</f>
        <v>x</v>
      </c>
      <c r="C28" s="24" t="str">
        <f>Operational!C14</f>
        <v>O2b</v>
      </c>
      <c r="D28" s="24">
        <f>Operational!D14</f>
        <v>0</v>
      </c>
      <c r="E28" s="24">
        <f>Operational!E14</f>
        <v>0</v>
      </c>
      <c r="F28" s="24">
        <f>Operational!F14</f>
        <v>0</v>
      </c>
      <c r="G28" s="24">
        <f>Operational!G14</f>
        <v>0</v>
      </c>
      <c r="H28" s="24">
        <f>Operational!H14</f>
        <v>0</v>
      </c>
      <c r="I28" s="24">
        <f>Operational!I14</f>
        <v>0</v>
      </c>
      <c r="J28" s="24">
        <f>Operational!J14</f>
        <v>0</v>
      </c>
      <c r="K28" s="24">
        <f>Operational!K14</f>
        <v>0</v>
      </c>
      <c r="L28" s="24">
        <f>Operational!L14</f>
        <v>0</v>
      </c>
      <c r="M28" s="24">
        <f>Operational!M14</f>
        <v>0</v>
      </c>
      <c r="N28" s="24">
        <f>Operational!N14</f>
        <v>0</v>
      </c>
      <c r="O28" s="24">
        <f>Operational!O14</f>
        <v>0</v>
      </c>
      <c r="P28" s="26">
        <f t="shared" si="31"/>
        <v>0</v>
      </c>
      <c r="Q28" s="14"/>
      <c r="R28" s="24">
        <f>Operational!R14</f>
        <v>0</v>
      </c>
      <c r="S28" s="24">
        <f>Operational!S14</f>
        <v>0</v>
      </c>
      <c r="T28" s="24">
        <f>Operational!T14</f>
        <v>0</v>
      </c>
      <c r="U28" s="24">
        <f>Operational!U14</f>
        <v>0</v>
      </c>
      <c r="V28" s="24">
        <f>Operational!V14</f>
        <v>0</v>
      </c>
      <c r="W28" s="24">
        <f>Operational!W14</f>
        <v>0</v>
      </c>
      <c r="X28" s="24">
        <f>Operational!X14</f>
        <v>0</v>
      </c>
      <c r="Y28" s="24">
        <f>Operational!Y14</f>
        <v>0</v>
      </c>
      <c r="Z28" s="24">
        <f>Operational!Z14</f>
        <v>0</v>
      </c>
      <c r="AA28" s="24">
        <f>Operational!AA14</f>
        <v>0</v>
      </c>
      <c r="AB28" s="24">
        <f>Operational!AB14</f>
        <v>0</v>
      </c>
      <c r="AC28" s="24">
        <f>Operational!AC14</f>
        <v>0</v>
      </c>
      <c r="AD28" s="26">
        <f t="shared" si="32"/>
        <v>0</v>
      </c>
      <c r="AE28" s="14"/>
      <c r="AF28" s="24">
        <f>Operational!AF14</f>
        <v>0</v>
      </c>
      <c r="AG28" s="24">
        <f>Operational!AG14</f>
        <v>0</v>
      </c>
      <c r="AH28" s="24">
        <f>Operational!AH14</f>
        <v>0</v>
      </c>
      <c r="AI28" s="24">
        <f>Operational!AI14</f>
        <v>0</v>
      </c>
      <c r="AJ28" s="24">
        <f>Operational!AJ14</f>
        <v>0</v>
      </c>
      <c r="AK28" s="24">
        <f>Operational!AK14</f>
        <v>0</v>
      </c>
      <c r="AL28" s="24">
        <f>Operational!AL14</f>
        <v>0</v>
      </c>
      <c r="AM28" s="24">
        <f>Operational!AM14</f>
        <v>0</v>
      </c>
      <c r="AN28" s="24">
        <f>Operational!AN14</f>
        <v>0</v>
      </c>
      <c r="AO28" s="24">
        <f>Operational!AO14</f>
        <v>0</v>
      </c>
      <c r="AP28" s="24">
        <f>Operational!AP14</f>
        <v>0</v>
      </c>
      <c r="AQ28" s="24">
        <f>Operational!AQ14</f>
        <v>0</v>
      </c>
      <c r="AR28" s="26">
        <f t="shared" si="33"/>
        <v>0</v>
      </c>
      <c r="AS28" s="14"/>
      <c r="AT28" s="24">
        <f>Operational!AT14</f>
        <v>0</v>
      </c>
      <c r="AU28" s="24">
        <f>Operational!AU14</f>
        <v>0</v>
      </c>
      <c r="AV28" s="24">
        <f>Operational!AV14</f>
        <v>0</v>
      </c>
      <c r="AW28" s="24">
        <f>Operational!AW14</f>
        <v>0</v>
      </c>
      <c r="AX28" s="24">
        <f>Operational!AX14</f>
        <v>0</v>
      </c>
      <c r="AY28" s="24">
        <f>Operational!AY14</f>
        <v>0</v>
      </c>
      <c r="AZ28" s="24">
        <f>Operational!AZ14</f>
        <v>0</v>
      </c>
      <c r="BA28" s="24">
        <f>Operational!BA14</f>
        <v>0</v>
      </c>
      <c r="BB28" s="24">
        <f>Operational!BB14</f>
        <v>0</v>
      </c>
      <c r="BC28" s="24">
        <f>Operational!BC14</f>
        <v>0</v>
      </c>
      <c r="BD28" s="24">
        <f>Operational!BD14</f>
        <v>0</v>
      </c>
      <c r="BE28" s="24">
        <f>Operational!BE14</f>
        <v>0</v>
      </c>
      <c r="BF28" s="26">
        <f t="shared" si="34"/>
        <v>0</v>
      </c>
      <c r="BG28" s="14"/>
      <c r="BH28" s="24">
        <f>Operational!BH14</f>
        <v>0</v>
      </c>
      <c r="BI28" s="24">
        <f>Operational!BI14</f>
        <v>0</v>
      </c>
      <c r="BJ28" s="24">
        <f>Operational!BJ14</f>
        <v>0</v>
      </c>
      <c r="BK28" s="24">
        <f>Operational!BK14</f>
        <v>0</v>
      </c>
      <c r="BL28" s="24">
        <f>Operational!BL14</f>
        <v>0</v>
      </c>
      <c r="BM28" s="24">
        <f>Operational!BM14</f>
        <v>0</v>
      </c>
      <c r="BN28" s="24">
        <f>Operational!BN14</f>
        <v>0</v>
      </c>
      <c r="BO28" s="24">
        <f>Operational!BO14</f>
        <v>0</v>
      </c>
      <c r="BP28" s="24">
        <f>Operational!BP14</f>
        <v>0</v>
      </c>
      <c r="BQ28" s="24">
        <f>Operational!BQ14</f>
        <v>0</v>
      </c>
      <c r="BR28" s="24">
        <f>Operational!BR14</f>
        <v>0</v>
      </c>
      <c r="BS28" s="24">
        <f>Operational!BS14</f>
        <v>0</v>
      </c>
      <c r="BT28" s="26">
        <f t="shared" si="35"/>
        <v>0</v>
      </c>
      <c r="BU28" s="14"/>
      <c r="BV28" s="24">
        <f>Operational!BV14</f>
        <v>0</v>
      </c>
      <c r="BW28" s="24">
        <f>Operational!BW14</f>
        <v>0</v>
      </c>
      <c r="BX28" s="24">
        <f>Operational!BX14</f>
        <v>0</v>
      </c>
      <c r="BY28" s="24">
        <f>Operational!BY14</f>
        <v>0</v>
      </c>
      <c r="BZ28" s="24">
        <f>Operational!BZ14</f>
        <v>0</v>
      </c>
      <c r="CA28" s="24">
        <f>Operational!CA14</f>
        <v>0</v>
      </c>
      <c r="CB28" s="24">
        <f>Operational!CB14</f>
        <v>0</v>
      </c>
      <c r="CC28" s="24">
        <f>Operational!CC14</f>
        <v>0</v>
      </c>
      <c r="CD28" s="24">
        <f>Operational!CD14</f>
        <v>0</v>
      </c>
      <c r="CE28" s="24">
        <f>Operational!CE14</f>
        <v>0</v>
      </c>
      <c r="CF28" s="24">
        <f>Operational!CF14</f>
        <v>0</v>
      </c>
      <c r="CG28" s="24">
        <f>Operational!CG14</f>
        <v>0</v>
      </c>
      <c r="CH28" s="26">
        <f t="shared" si="36"/>
        <v>0</v>
      </c>
      <c r="CI28" s="14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</row>
    <row r="29" ht="13.5" hidden="1" customHeight="1" outlineLevel="1">
      <c r="A29" s="27"/>
      <c r="B29" s="24" t="str">
        <f>Operational!B15</f>
        <v>Cleaning</v>
      </c>
      <c r="C29" s="24" t="str">
        <f>Operational!C15</f>
        <v>O3</v>
      </c>
      <c r="D29" s="24">
        <f>Operational!D15</f>
        <v>0</v>
      </c>
      <c r="E29" s="24">
        <f>Operational!E15</f>
        <v>0</v>
      </c>
      <c r="F29" s="24">
        <f>Operational!F15</f>
        <v>0</v>
      </c>
      <c r="G29" s="24">
        <f>Operational!G15</f>
        <v>0</v>
      </c>
      <c r="H29" s="24">
        <f>Operational!H15</f>
        <v>0</v>
      </c>
      <c r="I29" s="24">
        <f>Operational!I15</f>
        <v>0</v>
      </c>
      <c r="J29" s="24">
        <f>Operational!J15</f>
        <v>-500</v>
      </c>
      <c r="K29" s="24">
        <f>Operational!K15</f>
        <v>-500</v>
      </c>
      <c r="L29" s="24">
        <f>Operational!L15</f>
        <v>-500</v>
      </c>
      <c r="M29" s="24">
        <f>Operational!M15</f>
        <v>-500</v>
      </c>
      <c r="N29" s="24">
        <f>Operational!N15</f>
        <v>-500</v>
      </c>
      <c r="O29" s="24">
        <f>Operational!O15</f>
        <v>-500</v>
      </c>
      <c r="P29" s="26">
        <f t="shared" si="31"/>
        <v>-3000</v>
      </c>
      <c r="Q29" s="14"/>
      <c r="R29" s="24">
        <f>Operational!R15</f>
        <v>-528</v>
      </c>
      <c r="S29" s="24">
        <f>Operational!S15</f>
        <v>-528</v>
      </c>
      <c r="T29" s="24">
        <f>Operational!T15</f>
        <v>-528</v>
      </c>
      <c r="U29" s="24">
        <f>Operational!U15</f>
        <v>-528</v>
      </c>
      <c r="V29" s="24">
        <f>Operational!V15</f>
        <v>-528</v>
      </c>
      <c r="W29" s="24">
        <f>Operational!W15</f>
        <v>-528</v>
      </c>
      <c r="X29" s="24">
        <f>Operational!X15</f>
        <v>-528</v>
      </c>
      <c r="Y29" s="24">
        <f>Operational!Y15</f>
        <v>-528</v>
      </c>
      <c r="Z29" s="24">
        <f>Operational!Z15</f>
        <v>-528</v>
      </c>
      <c r="AA29" s="24">
        <f>Operational!AA15</f>
        <v>-528</v>
      </c>
      <c r="AB29" s="24">
        <f>Operational!AB15</f>
        <v>-528</v>
      </c>
      <c r="AC29" s="24">
        <f>Operational!AC15</f>
        <v>-528</v>
      </c>
      <c r="AD29" s="26">
        <f t="shared" si="32"/>
        <v>-6336</v>
      </c>
      <c r="AE29" s="14"/>
      <c r="AF29" s="24">
        <f>Operational!AF15</f>
        <v>-554.928</v>
      </c>
      <c r="AG29" s="24">
        <f>Operational!AG15</f>
        <v>-554.928</v>
      </c>
      <c r="AH29" s="24">
        <f>Operational!AH15</f>
        <v>-554.928</v>
      </c>
      <c r="AI29" s="24">
        <f>Operational!AI15</f>
        <v>-554.928</v>
      </c>
      <c r="AJ29" s="24">
        <f>Operational!AJ15</f>
        <v>-554.928</v>
      </c>
      <c r="AK29" s="24">
        <f>Operational!AK15</f>
        <v>-554.928</v>
      </c>
      <c r="AL29" s="24">
        <f>Operational!AL15</f>
        <v>-554.928</v>
      </c>
      <c r="AM29" s="24">
        <f>Operational!AM15</f>
        <v>-554.928</v>
      </c>
      <c r="AN29" s="24">
        <f>Operational!AN15</f>
        <v>-554.928</v>
      </c>
      <c r="AO29" s="24">
        <f>Operational!AO15</f>
        <v>-554.928</v>
      </c>
      <c r="AP29" s="24">
        <f>Operational!AP15</f>
        <v>-554.928</v>
      </c>
      <c r="AQ29" s="24">
        <f>Operational!AQ15</f>
        <v>-554.928</v>
      </c>
      <c r="AR29" s="26">
        <f t="shared" si="33"/>
        <v>-6659.136</v>
      </c>
      <c r="AS29" s="14"/>
      <c r="AT29" s="24">
        <f>Operational!AT15</f>
        <v>-583.229328</v>
      </c>
      <c r="AU29" s="24">
        <f>Operational!AU15</f>
        <v>-583.229328</v>
      </c>
      <c r="AV29" s="24">
        <f>Operational!AV15</f>
        <v>-583.229328</v>
      </c>
      <c r="AW29" s="24">
        <f>Operational!AW15</f>
        <v>-583.229328</v>
      </c>
      <c r="AX29" s="24">
        <f>Operational!AX15</f>
        <v>-583.229328</v>
      </c>
      <c r="AY29" s="24">
        <f>Operational!AY15</f>
        <v>-583.229328</v>
      </c>
      <c r="AZ29" s="24">
        <f>Operational!AZ15</f>
        <v>-583.229328</v>
      </c>
      <c r="BA29" s="24">
        <f>Operational!BA15</f>
        <v>-583.229328</v>
      </c>
      <c r="BB29" s="24">
        <f>Operational!BB15</f>
        <v>-583.229328</v>
      </c>
      <c r="BC29" s="24">
        <f>Operational!BC15</f>
        <v>-583.229328</v>
      </c>
      <c r="BD29" s="24">
        <f>Operational!BD15</f>
        <v>-583.229328</v>
      </c>
      <c r="BE29" s="24">
        <f>Operational!BE15</f>
        <v>-583.229328</v>
      </c>
      <c r="BF29" s="26">
        <f t="shared" si="34"/>
        <v>-6998.751936</v>
      </c>
      <c r="BG29" s="14"/>
      <c r="BH29" s="24">
        <f>Operational!BH15</f>
        <v>-612.9740237</v>
      </c>
      <c r="BI29" s="24">
        <f>Operational!BI15</f>
        <v>-612.9740237</v>
      </c>
      <c r="BJ29" s="24">
        <f>Operational!BJ15</f>
        <v>-612.9740237</v>
      </c>
      <c r="BK29" s="24">
        <f>Operational!BK15</f>
        <v>-612.9740237</v>
      </c>
      <c r="BL29" s="24">
        <f>Operational!BL15</f>
        <v>-612.9740237</v>
      </c>
      <c r="BM29" s="24">
        <f>Operational!BM15</f>
        <v>-612.9740237</v>
      </c>
      <c r="BN29" s="24">
        <f>Operational!BN15</f>
        <v>-612.9740237</v>
      </c>
      <c r="BO29" s="24">
        <f>Operational!BO15</f>
        <v>-612.9740237</v>
      </c>
      <c r="BP29" s="24">
        <f>Operational!BP15</f>
        <v>-612.9740237</v>
      </c>
      <c r="BQ29" s="24">
        <f>Operational!BQ15</f>
        <v>-612.9740237</v>
      </c>
      <c r="BR29" s="24">
        <f>Operational!BR15</f>
        <v>-612.9740237</v>
      </c>
      <c r="BS29" s="24">
        <f>Operational!BS15</f>
        <v>-612.9740237</v>
      </c>
      <c r="BT29" s="26">
        <f t="shared" si="35"/>
        <v>-7355.688285</v>
      </c>
      <c r="BU29" s="14"/>
      <c r="BV29" s="24">
        <f>Operational!BV15</f>
        <v>-644.2356989</v>
      </c>
      <c r="BW29" s="24">
        <f>Operational!BW15</f>
        <v>-644.2356989</v>
      </c>
      <c r="BX29" s="24">
        <f>Operational!BX15</f>
        <v>-644.2356989</v>
      </c>
      <c r="BY29" s="24">
        <f>Operational!BY15</f>
        <v>-644.2356989</v>
      </c>
      <c r="BZ29" s="24">
        <f>Operational!BZ15</f>
        <v>-644.2356989</v>
      </c>
      <c r="CA29" s="24">
        <f>Operational!CA15</f>
        <v>-644.2356989</v>
      </c>
      <c r="CB29" s="24">
        <f>Operational!CB15</f>
        <v>-644.2356989</v>
      </c>
      <c r="CC29" s="24">
        <f>Operational!CC15</f>
        <v>-644.2356989</v>
      </c>
      <c r="CD29" s="24">
        <f>Operational!CD15</f>
        <v>-644.2356989</v>
      </c>
      <c r="CE29" s="24">
        <f>Operational!CE15</f>
        <v>-644.2356989</v>
      </c>
      <c r="CF29" s="24">
        <f>Operational!CF15</f>
        <v>-644.2356989</v>
      </c>
      <c r="CG29" s="24">
        <f>Operational!CG15</f>
        <v>-644.2356989</v>
      </c>
      <c r="CH29" s="26">
        <f t="shared" si="36"/>
        <v>-7730.828387</v>
      </c>
      <c r="CI29" s="14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</row>
    <row r="30" ht="13.5" hidden="1" customHeight="1" outlineLevel="1">
      <c r="A30" s="27"/>
      <c r="B30" s="24" t="str">
        <f>Operational!B16</f>
        <v>Electricity</v>
      </c>
      <c r="C30" s="24" t="str">
        <f>Operational!C16</f>
        <v>O4</v>
      </c>
      <c r="D30" s="24">
        <f>Operational!D16</f>
        <v>0</v>
      </c>
      <c r="E30" s="24">
        <f>Operational!E16</f>
        <v>0</v>
      </c>
      <c r="F30" s="24">
        <f>Operational!F16</f>
        <v>0</v>
      </c>
      <c r="G30" s="24">
        <f>Operational!G16</f>
        <v>0</v>
      </c>
      <c r="H30" s="24">
        <f>Operational!H16</f>
        <v>0</v>
      </c>
      <c r="I30" s="24">
        <f>Operational!I16</f>
        <v>0</v>
      </c>
      <c r="J30" s="24">
        <f>Operational!J16</f>
        <v>-550</v>
      </c>
      <c r="K30" s="24">
        <f>Operational!K16</f>
        <v>-550</v>
      </c>
      <c r="L30" s="24">
        <f>Operational!L16</f>
        <v>-550</v>
      </c>
      <c r="M30" s="24">
        <f>Operational!M16</f>
        <v>-550</v>
      </c>
      <c r="N30" s="24">
        <f>Operational!N16</f>
        <v>-550</v>
      </c>
      <c r="O30" s="24">
        <f>Operational!O16</f>
        <v>-550</v>
      </c>
      <c r="P30" s="26">
        <f t="shared" si="31"/>
        <v>-3300</v>
      </c>
      <c r="Q30" s="14"/>
      <c r="R30" s="24">
        <f>Operational!R16</f>
        <v>-580.8</v>
      </c>
      <c r="S30" s="24">
        <f>Operational!S16</f>
        <v>-580.8</v>
      </c>
      <c r="T30" s="24">
        <f>Operational!T16</f>
        <v>-580.8</v>
      </c>
      <c r="U30" s="24">
        <f>Operational!U16</f>
        <v>-580.8</v>
      </c>
      <c r="V30" s="24">
        <f>Operational!V16</f>
        <v>-580.8</v>
      </c>
      <c r="W30" s="24">
        <f>Operational!W16</f>
        <v>-580.8</v>
      </c>
      <c r="X30" s="24">
        <f>Operational!X16</f>
        <v>-580.8</v>
      </c>
      <c r="Y30" s="24">
        <f>Operational!Y16</f>
        <v>-580.8</v>
      </c>
      <c r="Z30" s="24">
        <f>Operational!Z16</f>
        <v>-580.8</v>
      </c>
      <c r="AA30" s="24">
        <f>Operational!AA16</f>
        <v>-580.8</v>
      </c>
      <c r="AB30" s="24">
        <f>Operational!AB16</f>
        <v>-580.8</v>
      </c>
      <c r="AC30" s="24">
        <f>Operational!AC16</f>
        <v>-580.8</v>
      </c>
      <c r="AD30" s="26">
        <f t="shared" si="32"/>
        <v>-6969.6</v>
      </c>
      <c r="AE30" s="14"/>
      <c r="AF30" s="24">
        <f>Operational!AF16</f>
        <v>-610.4208</v>
      </c>
      <c r="AG30" s="24">
        <f>Operational!AG16</f>
        <v>-610.4208</v>
      </c>
      <c r="AH30" s="24">
        <f>Operational!AH16</f>
        <v>-610.4208</v>
      </c>
      <c r="AI30" s="24">
        <f>Operational!AI16</f>
        <v>-610.4208</v>
      </c>
      <c r="AJ30" s="24">
        <f>Operational!AJ16</f>
        <v>-610.4208</v>
      </c>
      <c r="AK30" s="24">
        <f>Operational!AK16</f>
        <v>-610.4208</v>
      </c>
      <c r="AL30" s="24">
        <f>Operational!AL16</f>
        <v>-610.4208</v>
      </c>
      <c r="AM30" s="24">
        <f>Operational!AM16</f>
        <v>-610.4208</v>
      </c>
      <c r="AN30" s="24">
        <f>Operational!AN16</f>
        <v>-610.4208</v>
      </c>
      <c r="AO30" s="24">
        <f>Operational!AO16</f>
        <v>-610.4208</v>
      </c>
      <c r="AP30" s="24">
        <f>Operational!AP16</f>
        <v>-610.4208</v>
      </c>
      <c r="AQ30" s="24">
        <f>Operational!AQ16</f>
        <v>-610.4208</v>
      </c>
      <c r="AR30" s="26">
        <f t="shared" si="33"/>
        <v>-7325.0496</v>
      </c>
      <c r="AS30" s="14"/>
      <c r="AT30" s="24">
        <f>Operational!AT16</f>
        <v>-641.5522608</v>
      </c>
      <c r="AU30" s="24">
        <f>Operational!AU16</f>
        <v>-641.5522608</v>
      </c>
      <c r="AV30" s="24">
        <f>Operational!AV16</f>
        <v>-641.5522608</v>
      </c>
      <c r="AW30" s="24">
        <f>Operational!AW16</f>
        <v>-641.5522608</v>
      </c>
      <c r="AX30" s="24">
        <f>Operational!AX16</f>
        <v>-641.5522608</v>
      </c>
      <c r="AY30" s="24">
        <f>Operational!AY16</f>
        <v>-641.5522608</v>
      </c>
      <c r="AZ30" s="24">
        <f>Operational!AZ16</f>
        <v>-641.5522608</v>
      </c>
      <c r="BA30" s="24">
        <f>Operational!BA16</f>
        <v>-641.5522608</v>
      </c>
      <c r="BB30" s="24">
        <f>Operational!BB16</f>
        <v>-641.5522608</v>
      </c>
      <c r="BC30" s="24">
        <f>Operational!BC16</f>
        <v>-641.5522608</v>
      </c>
      <c r="BD30" s="24">
        <f>Operational!BD16</f>
        <v>-641.5522608</v>
      </c>
      <c r="BE30" s="24">
        <f>Operational!BE16</f>
        <v>-641.5522608</v>
      </c>
      <c r="BF30" s="26">
        <f t="shared" si="34"/>
        <v>-7698.62713</v>
      </c>
      <c r="BG30" s="14"/>
      <c r="BH30" s="24">
        <f>Operational!BH16</f>
        <v>-674.2714261</v>
      </c>
      <c r="BI30" s="24">
        <f>Operational!BI16</f>
        <v>-674.2714261</v>
      </c>
      <c r="BJ30" s="24">
        <f>Operational!BJ16</f>
        <v>-674.2714261</v>
      </c>
      <c r="BK30" s="24">
        <f>Operational!BK16</f>
        <v>-674.2714261</v>
      </c>
      <c r="BL30" s="24">
        <f>Operational!BL16</f>
        <v>-674.2714261</v>
      </c>
      <c r="BM30" s="24">
        <f>Operational!BM16</f>
        <v>-674.2714261</v>
      </c>
      <c r="BN30" s="24">
        <f>Operational!BN16</f>
        <v>-674.2714261</v>
      </c>
      <c r="BO30" s="24">
        <f>Operational!BO16</f>
        <v>-674.2714261</v>
      </c>
      <c r="BP30" s="24">
        <f>Operational!BP16</f>
        <v>-674.2714261</v>
      </c>
      <c r="BQ30" s="24">
        <f>Operational!BQ16</f>
        <v>-674.2714261</v>
      </c>
      <c r="BR30" s="24">
        <f>Operational!BR16</f>
        <v>-674.2714261</v>
      </c>
      <c r="BS30" s="24">
        <f>Operational!BS16</f>
        <v>-674.2714261</v>
      </c>
      <c r="BT30" s="26">
        <f t="shared" si="35"/>
        <v>-8091.257113</v>
      </c>
      <c r="BU30" s="14"/>
      <c r="BV30" s="24">
        <f>Operational!BV16</f>
        <v>-708.6592688</v>
      </c>
      <c r="BW30" s="24">
        <f>Operational!BW16</f>
        <v>-708.6592688</v>
      </c>
      <c r="BX30" s="24">
        <f>Operational!BX16</f>
        <v>-708.6592688</v>
      </c>
      <c r="BY30" s="24">
        <f>Operational!BY16</f>
        <v>-708.6592688</v>
      </c>
      <c r="BZ30" s="24">
        <f>Operational!BZ16</f>
        <v>-708.6592688</v>
      </c>
      <c r="CA30" s="24">
        <f>Operational!CA16</f>
        <v>-708.6592688</v>
      </c>
      <c r="CB30" s="24">
        <f>Operational!CB16</f>
        <v>-708.6592688</v>
      </c>
      <c r="CC30" s="24">
        <f>Operational!CC16</f>
        <v>-708.6592688</v>
      </c>
      <c r="CD30" s="24">
        <f>Operational!CD16</f>
        <v>-708.6592688</v>
      </c>
      <c r="CE30" s="24">
        <f>Operational!CE16</f>
        <v>-708.6592688</v>
      </c>
      <c r="CF30" s="24">
        <f>Operational!CF16</f>
        <v>-708.6592688</v>
      </c>
      <c r="CG30" s="24">
        <f>Operational!CG16</f>
        <v>-708.6592688</v>
      </c>
      <c r="CH30" s="26">
        <f t="shared" si="36"/>
        <v>-8503.911226</v>
      </c>
      <c r="CI30" s="14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</row>
    <row r="31" ht="13.5" hidden="1" customHeight="1" outlineLevel="1">
      <c r="A31" s="27"/>
      <c r="B31" s="24" t="str">
        <f>Operational!B17</f>
        <v>Cooling / Heating</v>
      </c>
      <c r="C31" s="24" t="str">
        <f>Operational!C17</f>
        <v>O5</v>
      </c>
      <c r="D31" s="24">
        <f>Operational!D17</f>
        <v>0</v>
      </c>
      <c r="E31" s="24">
        <f>Operational!E17</f>
        <v>0</v>
      </c>
      <c r="F31" s="24">
        <f>Operational!F17</f>
        <v>0</v>
      </c>
      <c r="G31" s="24">
        <f>Operational!G17</f>
        <v>0</v>
      </c>
      <c r="H31" s="24">
        <f>Operational!H17</f>
        <v>0</v>
      </c>
      <c r="I31" s="24">
        <f>Operational!I17</f>
        <v>0</v>
      </c>
      <c r="J31" s="24">
        <f>Operational!J17</f>
        <v>-200</v>
      </c>
      <c r="K31" s="24">
        <f>Operational!K17</f>
        <v>-200</v>
      </c>
      <c r="L31" s="24">
        <f>Operational!L17</f>
        <v>-200</v>
      </c>
      <c r="M31" s="24">
        <f>Operational!M17</f>
        <v>-200</v>
      </c>
      <c r="N31" s="24">
        <f>Operational!N17</f>
        <v>-200</v>
      </c>
      <c r="O31" s="24">
        <f>Operational!O17</f>
        <v>-200</v>
      </c>
      <c r="P31" s="26">
        <f t="shared" si="31"/>
        <v>-1200</v>
      </c>
      <c r="Q31" s="14"/>
      <c r="R31" s="24">
        <f>Operational!R17</f>
        <v>-211.2</v>
      </c>
      <c r="S31" s="24">
        <f>Operational!S17</f>
        <v>-211.2</v>
      </c>
      <c r="T31" s="24">
        <f>Operational!T17</f>
        <v>-211.2</v>
      </c>
      <c r="U31" s="24">
        <f>Operational!U17</f>
        <v>-211.2</v>
      </c>
      <c r="V31" s="24">
        <f>Operational!V17</f>
        <v>-211.2</v>
      </c>
      <c r="W31" s="24">
        <f>Operational!W17</f>
        <v>-211.2</v>
      </c>
      <c r="X31" s="24">
        <f>Operational!X17</f>
        <v>-211.2</v>
      </c>
      <c r="Y31" s="24">
        <f>Operational!Y17</f>
        <v>-211.2</v>
      </c>
      <c r="Z31" s="24">
        <f>Operational!Z17</f>
        <v>-211.2</v>
      </c>
      <c r="AA31" s="24">
        <f>Operational!AA17</f>
        <v>-211.2</v>
      </c>
      <c r="AB31" s="24">
        <f>Operational!AB17</f>
        <v>-211.2</v>
      </c>
      <c r="AC31" s="24">
        <f>Operational!AC17</f>
        <v>-211.2</v>
      </c>
      <c r="AD31" s="26">
        <f t="shared" si="32"/>
        <v>-2534.4</v>
      </c>
      <c r="AE31" s="14"/>
      <c r="AF31" s="24">
        <f>Operational!AF17</f>
        <v>-221.9712</v>
      </c>
      <c r="AG31" s="24">
        <f>Operational!AG17</f>
        <v>-221.9712</v>
      </c>
      <c r="AH31" s="24">
        <f>Operational!AH17</f>
        <v>-221.9712</v>
      </c>
      <c r="AI31" s="24">
        <f>Operational!AI17</f>
        <v>-221.9712</v>
      </c>
      <c r="AJ31" s="24">
        <f>Operational!AJ17</f>
        <v>-221.9712</v>
      </c>
      <c r="AK31" s="24">
        <f>Operational!AK17</f>
        <v>-221.9712</v>
      </c>
      <c r="AL31" s="24">
        <f>Operational!AL17</f>
        <v>-221.9712</v>
      </c>
      <c r="AM31" s="24">
        <f>Operational!AM17</f>
        <v>-221.9712</v>
      </c>
      <c r="AN31" s="24">
        <f>Operational!AN17</f>
        <v>-221.9712</v>
      </c>
      <c r="AO31" s="24">
        <f>Operational!AO17</f>
        <v>-221.9712</v>
      </c>
      <c r="AP31" s="24">
        <f>Operational!AP17</f>
        <v>-221.9712</v>
      </c>
      <c r="AQ31" s="24">
        <f>Operational!AQ17</f>
        <v>-221.9712</v>
      </c>
      <c r="AR31" s="26">
        <f t="shared" si="33"/>
        <v>-2663.6544</v>
      </c>
      <c r="AS31" s="14"/>
      <c r="AT31" s="24">
        <f>Operational!AT17</f>
        <v>-233.2917312</v>
      </c>
      <c r="AU31" s="24">
        <f>Operational!AU17</f>
        <v>-233.2917312</v>
      </c>
      <c r="AV31" s="24">
        <f>Operational!AV17</f>
        <v>-233.2917312</v>
      </c>
      <c r="AW31" s="24">
        <f>Operational!AW17</f>
        <v>-233.2917312</v>
      </c>
      <c r="AX31" s="24">
        <f>Operational!AX17</f>
        <v>-233.2917312</v>
      </c>
      <c r="AY31" s="24">
        <f>Operational!AY17</f>
        <v>-233.2917312</v>
      </c>
      <c r="AZ31" s="24">
        <f>Operational!AZ17</f>
        <v>-233.2917312</v>
      </c>
      <c r="BA31" s="24">
        <f>Operational!BA17</f>
        <v>-233.2917312</v>
      </c>
      <c r="BB31" s="24">
        <f>Operational!BB17</f>
        <v>-233.2917312</v>
      </c>
      <c r="BC31" s="24">
        <f>Operational!BC17</f>
        <v>-233.2917312</v>
      </c>
      <c r="BD31" s="24">
        <f>Operational!BD17</f>
        <v>-233.2917312</v>
      </c>
      <c r="BE31" s="24">
        <f>Operational!BE17</f>
        <v>-233.2917312</v>
      </c>
      <c r="BF31" s="26">
        <f t="shared" si="34"/>
        <v>-2799.500774</v>
      </c>
      <c r="BG31" s="14"/>
      <c r="BH31" s="24">
        <f>Operational!BH17</f>
        <v>-245.1896095</v>
      </c>
      <c r="BI31" s="24">
        <f>Operational!BI17</f>
        <v>-245.1896095</v>
      </c>
      <c r="BJ31" s="24">
        <f>Operational!BJ17</f>
        <v>-245.1896095</v>
      </c>
      <c r="BK31" s="24">
        <f>Operational!BK17</f>
        <v>-245.1896095</v>
      </c>
      <c r="BL31" s="24">
        <f>Operational!BL17</f>
        <v>-245.1896095</v>
      </c>
      <c r="BM31" s="24">
        <f>Operational!BM17</f>
        <v>-245.1896095</v>
      </c>
      <c r="BN31" s="24">
        <f>Operational!BN17</f>
        <v>-245.1896095</v>
      </c>
      <c r="BO31" s="24">
        <f>Operational!BO17</f>
        <v>-245.1896095</v>
      </c>
      <c r="BP31" s="24">
        <f>Operational!BP17</f>
        <v>-245.1896095</v>
      </c>
      <c r="BQ31" s="24">
        <f>Operational!BQ17</f>
        <v>-245.1896095</v>
      </c>
      <c r="BR31" s="24">
        <f>Operational!BR17</f>
        <v>-245.1896095</v>
      </c>
      <c r="BS31" s="24">
        <f>Operational!BS17</f>
        <v>-245.1896095</v>
      </c>
      <c r="BT31" s="26">
        <f t="shared" si="35"/>
        <v>-2942.275314</v>
      </c>
      <c r="BU31" s="14"/>
      <c r="BV31" s="24">
        <f>Operational!BV17</f>
        <v>-257.6942796</v>
      </c>
      <c r="BW31" s="24">
        <f>Operational!BW17</f>
        <v>-257.6942796</v>
      </c>
      <c r="BX31" s="24">
        <f>Operational!BX17</f>
        <v>-257.6942796</v>
      </c>
      <c r="BY31" s="24">
        <f>Operational!BY17</f>
        <v>-257.6942796</v>
      </c>
      <c r="BZ31" s="24">
        <f>Operational!BZ17</f>
        <v>-257.6942796</v>
      </c>
      <c r="CA31" s="24">
        <f>Operational!CA17</f>
        <v>-257.6942796</v>
      </c>
      <c r="CB31" s="24">
        <f>Operational!CB17</f>
        <v>-257.6942796</v>
      </c>
      <c r="CC31" s="24">
        <f>Operational!CC17</f>
        <v>-257.6942796</v>
      </c>
      <c r="CD31" s="24">
        <f>Operational!CD17</f>
        <v>-257.6942796</v>
      </c>
      <c r="CE31" s="24">
        <f>Operational!CE17</f>
        <v>-257.6942796</v>
      </c>
      <c r="CF31" s="24">
        <f>Operational!CF17</f>
        <v>-257.6942796</v>
      </c>
      <c r="CG31" s="24">
        <f>Operational!CG17</f>
        <v>-257.6942796</v>
      </c>
      <c r="CH31" s="26">
        <f t="shared" si="36"/>
        <v>-3092.331355</v>
      </c>
      <c r="CI31" s="14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</row>
    <row r="32" ht="13.5" hidden="1" customHeight="1" outlineLevel="1">
      <c r="A32" s="27"/>
      <c r="B32" s="24" t="str">
        <f>Operational!B18</f>
        <v>Service Charges</v>
      </c>
      <c r="C32" s="24" t="str">
        <f>Operational!C18</f>
        <v>O6</v>
      </c>
      <c r="D32" s="24">
        <f>Operational!D18</f>
        <v>0</v>
      </c>
      <c r="E32" s="24">
        <f>Operational!E18</f>
        <v>0</v>
      </c>
      <c r="F32" s="24">
        <f>Operational!F18</f>
        <v>0</v>
      </c>
      <c r="G32" s="24">
        <f>Operational!G18</f>
        <v>0</v>
      </c>
      <c r="H32" s="24">
        <f>Operational!H18</f>
        <v>0</v>
      </c>
      <c r="I32" s="24">
        <f>Operational!I18</f>
        <v>0</v>
      </c>
      <c r="J32" s="24">
        <f>Operational!J18</f>
        <v>-350</v>
      </c>
      <c r="K32" s="24">
        <f>Operational!K18</f>
        <v>-350</v>
      </c>
      <c r="L32" s="24">
        <f>Operational!L18</f>
        <v>-350</v>
      </c>
      <c r="M32" s="24">
        <f>Operational!M18</f>
        <v>-350</v>
      </c>
      <c r="N32" s="24">
        <f>Operational!N18</f>
        <v>-350</v>
      </c>
      <c r="O32" s="24">
        <f>Operational!O18</f>
        <v>-350</v>
      </c>
      <c r="P32" s="26">
        <f t="shared" si="31"/>
        <v>-2100</v>
      </c>
      <c r="Q32" s="14"/>
      <c r="R32" s="24">
        <f>Operational!R18</f>
        <v>-369.6</v>
      </c>
      <c r="S32" s="24">
        <f>Operational!S18</f>
        <v>-369.6</v>
      </c>
      <c r="T32" s="24">
        <f>Operational!T18</f>
        <v>-369.6</v>
      </c>
      <c r="U32" s="24">
        <f>Operational!U18</f>
        <v>-369.6</v>
      </c>
      <c r="V32" s="24">
        <f>Operational!V18</f>
        <v>-369.6</v>
      </c>
      <c r="W32" s="24">
        <f>Operational!W18</f>
        <v>-369.6</v>
      </c>
      <c r="X32" s="24">
        <f>Operational!X18</f>
        <v>-369.6</v>
      </c>
      <c r="Y32" s="24">
        <f>Operational!Y18</f>
        <v>-369.6</v>
      </c>
      <c r="Z32" s="24">
        <f>Operational!Z18</f>
        <v>-369.6</v>
      </c>
      <c r="AA32" s="24">
        <f>Operational!AA18</f>
        <v>-369.6</v>
      </c>
      <c r="AB32" s="24">
        <f>Operational!AB18</f>
        <v>-369.6</v>
      </c>
      <c r="AC32" s="24">
        <f>Operational!AC18</f>
        <v>-369.6</v>
      </c>
      <c r="AD32" s="26">
        <f t="shared" si="32"/>
        <v>-4435.2</v>
      </c>
      <c r="AE32" s="14"/>
      <c r="AF32" s="24">
        <f>Operational!AF18</f>
        <v>-388.4496</v>
      </c>
      <c r="AG32" s="24">
        <f>Operational!AG18</f>
        <v>-388.4496</v>
      </c>
      <c r="AH32" s="24">
        <f>Operational!AH18</f>
        <v>-388.4496</v>
      </c>
      <c r="AI32" s="24">
        <f>Operational!AI18</f>
        <v>-388.4496</v>
      </c>
      <c r="AJ32" s="24">
        <f>Operational!AJ18</f>
        <v>-388.4496</v>
      </c>
      <c r="AK32" s="24">
        <f>Operational!AK18</f>
        <v>-388.4496</v>
      </c>
      <c r="AL32" s="24">
        <f>Operational!AL18</f>
        <v>-388.4496</v>
      </c>
      <c r="AM32" s="24">
        <f>Operational!AM18</f>
        <v>-388.4496</v>
      </c>
      <c r="AN32" s="24">
        <f>Operational!AN18</f>
        <v>-388.4496</v>
      </c>
      <c r="AO32" s="24">
        <f>Operational!AO18</f>
        <v>-388.4496</v>
      </c>
      <c r="AP32" s="24">
        <f>Operational!AP18</f>
        <v>-388.4496</v>
      </c>
      <c r="AQ32" s="24">
        <f>Operational!AQ18</f>
        <v>-388.4496</v>
      </c>
      <c r="AR32" s="26">
        <f t="shared" si="33"/>
        <v>-4661.3952</v>
      </c>
      <c r="AS32" s="14"/>
      <c r="AT32" s="24">
        <f>Operational!AT18</f>
        <v>-408.2605296</v>
      </c>
      <c r="AU32" s="24">
        <f>Operational!AU18</f>
        <v>-408.2605296</v>
      </c>
      <c r="AV32" s="24">
        <f>Operational!AV18</f>
        <v>-408.2605296</v>
      </c>
      <c r="AW32" s="24">
        <f>Operational!AW18</f>
        <v>-408.2605296</v>
      </c>
      <c r="AX32" s="24">
        <f>Operational!AX18</f>
        <v>-408.2605296</v>
      </c>
      <c r="AY32" s="24">
        <f>Operational!AY18</f>
        <v>-408.2605296</v>
      </c>
      <c r="AZ32" s="24">
        <f>Operational!AZ18</f>
        <v>-408.2605296</v>
      </c>
      <c r="BA32" s="24">
        <f>Operational!BA18</f>
        <v>-408.2605296</v>
      </c>
      <c r="BB32" s="24">
        <f>Operational!BB18</f>
        <v>-408.2605296</v>
      </c>
      <c r="BC32" s="24">
        <f>Operational!BC18</f>
        <v>-408.2605296</v>
      </c>
      <c r="BD32" s="24">
        <f>Operational!BD18</f>
        <v>-408.2605296</v>
      </c>
      <c r="BE32" s="24">
        <f>Operational!BE18</f>
        <v>-408.2605296</v>
      </c>
      <c r="BF32" s="26">
        <f t="shared" si="34"/>
        <v>-4899.126355</v>
      </c>
      <c r="BG32" s="14"/>
      <c r="BH32" s="24">
        <f>Operational!BH18</f>
        <v>-429.0818166</v>
      </c>
      <c r="BI32" s="24">
        <f>Operational!BI18</f>
        <v>-429.0818166</v>
      </c>
      <c r="BJ32" s="24">
        <f>Operational!BJ18</f>
        <v>-429.0818166</v>
      </c>
      <c r="BK32" s="24">
        <f>Operational!BK18</f>
        <v>-429.0818166</v>
      </c>
      <c r="BL32" s="24">
        <f>Operational!BL18</f>
        <v>-429.0818166</v>
      </c>
      <c r="BM32" s="24">
        <f>Operational!BM18</f>
        <v>-429.0818166</v>
      </c>
      <c r="BN32" s="24">
        <f>Operational!BN18</f>
        <v>-429.0818166</v>
      </c>
      <c r="BO32" s="24">
        <f>Operational!BO18</f>
        <v>-429.0818166</v>
      </c>
      <c r="BP32" s="24">
        <f>Operational!BP18</f>
        <v>-429.0818166</v>
      </c>
      <c r="BQ32" s="24">
        <f>Operational!BQ18</f>
        <v>-429.0818166</v>
      </c>
      <c r="BR32" s="24">
        <f>Operational!BR18</f>
        <v>-429.0818166</v>
      </c>
      <c r="BS32" s="24">
        <f>Operational!BS18</f>
        <v>-429.0818166</v>
      </c>
      <c r="BT32" s="26">
        <f t="shared" si="35"/>
        <v>-5148.981799</v>
      </c>
      <c r="BU32" s="14"/>
      <c r="BV32" s="24">
        <f>Operational!BV18</f>
        <v>-450.9649893</v>
      </c>
      <c r="BW32" s="24">
        <f>Operational!BW18</f>
        <v>-450.9649893</v>
      </c>
      <c r="BX32" s="24">
        <f>Operational!BX18</f>
        <v>-450.9649893</v>
      </c>
      <c r="BY32" s="24">
        <f>Operational!BY18</f>
        <v>-450.9649893</v>
      </c>
      <c r="BZ32" s="24">
        <f>Operational!BZ18</f>
        <v>-450.9649893</v>
      </c>
      <c r="CA32" s="24">
        <f>Operational!CA18</f>
        <v>-450.9649893</v>
      </c>
      <c r="CB32" s="24">
        <f>Operational!CB18</f>
        <v>-450.9649893</v>
      </c>
      <c r="CC32" s="24">
        <f>Operational!CC18</f>
        <v>-450.9649893</v>
      </c>
      <c r="CD32" s="24">
        <f>Operational!CD18</f>
        <v>-450.9649893</v>
      </c>
      <c r="CE32" s="24">
        <f>Operational!CE18</f>
        <v>-450.9649893</v>
      </c>
      <c r="CF32" s="24">
        <f>Operational!CF18</f>
        <v>-450.9649893</v>
      </c>
      <c r="CG32" s="24">
        <f>Operational!CG18</f>
        <v>-450.9649893</v>
      </c>
      <c r="CH32" s="26">
        <f t="shared" si="36"/>
        <v>-5411.579871</v>
      </c>
      <c r="CI32" s="14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</row>
    <row r="33" ht="13.5" customHeight="1" collapsed="1">
      <c r="A33" s="27"/>
      <c r="B33" s="28" t="s">
        <v>39</v>
      </c>
      <c r="C33" s="28"/>
      <c r="D33" s="28">
        <f t="shared" ref="D33:O33" si="37">SUM(D26:D32)</f>
        <v>0</v>
      </c>
      <c r="E33" s="28">
        <f t="shared" si="37"/>
        <v>0</v>
      </c>
      <c r="F33" s="28">
        <f t="shared" si="37"/>
        <v>0</v>
      </c>
      <c r="G33" s="28">
        <f t="shared" si="37"/>
        <v>0</v>
      </c>
      <c r="H33" s="28">
        <f t="shared" si="37"/>
        <v>0</v>
      </c>
      <c r="I33" s="28">
        <f t="shared" si="37"/>
        <v>0</v>
      </c>
      <c r="J33" s="28">
        <f t="shared" si="37"/>
        <v>-4600</v>
      </c>
      <c r="K33" s="28">
        <f t="shared" si="37"/>
        <v>-4600</v>
      </c>
      <c r="L33" s="28">
        <f t="shared" si="37"/>
        <v>-4600</v>
      </c>
      <c r="M33" s="28">
        <f t="shared" si="37"/>
        <v>-4600</v>
      </c>
      <c r="N33" s="28">
        <f t="shared" si="37"/>
        <v>-4600</v>
      </c>
      <c r="O33" s="28">
        <f t="shared" si="37"/>
        <v>-4600</v>
      </c>
      <c r="P33" s="29">
        <f t="shared" si="31"/>
        <v>-27600</v>
      </c>
      <c r="Q33" s="14"/>
      <c r="R33" s="28">
        <f t="shared" ref="R33:AC33" si="38">SUM(R26:R32)</f>
        <v>-4857.6</v>
      </c>
      <c r="S33" s="28">
        <f t="shared" si="38"/>
        <v>-4857.6</v>
      </c>
      <c r="T33" s="28">
        <f t="shared" si="38"/>
        <v>-4857.6</v>
      </c>
      <c r="U33" s="28">
        <f t="shared" si="38"/>
        <v>-4857.6</v>
      </c>
      <c r="V33" s="28">
        <f t="shared" si="38"/>
        <v>-4857.6</v>
      </c>
      <c r="W33" s="28">
        <f t="shared" si="38"/>
        <v>-4857.6</v>
      </c>
      <c r="X33" s="28">
        <f t="shared" si="38"/>
        <v>-4857.6</v>
      </c>
      <c r="Y33" s="28">
        <f t="shared" si="38"/>
        <v>-4857.6</v>
      </c>
      <c r="Z33" s="28">
        <f t="shared" si="38"/>
        <v>-4857.6</v>
      </c>
      <c r="AA33" s="28">
        <f t="shared" si="38"/>
        <v>-4857.6</v>
      </c>
      <c r="AB33" s="28">
        <f t="shared" si="38"/>
        <v>-4857.6</v>
      </c>
      <c r="AC33" s="28">
        <f t="shared" si="38"/>
        <v>-4857.6</v>
      </c>
      <c r="AD33" s="29">
        <f t="shared" si="32"/>
        <v>-58291.2</v>
      </c>
      <c r="AE33" s="14"/>
      <c r="AF33" s="28">
        <f t="shared" ref="AF33:AQ33" si="39">SUM(AF26:AF32)</f>
        <v>-5105.3376</v>
      </c>
      <c r="AG33" s="28">
        <f t="shared" si="39"/>
        <v>-5105.3376</v>
      </c>
      <c r="AH33" s="28">
        <f t="shared" si="39"/>
        <v>-5105.3376</v>
      </c>
      <c r="AI33" s="28">
        <f t="shared" si="39"/>
        <v>-5105.3376</v>
      </c>
      <c r="AJ33" s="28">
        <f t="shared" si="39"/>
        <v>-5105.3376</v>
      </c>
      <c r="AK33" s="28">
        <f t="shared" si="39"/>
        <v>-5105.3376</v>
      </c>
      <c r="AL33" s="28">
        <f t="shared" si="39"/>
        <v>-5105.3376</v>
      </c>
      <c r="AM33" s="28">
        <f t="shared" si="39"/>
        <v>-5105.3376</v>
      </c>
      <c r="AN33" s="28">
        <f t="shared" si="39"/>
        <v>-5105.3376</v>
      </c>
      <c r="AO33" s="28">
        <f t="shared" si="39"/>
        <v>-5105.3376</v>
      </c>
      <c r="AP33" s="28">
        <f t="shared" si="39"/>
        <v>-5105.3376</v>
      </c>
      <c r="AQ33" s="28">
        <f t="shared" si="39"/>
        <v>-5105.3376</v>
      </c>
      <c r="AR33" s="29">
        <f t="shared" si="33"/>
        <v>-61264.0512</v>
      </c>
      <c r="AS33" s="14"/>
      <c r="AT33" s="28">
        <f t="shared" ref="AT33:BE33" si="40">SUM(AT26:AT32)</f>
        <v>-5365.709818</v>
      </c>
      <c r="AU33" s="28">
        <f t="shared" si="40"/>
        <v>-5365.709818</v>
      </c>
      <c r="AV33" s="28">
        <f t="shared" si="40"/>
        <v>-5365.709818</v>
      </c>
      <c r="AW33" s="28">
        <f t="shared" si="40"/>
        <v>-5365.709818</v>
      </c>
      <c r="AX33" s="28">
        <f t="shared" si="40"/>
        <v>-5365.709818</v>
      </c>
      <c r="AY33" s="28">
        <f t="shared" si="40"/>
        <v>-5365.709818</v>
      </c>
      <c r="AZ33" s="28">
        <f t="shared" si="40"/>
        <v>-5365.709818</v>
      </c>
      <c r="BA33" s="28">
        <f t="shared" si="40"/>
        <v>-5365.709818</v>
      </c>
      <c r="BB33" s="28">
        <f t="shared" si="40"/>
        <v>-5365.709818</v>
      </c>
      <c r="BC33" s="28">
        <f t="shared" si="40"/>
        <v>-5365.709818</v>
      </c>
      <c r="BD33" s="28">
        <f t="shared" si="40"/>
        <v>-5365.709818</v>
      </c>
      <c r="BE33" s="28">
        <f t="shared" si="40"/>
        <v>-5365.709818</v>
      </c>
      <c r="BF33" s="29">
        <f t="shared" si="34"/>
        <v>-64388.51781</v>
      </c>
      <c r="BG33" s="14"/>
      <c r="BH33" s="28">
        <f t="shared" ref="BH33:BS33" si="41">SUM(BH26:BH32)</f>
        <v>-5639.361018</v>
      </c>
      <c r="BI33" s="28">
        <f t="shared" si="41"/>
        <v>-5639.361018</v>
      </c>
      <c r="BJ33" s="28">
        <f t="shared" si="41"/>
        <v>-5639.361018</v>
      </c>
      <c r="BK33" s="28">
        <f t="shared" si="41"/>
        <v>-5639.361018</v>
      </c>
      <c r="BL33" s="28">
        <f t="shared" si="41"/>
        <v>-5639.361018</v>
      </c>
      <c r="BM33" s="28">
        <f t="shared" si="41"/>
        <v>-5639.361018</v>
      </c>
      <c r="BN33" s="28">
        <f t="shared" si="41"/>
        <v>-5639.361018</v>
      </c>
      <c r="BO33" s="28">
        <f t="shared" si="41"/>
        <v>-5639.361018</v>
      </c>
      <c r="BP33" s="28">
        <f t="shared" si="41"/>
        <v>-5639.361018</v>
      </c>
      <c r="BQ33" s="28">
        <f t="shared" si="41"/>
        <v>-5639.361018</v>
      </c>
      <c r="BR33" s="28">
        <f t="shared" si="41"/>
        <v>-5639.361018</v>
      </c>
      <c r="BS33" s="28">
        <f t="shared" si="41"/>
        <v>-5639.361018</v>
      </c>
      <c r="BT33" s="29">
        <f t="shared" si="35"/>
        <v>-67672.33222</v>
      </c>
      <c r="BU33" s="14"/>
      <c r="BV33" s="28">
        <f t="shared" ref="BV33:CG33" si="42">SUM(BV26:BV32)</f>
        <v>-5926.96843</v>
      </c>
      <c r="BW33" s="28">
        <f t="shared" si="42"/>
        <v>-5926.96843</v>
      </c>
      <c r="BX33" s="28">
        <f t="shared" si="42"/>
        <v>-5926.96843</v>
      </c>
      <c r="BY33" s="28">
        <f t="shared" si="42"/>
        <v>-5926.96843</v>
      </c>
      <c r="BZ33" s="28">
        <f t="shared" si="42"/>
        <v>-5926.96843</v>
      </c>
      <c r="CA33" s="28">
        <f t="shared" si="42"/>
        <v>-5926.96843</v>
      </c>
      <c r="CB33" s="28">
        <f t="shared" si="42"/>
        <v>-5926.96843</v>
      </c>
      <c r="CC33" s="28">
        <f t="shared" si="42"/>
        <v>-5926.96843</v>
      </c>
      <c r="CD33" s="28">
        <f t="shared" si="42"/>
        <v>-5926.96843</v>
      </c>
      <c r="CE33" s="28">
        <f t="shared" si="42"/>
        <v>-5926.96843</v>
      </c>
      <c r="CF33" s="28">
        <f t="shared" si="42"/>
        <v>-5926.96843</v>
      </c>
      <c r="CG33" s="28">
        <f t="shared" si="42"/>
        <v>-5926.96843</v>
      </c>
      <c r="CH33" s="29">
        <f t="shared" si="36"/>
        <v>-71123.62116</v>
      </c>
      <c r="CI33" s="14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</row>
    <row r="34" ht="4.5" customHeight="1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36"/>
      <c r="Q34" s="14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8"/>
      <c r="AE34" s="14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8"/>
      <c r="AS34" s="14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8"/>
      <c r="BG34" s="14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8"/>
      <c r="BU34" s="14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8"/>
      <c r="CI34" s="14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ht="13.5" hidden="1" customHeight="1" outlineLevel="1">
      <c r="A35" s="27"/>
      <c r="B35" s="24" t="str">
        <f>'Staff - Costs 2'!B12</f>
        <v>Managing Director</v>
      </c>
      <c r="C35" s="24" t="str">
        <f>'Staff - Costs 2'!C12</f>
        <v>P1</v>
      </c>
      <c r="D35" s="24">
        <f>'Staff - Costs 2'!D12</f>
        <v>0</v>
      </c>
      <c r="E35" s="24">
        <f>'Staff - Costs 2'!E12</f>
        <v>0</v>
      </c>
      <c r="F35" s="24">
        <f>'Staff - Costs 2'!F12</f>
        <v>0</v>
      </c>
      <c r="G35" s="24">
        <f>'Staff - Costs 2'!G12</f>
        <v>0</v>
      </c>
      <c r="H35" s="24">
        <f>'Staff - Costs 2'!H12</f>
        <v>0</v>
      </c>
      <c r="I35" s="24">
        <f>'Staff - Costs 2'!I12</f>
        <v>0</v>
      </c>
      <c r="J35" s="24">
        <f>'Staff - Costs 2'!J12</f>
        <v>-4922.064</v>
      </c>
      <c r="K35" s="24">
        <f>'Staff - Costs 2'!K12</f>
        <v>-4922.064</v>
      </c>
      <c r="L35" s="24">
        <f>'Staff - Costs 2'!L12</f>
        <v>-4922.064</v>
      </c>
      <c r="M35" s="24">
        <f>'Staff - Costs 2'!M12</f>
        <v>-4922.064</v>
      </c>
      <c r="N35" s="24">
        <f>'Staff - Costs 2'!N12</f>
        <v>-7383.096</v>
      </c>
      <c r="O35" s="24">
        <f>'Staff - Costs 2'!O12</f>
        <v>-7383.096</v>
      </c>
      <c r="P35" s="26">
        <f t="shared" ref="P35:P42" si="43">SUM(D35:O35)</f>
        <v>-34454.448</v>
      </c>
      <c r="Q35" s="14"/>
      <c r="R35" s="24">
        <f>'Staff - Costs 2'!R12</f>
        <v>-5197.699584</v>
      </c>
      <c r="S35" s="24">
        <f>'Staff - Costs 2'!S12</f>
        <v>-5197.699584</v>
      </c>
      <c r="T35" s="24">
        <f>'Staff - Costs 2'!T12</f>
        <v>-5197.699584</v>
      </c>
      <c r="U35" s="24">
        <f>'Staff - Costs 2'!U12</f>
        <v>-5197.699584</v>
      </c>
      <c r="V35" s="24">
        <f>'Staff - Costs 2'!V12</f>
        <v>-5197.699584</v>
      </c>
      <c r="W35" s="24">
        <f>'Staff - Costs 2'!W12</f>
        <v>-5197.699584</v>
      </c>
      <c r="X35" s="24">
        <f>'Staff - Costs 2'!X12</f>
        <v>-5197.699584</v>
      </c>
      <c r="Y35" s="24">
        <f>'Staff - Costs 2'!Y12</f>
        <v>-5197.699584</v>
      </c>
      <c r="Z35" s="24">
        <f>'Staff - Costs 2'!Z12</f>
        <v>-5197.699584</v>
      </c>
      <c r="AA35" s="24">
        <f>'Staff - Costs 2'!AA12</f>
        <v>-5197.699584</v>
      </c>
      <c r="AB35" s="24">
        <f>'Staff - Costs 2'!AB12</f>
        <v>-7796.549376</v>
      </c>
      <c r="AC35" s="24">
        <f>'Staff - Costs 2'!AC12</f>
        <v>-7796.549376</v>
      </c>
      <c r="AD35" s="26">
        <f t="shared" ref="AD35:AD42" si="44">SUM(R35:AC35)</f>
        <v>-67570.09459</v>
      </c>
      <c r="AE35" s="14"/>
      <c r="AF35" s="24">
        <f>'Staff - Costs 2'!AF12</f>
        <v>-5462.782263</v>
      </c>
      <c r="AG35" s="24">
        <f>'Staff - Costs 2'!AG12</f>
        <v>-5462.782263</v>
      </c>
      <c r="AH35" s="24">
        <f>'Staff - Costs 2'!AH12</f>
        <v>-5462.782263</v>
      </c>
      <c r="AI35" s="24">
        <f>'Staff - Costs 2'!AI12</f>
        <v>-5462.782263</v>
      </c>
      <c r="AJ35" s="24">
        <f>'Staff - Costs 2'!AJ12</f>
        <v>-5462.782263</v>
      </c>
      <c r="AK35" s="24">
        <f>'Staff - Costs 2'!AK12</f>
        <v>-5462.782263</v>
      </c>
      <c r="AL35" s="24">
        <f>'Staff - Costs 2'!AL12</f>
        <v>-5462.782263</v>
      </c>
      <c r="AM35" s="24">
        <f>'Staff - Costs 2'!AM12</f>
        <v>-5462.782263</v>
      </c>
      <c r="AN35" s="24">
        <f>'Staff - Costs 2'!AN12</f>
        <v>-5462.782263</v>
      </c>
      <c r="AO35" s="24">
        <f>'Staff - Costs 2'!AO12</f>
        <v>-5462.782263</v>
      </c>
      <c r="AP35" s="24">
        <f>'Staff - Costs 2'!AP12</f>
        <v>-8194.173394</v>
      </c>
      <c r="AQ35" s="24">
        <f>'Staff - Costs 2'!AQ12</f>
        <v>-8194.173394</v>
      </c>
      <c r="AR35" s="26">
        <f t="shared" ref="AR35:AR42" si="45">SUM(AF35:AQ35)</f>
        <v>-71016.16942</v>
      </c>
      <c r="AS35" s="14"/>
      <c r="AT35" s="24">
        <f>'Staff - Costs 2'!AT12</f>
        <v>-5741.384158</v>
      </c>
      <c r="AU35" s="24">
        <f>'Staff - Costs 2'!AU12</f>
        <v>-5741.384158</v>
      </c>
      <c r="AV35" s="24">
        <f>'Staff - Costs 2'!AV12</f>
        <v>-5741.384158</v>
      </c>
      <c r="AW35" s="24">
        <f>'Staff - Costs 2'!AW12</f>
        <v>-5741.384158</v>
      </c>
      <c r="AX35" s="24">
        <f>'Staff - Costs 2'!AX12</f>
        <v>-5741.384158</v>
      </c>
      <c r="AY35" s="24">
        <f>'Staff - Costs 2'!AY12</f>
        <v>-5741.384158</v>
      </c>
      <c r="AZ35" s="24">
        <f>'Staff - Costs 2'!AZ12</f>
        <v>-5741.384158</v>
      </c>
      <c r="BA35" s="24">
        <f>'Staff - Costs 2'!BA12</f>
        <v>-5741.384158</v>
      </c>
      <c r="BB35" s="24">
        <f>'Staff - Costs 2'!BB12</f>
        <v>-5741.384158</v>
      </c>
      <c r="BC35" s="24">
        <f>'Staff - Costs 2'!BC12</f>
        <v>-5741.384158</v>
      </c>
      <c r="BD35" s="24">
        <f>'Staff - Costs 2'!BD12</f>
        <v>-8612.076237</v>
      </c>
      <c r="BE35" s="24">
        <f>'Staff - Costs 2'!BE12</f>
        <v>-8612.076237</v>
      </c>
      <c r="BF35" s="26">
        <f t="shared" ref="BF35:BF42" si="46">SUM(AT35:BE35)</f>
        <v>-74637.99406</v>
      </c>
      <c r="BG35" s="14"/>
      <c r="BH35" s="24">
        <f>'Staff - Costs 2'!BH12</f>
        <v>-6034.19475</v>
      </c>
      <c r="BI35" s="24">
        <f>'Staff - Costs 2'!BI12</f>
        <v>-6034.19475</v>
      </c>
      <c r="BJ35" s="24">
        <f>'Staff - Costs 2'!BJ12</f>
        <v>-6034.19475</v>
      </c>
      <c r="BK35" s="24">
        <f>'Staff - Costs 2'!BK12</f>
        <v>-6034.19475</v>
      </c>
      <c r="BL35" s="24">
        <f>'Staff - Costs 2'!BL12</f>
        <v>-6034.19475</v>
      </c>
      <c r="BM35" s="24">
        <f>'Staff - Costs 2'!BM12</f>
        <v>-6034.19475</v>
      </c>
      <c r="BN35" s="24">
        <f>'Staff - Costs 2'!BN12</f>
        <v>-6034.19475</v>
      </c>
      <c r="BO35" s="24">
        <f>'Staff - Costs 2'!BO12</f>
        <v>-6034.19475</v>
      </c>
      <c r="BP35" s="24">
        <f>'Staff - Costs 2'!BP12</f>
        <v>-6034.19475</v>
      </c>
      <c r="BQ35" s="24">
        <f>'Staff - Costs 2'!BQ12</f>
        <v>-6034.19475</v>
      </c>
      <c r="BR35" s="24">
        <f>'Staff - Costs 2'!BR12</f>
        <v>-9051.292125</v>
      </c>
      <c r="BS35" s="24">
        <f>'Staff - Costs 2'!BS12</f>
        <v>-9051.292125</v>
      </c>
      <c r="BT35" s="26">
        <f t="shared" ref="BT35:BT42" si="47">SUM(BH35:BS35)</f>
        <v>-78444.53175</v>
      </c>
      <c r="BU35" s="14"/>
      <c r="BV35" s="24">
        <f>'Staff - Costs 2'!BV12</f>
        <v>-6341.938683</v>
      </c>
      <c r="BW35" s="24">
        <f>'Staff - Costs 2'!BW12</f>
        <v>-6341.938683</v>
      </c>
      <c r="BX35" s="24">
        <f>'Staff - Costs 2'!BX12</f>
        <v>-6341.938683</v>
      </c>
      <c r="BY35" s="24">
        <f>'Staff - Costs 2'!BY12</f>
        <v>-6341.938683</v>
      </c>
      <c r="BZ35" s="24">
        <f>'Staff - Costs 2'!BZ12</f>
        <v>-6341.938683</v>
      </c>
      <c r="CA35" s="24">
        <f>'Staff - Costs 2'!CA12</f>
        <v>-6341.938683</v>
      </c>
      <c r="CB35" s="24">
        <f>'Staff - Costs 2'!CB12</f>
        <v>-6341.938683</v>
      </c>
      <c r="CC35" s="24">
        <f>'Staff - Costs 2'!CC12</f>
        <v>-6341.938683</v>
      </c>
      <c r="CD35" s="24">
        <f>'Staff - Costs 2'!CD12</f>
        <v>-6341.938683</v>
      </c>
      <c r="CE35" s="24">
        <f>'Staff - Costs 2'!CE12</f>
        <v>-6341.938683</v>
      </c>
      <c r="CF35" s="24">
        <f>'Staff - Costs 2'!CF12</f>
        <v>-9512.908024</v>
      </c>
      <c r="CG35" s="24">
        <f>'Staff - Costs 2'!CG12</f>
        <v>-9512.908024</v>
      </c>
      <c r="CH35" s="26">
        <f t="shared" ref="CH35:CH42" si="48">SUM(BV35:CG35)</f>
        <v>-82445.20287</v>
      </c>
      <c r="CI35" s="14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</row>
    <row r="36" ht="13.5" hidden="1" customHeight="1" outlineLevel="1">
      <c r="A36" s="27"/>
      <c r="B36" s="24" t="str">
        <f>'Staff - Costs 2'!B13</f>
        <v>Office Manager</v>
      </c>
      <c r="C36" s="24" t="str">
        <f>'Staff - Costs 2'!C13</f>
        <v>P2</v>
      </c>
      <c r="D36" s="24">
        <f>'Staff - Costs 2'!D13</f>
        <v>0</v>
      </c>
      <c r="E36" s="24">
        <f>'Staff - Costs 2'!E13</f>
        <v>0</v>
      </c>
      <c r="F36" s="24">
        <f>'Staff - Costs 2'!F13</f>
        <v>0</v>
      </c>
      <c r="G36" s="24">
        <f>'Staff - Costs 2'!G13</f>
        <v>0</v>
      </c>
      <c r="H36" s="24">
        <f>'Staff - Costs 2'!H13</f>
        <v>0</v>
      </c>
      <c r="I36" s="24">
        <f>'Staff - Costs 2'!I13</f>
        <v>0</v>
      </c>
      <c r="J36" s="24">
        <f>'Staff - Costs 2'!J13</f>
        <v>-2250.0864</v>
      </c>
      <c r="K36" s="24">
        <f>'Staff - Costs 2'!K13</f>
        <v>-2250.0864</v>
      </c>
      <c r="L36" s="24">
        <f>'Staff - Costs 2'!L13</f>
        <v>-2250.0864</v>
      </c>
      <c r="M36" s="24">
        <f>'Staff - Costs 2'!M13</f>
        <v>-2250.0864</v>
      </c>
      <c r="N36" s="24">
        <f>'Staff - Costs 2'!N13</f>
        <v>-3375.1296</v>
      </c>
      <c r="O36" s="24">
        <f>'Staff - Costs 2'!O13</f>
        <v>-3375.1296</v>
      </c>
      <c r="P36" s="26">
        <f t="shared" si="43"/>
        <v>-15750.6048</v>
      </c>
      <c r="Q36" s="14"/>
      <c r="R36" s="24">
        <f>'Staff - Costs 2'!R13</f>
        <v>-2376.091238</v>
      </c>
      <c r="S36" s="24">
        <f>'Staff - Costs 2'!S13</f>
        <v>-2376.091238</v>
      </c>
      <c r="T36" s="24">
        <f>'Staff - Costs 2'!T13</f>
        <v>-2376.091238</v>
      </c>
      <c r="U36" s="24">
        <f>'Staff - Costs 2'!U13</f>
        <v>-2376.091238</v>
      </c>
      <c r="V36" s="24">
        <f>'Staff - Costs 2'!V13</f>
        <v>-2376.091238</v>
      </c>
      <c r="W36" s="24">
        <f>'Staff - Costs 2'!W13</f>
        <v>-2376.091238</v>
      </c>
      <c r="X36" s="24">
        <f>'Staff - Costs 2'!X13</f>
        <v>-2376.091238</v>
      </c>
      <c r="Y36" s="24">
        <f>'Staff - Costs 2'!Y13</f>
        <v>-2376.091238</v>
      </c>
      <c r="Z36" s="24">
        <f>'Staff - Costs 2'!Z13</f>
        <v>-2376.091238</v>
      </c>
      <c r="AA36" s="24">
        <f>'Staff - Costs 2'!AA13</f>
        <v>-2376.091238</v>
      </c>
      <c r="AB36" s="24">
        <f>'Staff - Costs 2'!AB13</f>
        <v>-3564.136858</v>
      </c>
      <c r="AC36" s="24">
        <f>'Staff - Costs 2'!AC13</f>
        <v>-3564.136858</v>
      </c>
      <c r="AD36" s="26">
        <f t="shared" si="44"/>
        <v>-30889.1861</v>
      </c>
      <c r="AE36" s="14"/>
      <c r="AF36" s="24">
        <f>'Staff - Costs 2'!AF13</f>
        <v>-2497.271892</v>
      </c>
      <c r="AG36" s="24">
        <f>'Staff - Costs 2'!AG13</f>
        <v>-2497.271892</v>
      </c>
      <c r="AH36" s="24">
        <f>'Staff - Costs 2'!AH13</f>
        <v>-2497.271892</v>
      </c>
      <c r="AI36" s="24">
        <f>'Staff - Costs 2'!AI13</f>
        <v>-2497.271892</v>
      </c>
      <c r="AJ36" s="24">
        <f>'Staff - Costs 2'!AJ13</f>
        <v>-2497.271892</v>
      </c>
      <c r="AK36" s="24">
        <f>'Staff - Costs 2'!AK13</f>
        <v>-2497.271892</v>
      </c>
      <c r="AL36" s="24">
        <f>'Staff - Costs 2'!AL13</f>
        <v>-2497.271892</v>
      </c>
      <c r="AM36" s="24">
        <f>'Staff - Costs 2'!AM13</f>
        <v>-2497.271892</v>
      </c>
      <c r="AN36" s="24">
        <f>'Staff - Costs 2'!AN13</f>
        <v>-2497.271892</v>
      </c>
      <c r="AO36" s="24">
        <f>'Staff - Costs 2'!AO13</f>
        <v>-2497.271892</v>
      </c>
      <c r="AP36" s="24">
        <f>'Staff - Costs 2'!AP13</f>
        <v>-3745.907837</v>
      </c>
      <c r="AQ36" s="24">
        <f>'Staff - Costs 2'!AQ13</f>
        <v>-3745.907837</v>
      </c>
      <c r="AR36" s="26">
        <f t="shared" si="45"/>
        <v>-32464.53459</v>
      </c>
      <c r="AS36" s="14"/>
      <c r="AT36" s="24">
        <f>'Staff - Costs 2'!AT13</f>
        <v>-2624.632758</v>
      </c>
      <c r="AU36" s="24">
        <f>'Staff - Costs 2'!AU13</f>
        <v>-2624.632758</v>
      </c>
      <c r="AV36" s="24">
        <f>'Staff - Costs 2'!AV13</f>
        <v>-2624.632758</v>
      </c>
      <c r="AW36" s="24">
        <f>'Staff - Costs 2'!AW13</f>
        <v>-2624.632758</v>
      </c>
      <c r="AX36" s="24">
        <f>'Staff - Costs 2'!AX13</f>
        <v>-2624.632758</v>
      </c>
      <c r="AY36" s="24">
        <f>'Staff - Costs 2'!AY13</f>
        <v>-2624.632758</v>
      </c>
      <c r="AZ36" s="24">
        <f>'Staff - Costs 2'!AZ13</f>
        <v>-2624.632758</v>
      </c>
      <c r="BA36" s="24">
        <f>'Staff - Costs 2'!BA13</f>
        <v>-2624.632758</v>
      </c>
      <c r="BB36" s="24">
        <f>'Staff - Costs 2'!BB13</f>
        <v>-2624.632758</v>
      </c>
      <c r="BC36" s="24">
        <f>'Staff - Costs 2'!BC13</f>
        <v>-2624.632758</v>
      </c>
      <c r="BD36" s="24">
        <f>'Staff - Costs 2'!BD13</f>
        <v>-3936.949137</v>
      </c>
      <c r="BE36" s="24">
        <f>'Staff - Costs 2'!BE13</f>
        <v>-3936.949137</v>
      </c>
      <c r="BF36" s="26">
        <f t="shared" si="46"/>
        <v>-34120.22585</v>
      </c>
      <c r="BG36" s="14"/>
      <c r="BH36" s="24">
        <f>'Staff - Costs 2'!BH13</f>
        <v>-2758.489029</v>
      </c>
      <c r="BI36" s="24">
        <f>'Staff - Costs 2'!BI13</f>
        <v>-2758.489029</v>
      </c>
      <c r="BJ36" s="24">
        <f>'Staff - Costs 2'!BJ13</f>
        <v>-2758.489029</v>
      </c>
      <c r="BK36" s="24">
        <f>'Staff - Costs 2'!BK13</f>
        <v>-2758.489029</v>
      </c>
      <c r="BL36" s="24">
        <f>'Staff - Costs 2'!BL13</f>
        <v>-2758.489029</v>
      </c>
      <c r="BM36" s="24">
        <f>'Staff - Costs 2'!BM13</f>
        <v>-2758.489029</v>
      </c>
      <c r="BN36" s="24">
        <f>'Staff - Costs 2'!BN13</f>
        <v>-2758.489029</v>
      </c>
      <c r="BO36" s="24">
        <f>'Staff - Costs 2'!BO13</f>
        <v>-2758.489029</v>
      </c>
      <c r="BP36" s="24">
        <f>'Staff - Costs 2'!BP13</f>
        <v>-2758.489029</v>
      </c>
      <c r="BQ36" s="24">
        <f>'Staff - Costs 2'!BQ13</f>
        <v>-2758.489029</v>
      </c>
      <c r="BR36" s="24">
        <f>'Staff - Costs 2'!BR13</f>
        <v>-4137.733543</v>
      </c>
      <c r="BS36" s="24">
        <f>'Staff - Costs 2'!BS13</f>
        <v>-4137.733543</v>
      </c>
      <c r="BT36" s="26">
        <f t="shared" si="47"/>
        <v>-35860.35737</v>
      </c>
      <c r="BU36" s="14"/>
      <c r="BV36" s="24">
        <f>'Staff - Costs 2'!BV13</f>
        <v>-2899.171969</v>
      </c>
      <c r="BW36" s="24">
        <f>'Staff - Costs 2'!BW13</f>
        <v>-2899.171969</v>
      </c>
      <c r="BX36" s="24">
        <f>'Staff - Costs 2'!BX13</f>
        <v>-2899.171969</v>
      </c>
      <c r="BY36" s="24">
        <f>'Staff - Costs 2'!BY13</f>
        <v>-2899.171969</v>
      </c>
      <c r="BZ36" s="24">
        <f>'Staff - Costs 2'!BZ13</f>
        <v>-2899.171969</v>
      </c>
      <c r="CA36" s="24">
        <f>'Staff - Costs 2'!CA13</f>
        <v>-2899.171969</v>
      </c>
      <c r="CB36" s="24">
        <f>'Staff - Costs 2'!CB13</f>
        <v>-2899.171969</v>
      </c>
      <c r="CC36" s="24">
        <f>'Staff - Costs 2'!CC13</f>
        <v>-2899.171969</v>
      </c>
      <c r="CD36" s="24">
        <f>'Staff - Costs 2'!CD13</f>
        <v>-2899.171969</v>
      </c>
      <c r="CE36" s="24">
        <f>'Staff - Costs 2'!CE13</f>
        <v>-2899.171969</v>
      </c>
      <c r="CF36" s="24">
        <f>'Staff - Costs 2'!CF13</f>
        <v>-4348.757954</v>
      </c>
      <c r="CG36" s="24">
        <f>'Staff - Costs 2'!CG13</f>
        <v>-4348.757954</v>
      </c>
      <c r="CH36" s="26">
        <f t="shared" si="48"/>
        <v>-37689.2356</v>
      </c>
      <c r="CI36" s="14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</row>
    <row r="37" ht="13.5" hidden="1" customHeight="1" outlineLevel="1">
      <c r="A37" s="27"/>
      <c r="B37" s="24" t="str">
        <f>'Staff - Costs 2'!B14</f>
        <v>IT</v>
      </c>
      <c r="C37" s="24" t="str">
        <f>'Staff - Costs 2'!C14</f>
        <v>P3</v>
      </c>
      <c r="D37" s="24">
        <f>'Staff - Costs 2'!D14</f>
        <v>0</v>
      </c>
      <c r="E37" s="24">
        <f>'Staff - Costs 2'!E14</f>
        <v>0</v>
      </c>
      <c r="F37" s="24">
        <f>'Staff - Costs 2'!F14</f>
        <v>0</v>
      </c>
      <c r="G37" s="24">
        <f>'Staff - Costs 2'!G14</f>
        <v>0</v>
      </c>
      <c r="H37" s="24">
        <f>'Staff - Costs 2'!H14</f>
        <v>0</v>
      </c>
      <c r="I37" s="24">
        <f>'Staff - Costs 2'!I14</f>
        <v>0</v>
      </c>
      <c r="J37" s="24">
        <f>'Staff - Costs 2'!J14</f>
        <v>-914.0976</v>
      </c>
      <c r="K37" s="24">
        <f>'Staff - Costs 2'!K14</f>
        <v>-914.0976</v>
      </c>
      <c r="L37" s="24">
        <f>'Staff - Costs 2'!L14</f>
        <v>-914.0976</v>
      </c>
      <c r="M37" s="24">
        <f>'Staff - Costs 2'!M14</f>
        <v>-914.0976</v>
      </c>
      <c r="N37" s="24">
        <f>'Staff - Costs 2'!N14</f>
        <v>-1371.1464</v>
      </c>
      <c r="O37" s="24">
        <f>'Staff - Costs 2'!O14</f>
        <v>-1371.1464</v>
      </c>
      <c r="P37" s="26">
        <f t="shared" si="43"/>
        <v>-6398.6832</v>
      </c>
      <c r="Q37" s="14"/>
      <c r="R37" s="24">
        <f>'Staff - Costs 2'!R14</f>
        <v>-965.2870656</v>
      </c>
      <c r="S37" s="24">
        <f>'Staff - Costs 2'!S14</f>
        <v>-965.2870656</v>
      </c>
      <c r="T37" s="24">
        <f>'Staff - Costs 2'!T14</f>
        <v>-965.2870656</v>
      </c>
      <c r="U37" s="24">
        <f>'Staff - Costs 2'!U14</f>
        <v>-965.2870656</v>
      </c>
      <c r="V37" s="24">
        <f>'Staff - Costs 2'!V14</f>
        <v>-965.2870656</v>
      </c>
      <c r="W37" s="24">
        <f>'Staff - Costs 2'!W14</f>
        <v>-965.2870656</v>
      </c>
      <c r="X37" s="24">
        <f>'Staff - Costs 2'!X14</f>
        <v>-965.2870656</v>
      </c>
      <c r="Y37" s="24">
        <f>'Staff - Costs 2'!Y14</f>
        <v>-965.2870656</v>
      </c>
      <c r="Z37" s="24">
        <f>'Staff - Costs 2'!Z14</f>
        <v>-965.2870656</v>
      </c>
      <c r="AA37" s="24">
        <f>'Staff - Costs 2'!AA14</f>
        <v>-965.2870656</v>
      </c>
      <c r="AB37" s="24">
        <f>'Staff - Costs 2'!AB14</f>
        <v>-1447.930598</v>
      </c>
      <c r="AC37" s="24">
        <f>'Staff - Costs 2'!AC14</f>
        <v>-1447.930598</v>
      </c>
      <c r="AD37" s="26">
        <f t="shared" si="44"/>
        <v>-12548.73185</v>
      </c>
      <c r="AE37" s="14"/>
      <c r="AF37" s="24">
        <f>'Staff - Costs 2'!AF14</f>
        <v>-1014.516706</v>
      </c>
      <c r="AG37" s="24">
        <f>'Staff - Costs 2'!AG14</f>
        <v>-1014.516706</v>
      </c>
      <c r="AH37" s="24">
        <f>'Staff - Costs 2'!AH14</f>
        <v>-1014.516706</v>
      </c>
      <c r="AI37" s="24">
        <f>'Staff - Costs 2'!AI14</f>
        <v>-1014.516706</v>
      </c>
      <c r="AJ37" s="24">
        <f>'Staff - Costs 2'!AJ14</f>
        <v>-1014.516706</v>
      </c>
      <c r="AK37" s="24">
        <f>'Staff - Costs 2'!AK14</f>
        <v>-1014.516706</v>
      </c>
      <c r="AL37" s="24">
        <f>'Staff - Costs 2'!AL14</f>
        <v>-1014.516706</v>
      </c>
      <c r="AM37" s="24">
        <f>'Staff - Costs 2'!AM14</f>
        <v>-1014.516706</v>
      </c>
      <c r="AN37" s="24">
        <f>'Staff - Costs 2'!AN14</f>
        <v>-1014.516706</v>
      </c>
      <c r="AO37" s="24">
        <f>'Staff - Costs 2'!AO14</f>
        <v>-1014.516706</v>
      </c>
      <c r="AP37" s="24">
        <f>'Staff - Costs 2'!AP14</f>
        <v>-1521.775059</v>
      </c>
      <c r="AQ37" s="24">
        <f>'Staff - Costs 2'!AQ14</f>
        <v>-1521.775059</v>
      </c>
      <c r="AR37" s="26">
        <f t="shared" si="45"/>
        <v>-13188.71718</v>
      </c>
      <c r="AS37" s="14"/>
      <c r="AT37" s="24">
        <f>'Staff - Costs 2'!AT14</f>
        <v>-1066.257058</v>
      </c>
      <c r="AU37" s="24">
        <f>'Staff - Costs 2'!AU14</f>
        <v>-1066.257058</v>
      </c>
      <c r="AV37" s="24">
        <f>'Staff - Costs 2'!AV14</f>
        <v>-1066.257058</v>
      </c>
      <c r="AW37" s="24">
        <f>'Staff - Costs 2'!AW14</f>
        <v>-1066.257058</v>
      </c>
      <c r="AX37" s="24">
        <f>'Staff - Costs 2'!AX14</f>
        <v>-1066.257058</v>
      </c>
      <c r="AY37" s="24">
        <f>'Staff - Costs 2'!AY14</f>
        <v>-1066.257058</v>
      </c>
      <c r="AZ37" s="24">
        <f>'Staff - Costs 2'!AZ14</f>
        <v>-1066.257058</v>
      </c>
      <c r="BA37" s="24">
        <f>'Staff - Costs 2'!BA14</f>
        <v>-1066.257058</v>
      </c>
      <c r="BB37" s="24">
        <f>'Staff - Costs 2'!BB14</f>
        <v>-1066.257058</v>
      </c>
      <c r="BC37" s="24">
        <f>'Staff - Costs 2'!BC14</f>
        <v>-1066.257058</v>
      </c>
      <c r="BD37" s="24">
        <f>'Staff - Costs 2'!BD14</f>
        <v>-1599.385587</v>
      </c>
      <c r="BE37" s="24">
        <f>'Staff - Costs 2'!BE14</f>
        <v>-1599.385587</v>
      </c>
      <c r="BF37" s="26">
        <f t="shared" si="46"/>
        <v>-13861.34175</v>
      </c>
      <c r="BG37" s="14"/>
      <c r="BH37" s="24">
        <f>'Staff - Costs 2'!BH14</f>
        <v>-1120.636168</v>
      </c>
      <c r="BI37" s="24">
        <f>'Staff - Costs 2'!BI14</f>
        <v>-1120.636168</v>
      </c>
      <c r="BJ37" s="24">
        <f>'Staff - Costs 2'!BJ14</f>
        <v>-1120.636168</v>
      </c>
      <c r="BK37" s="24">
        <f>'Staff - Costs 2'!BK14</f>
        <v>-1120.636168</v>
      </c>
      <c r="BL37" s="24">
        <f>'Staff - Costs 2'!BL14</f>
        <v>-1120.636168</v>
      </c>
      <c r="BM37" s="24">
        <f>'Staff - Costs 2'!BM14</f>
        <v>-1120.636168</v>
      </c>
      <c r="BN37" s="24">
        <f>'Staff - Costs 2'!BN14</f>
        <v>-1120.636168</v>
      </c>
      <c r="BO37" s="24">
        <f>'Staff - Costs 2'!BO14</f>
        <v>-1120.636168</v>
      </c>
      <c r="BP37" s="24">
        <f>'Staff - Costs 2'!BP14</f>
        <v>-1120.636168</v>
      </c>
      <c r="BQ37" s="24">
        <f>'Staff - Costs 2'!BQ14</f>
        <v>-1120.636168</v>
      </c>
      <c r="BR37" s="24">
        <f>'Staff - Costs 2'!BR14</f>
        <v>-1680.954252</v>
      </c>
      <c r="BS37" s="24">
        <f>'Staff - Costs 2'!BS14</f>
        <v>-1680.954252</v>
      </c>
      <c r="BT37" s="26">
        <f t="shared" si="47"/>
        <v>-14568.27018</v>
      </c>
      <c r="BU37" s="14"/>
      <c r="BV37" s="24">
        <f>'Staff - Costs 2'!BV14</f>
        <v>-1177.788612</v>
      </c>
      <c r="BW37" s="24">
        <f>'Staff - Costs 2'!BW14</f>
        <v>-1177.788612</v>
      </c>
      <c r="BX37" s="24">
        <f>'Staff - Costs 2'!BX14</f>
        <v>-1177.788612</v>
      </c>
      <c r="BY37" s="24">
        <f>'Staff - Costs 2'!BY14</f>
        <v>-1177.788612</v>
      </c>
      <c r="BZ37" s="24">
        <f>'Staff - Costs 2'!BZ14</f>
        <v>-1177.788612</v>
      </c>
      <c r="CA37" s="24">
        <f>'Staff - Costs 2'!CA14</f>
        <v>-1177.788612</v>
      </c>
      <c r="CB37" s="24">
        <f>'Staff - Costs 2'!CB14</f>
        <v>-1177.788612</v>
      </c>
      <c r="CC37" s="24">
        <f>'Staff - Costs 2'!CC14</f>
        <v>-1177.788612</v>
      </c>
      <c r="CD37" s="24">
        <f>'Staff - Costs 2'!CD14</f>
        <v>-1177.788612</v>
      </c>
      <c r="CE37" s="24">
        <f>'Staff - Costs 2'!CE14</f>
        <v>-1177.788612</v>
      </c>
      <c r="CF37" s="24">
        <f>'Staff - Costs 2'!CF14</f>
        <v>-1766.682919</v>
      </c>
      <c r="CG37" s="24">
        <f>'Staff - Costs 2'!CG14</f>
        <v>-1766.682919</v>
      </c>
      <c r="CH37" s="26">
        <f t="shared" si="48"/>
        <v>-15311.25196</v>
      </c>
      <c r="CI37" s="14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</row>
    <row r="38" ht="13.5" hidden="1" customHeight="1" outlineLevel="1">
      <c r="A38" s="27"/>
      <c r="B38" s="24" t="str">
        <f>'Staff - Costs 2'!B15</f>
        <v/>
      </c>
      <c r="C38" s="24" t="str">
        <f>'Staff - Costs 2'!C15</f>
        <v/>
      </c>
      <c r="D38" s="24" t="str">
        <f>'Staff - Costs 2'!D15</f>
        <v/>
      </c>
      <c r="E38" s="24" t="str">
        <f>'Staff - Costs 2'!E15</f>
        <v/>
      </c>
      <c r="F38" s="24" t="str">
        <f>'Staff - Costs 2'!F15</f>
        <v/>
      </c>
      <c r="G38" s="24" t="str">
        <f>'Staff - Costs 2'!G15</f>
        <v/>
      </c>
      <c r="H38" s="24" t="str">
        <f>'Staff - Costs 2'!H15</f>
        <v/>
      </c>
      <c r="I38" s="24" t="str">
        <f>'Staff - Costs 2'!I15</f>
        <v/>
      </c>
      <c r="J38" s="24" t="str">
        <f>'Staff - Costs 2'!J15</f>
        <v/>
      </c>
      <c r="K38" s="24" t="str">
        <f>'Staff - Costs 2'!K15</f>
        <v/>
      </c>
      <c r="L38" s="24" t="str">
        <f>'Staff - Costs 2'!L15</f>
        <v/>
      </c>
      <c r="M38" s="24" t="str">
        <f>'Staff - Costs 2'!M15</f>
        <v/>
      </c>
      <c r="N38" s="24" t="str">
        <f>'Staff - Costs 2'!N15</f>
        <v/>
      </c>
      <c r="O38" s="24" t="str">
        <f>'Staff - Costs 2'!O15</f>
        <v/>
      </c>
      <c r="P38" s="26">
        <f t="shared" si="43"/>
        <v>0</v>
      </c>
      <c r="Q38" s="14"/>
      <c r="R38" s="24" t="str">
        <f>'Staff - Costs 2'!R15</f>
        <v/>
      </c>
      <c r="S38" s="24" t="str">
        <f>'Staff - Costs 2'!S15</f>
        <v/>
      </c>
      <c r="T38" s="24" t="str">
        <f>'Staff - Costs 2'!T15</f>
        <v/>
      </c>
      <c r="U38" s="24" t="str">
        <f>'Staff - Costs 2'!U15</f>
        <v/>
      </c>
      <c r="V38" s="24" t="str">
        <f>'Staff - Costs 2'!V15</f>
        <v/>
      </c>
      <c r="W38" s="24" t="str">
        <f>'Staff - Costs 2'!W15</f>
        <v/>
      </c>
      <c r="X38" s="24" t="str">
        <f>'Staff - Costs 2'!X15</f>
        <v/>
      </c>
      <c r="Y38" s="24" t="str">
        <f>'Staff - Costs 2'!Y15</f>
        <v/>
      </c>
      <c r="Z38" s="24" t="str">
        <f>'Staff - Costs 2'!Z15</f>
        <v/>
      </c>
      <c r="AA38" s="24" t="str">
        <f>'Staff - Costs 2'!AA15</f>
        <v/>
      </c>
      <c r="AB38" s="24" t="str">
        <f>'Staff - Costs 2'!AB15</f>
        <v/>
      </c>
      <c r="AC38" s="24" t="str">
        <f>'Staff - Costs 2'!AC15</f>
        <v/>
      </c>
      <c r="AD38" s="26">
        <f t="shared" si="44"/>
        <v>0</v>
      </c>
      <c r="AE38" s="14"/>
      <c r="AF38" s="24" t="str">
        <f>'Staff - Costs 2'!AF15</f>
        <v/>
      </c>
      <c r="AG38" s="24" t="str">
        <f>'Staff - Costs 2'!AG15</f>
        <v/>
      </c>
      <c r="AH38" s="24" t="str">
        <f>'Staff - Costs 2'!AH15</f>
        <v/>
      </c>
      <c r="AI38" s="24" t="str">
        <f>'Staff - Costs 2'!AI15</f>
        <v/>
      </c>
      <c r="AJ38" s="24" t="str">
        <f>'Staff - Costs 2'!AJ15</f>
        <v/>
      </c>
      <c r="AK38" s="24" t="str">
        <f>'Staff - Costs 2'!AK15</f>
        <v/>
      </c>
      <c r="AL38" s="24" t="str">
        <f>'Staff - Costs 2'!AL15</f>
        <v/>
      </c>
      <c r="AM38" s="24" t="str">
        <f>'Staff - Costs 2'!AM15</f>
        <v/>
      </c>
      <c r="AN38" s="24" t="str">
        <f>'Staff - Costs 2'!AN15</f>
        <v/>
      </c>
      <c r="AO38" s="24" t="str">
        <f>'Staff - Costs 2'!AO15</f>
        <v/>
      </c>
      <c r="AP38" s="24" t="str">
        <f>'Staff - Costs 2'!AP15</f>
        <v/>
      </c>
      <c r="AQ38" s="24" t="str">
        <f>'Staff - Costs 2'!AQ15</f>
        <v/>
      </c>
      <c r="AR38" s="26">
        <f t="shared" si="45"/>
        <v>0</v>
      </c>
      <c r="AS38" s="14"/>
      <c r="AT38" s="24" t="str">
        <f>'Staff - Costs 2'!AT15</f>
        <v/>
      </c>
      <c r="AU38" s="24" t="str">
        <f>'Staff - Costs 2'!AU15</f>
        <v/>
      </c>
      <c r="AV38" s="24" t="str">
        <f>'Staff - Costs 2'!AV15</f>
        <v/>
      </c>
      <c r="AW38" s="24" t="str">
        <f>'Staff - Costs 2'!AW15</f>
        <v/>
      </c>
      <c r="AX38" s="24" t="str">
        <f>'Staff - Costs 2'!AX15</f>
        <v/>
      </c>
      <c r="AY38" s="24" t="str">
        <f>'Staff - Costs 2'!AY15</f>
        <v/>
      </c>
      <c r="AZ38" s="24" t="str">
        <f>'Staff - Costs 2'!AZ15</f>
        <v/>
      </c>
      <c r="BA38" s="24" t="str">
        <f>'Staff - Costs 2'!BA15</f>
        <v/>
      </c>
      <c r="BB38" s="24" t="str">
        <f>'Staff - Costs 2'!BB15</f>
        <v/>
      </c>
      <c r="BC38" s="24" t="str">
        <f>'Staff - Costs 2'!BC15</f>
        <v/>
      </c>
      <c r="BD38" s="24" t="str">
        <f>'Staff - Costs 2'!BD15</f>
        <v/>
      </c>
      <c r="BE38" s="24" t="str">
        <f>'Staff - Costs 2'!BE15</f>
        <v/>
      </c>
      <c r="BF38" s="26">
        <f t="shared" si="46"/>
        <v>0</v>
      </c>
      <c r="BG38" s="14"/>
      <c r="BH38" s="24" t="str">
        <f>'Staff - Costs 2'!BH15</f>
        <v/>
      </c>
      <c r="BI38" s="24" t="str">
        <f>'Staff - Costs 2'!BI15</f>
        <v/>
      </c>
      <c r="BJ38" s="24" t="str">
        <f>'Staff - Costs 2'!BJ15</f>
        <v/>
      </c>
      <c r="BK38" s="24" t="str">
        <f>'Staff - Costs 2'!BK15</f>
        <v/>
      </c>
      <c r="BL38" s="24" t="str">
        <f>'Staff - Costs 2'!BL15</f>
        <v/>
      </c>
      <c r="BM38" s="24" t="str">
        <f>'Staff - Costs 2'!BM15</f>
        <v/>
      </c>
      <c r="BN38" s="24" t="str">
        <f>'Staff - Costs 2'!BN15</f>
        <v/>
      </c>
      <c r="BO38" s="24" t="str">
        <f>'Staff - Costs 2'!BO15</f>
        <v/>
      </c>
      <c r="BP38" s="24" t="str">
        <f>'Staff - Costs 2'!BP15</f>
        <v/>
      </c>
      <c r="BQ38" s="24" t="str">
        <f>'Staff - Costs 2'!BQ15</f>
        <v/>
      </c>
      <c r="BR38" s="24" t="str">
        <f>'Staff - Costs 2'!BR15</f>
        <v/>
      </c>
      <c r="BS38" s="24" t="str">
        <f>'Staff - Costs 2'!BS15</f>
        <v/>
      </c>
      <c r="BT38" s="26">
        <f t="shared" si="47"/>
        <v>0</v>
      </c>
      <c r="BU38" s="14"/>
      <c r="BV38" s="24" t="str">
        <f>'Staff - Costs 2'!BV15</f>
        <v/>
      </c>
      <c r="BW38" s="24" t="str">
        <f>'Staff - Costs 2'!BW15</f>
        <v/>
      </c>
      <c r="BX38" s="24" t="str">
        <f>'Staff - Costs 2'!BX15</f>
        <v/>
      </c>
      <c r="BY38" s="24" t="str">
        <f>'Staff - Costs 2'!BY15</f>
        <v/>
      </c>
      <c r="BZ38" s="24" t="str">
        <f>'Staff - Costs 2'!BZ15</f>
        <v/>
      </c>
      <c r="CA38" s="24" t="str">
        <f>'Staff - Costs 2'!CA15</f>
        <v/>
      </c>
      <c r="CB38" s="24" t="str">
        <f>'Staff - Costs 2'!CB15</f>
        <v/>
      </c>
      <c r="CC38" s="24" t="str">
        <f>'Staff - Costs 2'!CC15</f>
        <v/>
      </c>
      <c r="CD38" s="24" t="str">
        <f>'Staff - Costs 2'!CD15</f>
        <v/>
      </c>
      <c r="CE38" s="24" t="str">
        <f>'Staff - Costs 2'!CE15</f>
        <v/>
      </c>
      <c r="CF38" s="24" t="str">
        <f>'Staff - Costs 2'!CF15</f>
        <v/>
      </c>
      <c r="CG38" s="24" t="str">
        <f>'Staff - Costs 2'!CG15</f>
        <v/>
      </c>
      <c r="CH38" s="26">
        <f t="shared" si="48"/>
        <v>0</v>
      </c>
      <c r="CI38" s="14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</row>
    <row r="39" ht="13.5" hidden="1" customHeight="1" outlineLevel="1">
      <c r="A39" s="27"/>
      <c r="B39" s="24" t="str">
        <f>'Staff - Costs 2'!B16</f>
        <v>Production - Packaging</v>
      </c>
      <c r="C39" s="24" t="str">
        <f>'Staff - Costs 2'!C16</f>
        <v>P4</v>
      </c>
      <c r="D39" s="24">
        <f>'Staff - Costs 2'!D16</f>
        <v>0</v>
      </c>
      <c r="E39" s="24">
        <f>'Staff - Costs 2'!E16</f>
        <v>0</v>
      </c>
      <c r="F39" s="24">
        <f>'Staff - Costs 2'!F16</f>
        <v>0</v>
      </c>
      <c r="G39" s="24">
        <f>'Staff - Costs 2'!G16</f>
        <v>0</v>
      </c>
      <c r="H39" s="24">
        <f>'Staff - Costs 2'!H16</f>
        <v>0</v>
      </c>
      <c r="I39" s="24">
        <f>'Staff - Costs 2'!I16</f>
        <v>0</v>
      </c>
      <c r="J39" s="24">
        <f>'Staff - Costs 2'!J16</f>
        <v>-815.65632</v>
      </c>
      <c r="K39" s="24">
        <f>'Staff - Costs 2'!K16</f>
        <v>-815.65632</v>
      </c>
      <c r="L39" s="24">
        <f>'Staff - Costs 2'!L16</f>
        <v>-815.65632</v>
      </c>
      <c r="M39" s="24">
        <f>'Staff - Costs 2'!M16</f>
        <v>-815.65632</v>
      </c>
      <c r="N39" s="24">
        <f>'Staff - Costs 2'!N16</f>
        <v>-1223.48448</v>
      </c>
      <c r="O39" s="24">
        <f>'Staff - Costs 2'!O16</f>
        <v>-1223.48448</v>
      </c>
      <c r="P39" s="26">
        <f t="shared" si="43"/>
        <v>-5709.59424</v>
      </c>
      <c r="Q39" s="14"/>
      <c r="R39" s="24">
        <f>'Staff - Costs 2'!R16</f>
        <v>-861.3330739</v>
      </c>
      <c r="S39" s="24">
        <f>'Staff - Costs 2'!S16</f>
        <v>-861.3330739</v>
      </c>
      <c r="T39" s="24">
        <f>'Staff - Costs 2'!T16</f>
        <v>-861.3330739</v>
      </c>
      <c r="U39" s="24">
        <f>'Staff - Costs 2'!U16</f>
        <v>-861.3330739</v>
      </c>
      <c r="V39" s="24">
        <f>'Staff - Costs 2'!V16</f>
        <v>-861.3330739</v>
      </c>
      <c r="W39" s="24">
        <f>'Staff - Costs 2'!W16</f>
        <v>-861.3330739</v>
      </c>
      <c r="X39" s="24">
        <f>'Staff - Costs 2'!X16</f>
        <v>-861.3330739</v>
      </c>
      <c r="Y39" s="24">
        <f>'Staff - Costs 2'!Y16</f>
        <v>-861.3330739</v>
      </c>
      <c r="Z39" s="24">
        <f>'Staff - Costs 2'!Z16</f>
        <v>-861.3330739</v>
      </c>
      <c r="AA39" s="24">
        <f>'Staff - Costs 2'!AA16</f>
        <v>-861.3330739</v>
      </c>
      <c r="AB39" s="24">
        <f>'Staff - Costs 2'!AB16</f>
        <v>-1291.999611</v>
      </c>
      <c r="AC39" s="24">
        <f>'Staff - Costs 2'!AC16</f>
        <v>-1291.999611</v>
      </c>
      <c r="AD39" s="26">
        <f t="shared" si="44"/>
        <v>-11197.32996</v>
      </c>
      <c r="AE39" s="14"/>
      <c r="AF39" s="24">
        <f>'Staff - Costs 2'!AF16</f>
        <v>-905.2610607</v>
      </c>
      <c r="AG39" s="24">
        <f>'Staff - Costs 2'!AG16</f>
        <v>-905.2610607</v>
      </c>
      <c r="AH39" s="24">
        <f>'Staff - Costs 2'!AH16</f>
        <v>-905.2610607</v>
      </c>
      <c r="AI39" s="24">
        <f>'Staff - Costs 2'!AI16</f>
        <v>-905.2610607</v>
      </c>
      <c r="AJ39" s="24">
        <f>'Staff - Costs 2'!AJ16</f>
        <v>-905.2610607</v>
      </c>
      <c r="AK39" s="24">
        <f>'Staff - Costs 2'!AK16</f>
        <v>-905.2610607</v>
      </c>
      <c r="AL39" s="24">
        <f>'Staff - Costs 2'!AL16</f>
        <v>-905.2610607</v>
      </c>
      <c r="AM39" s="24">
        <f>'Staff - Costs 2'!AM16</f>
        <v>-905.2610607</v>
      </c>
      <c r="AN39" s="24">
        <f>'Staff - Costs 2'!AN16</f>
        <v>-905.2610607</v>
      </c>
      <c r="AO39" s="24">
        <f>'Staff - Costs 2'!AO16</f>
        <v>-905.2610607</v>
      </c>
      <c r="AP39" s="24">
        <f>'Staff - Costs 2'!AP16</f>
        <v>-1357.891591</v>
      </c>
      <c r="AQ39" s="24">
        <f>'Staff - Costs 2'!AQ16</f>
        <v>-1357.891591</v>
      </c>
      <c r="AR39" s="26">
        <f t="shared" si="45"/>
        <v>-11768.39379</v>
      </c>
      <c r="AS39" s="14"/>
      <c r="AT39" s="24">
        <f>'Staff - Costs 2'!AT16</f>
        <v>-951.4293748</v>
      </c>
      <c r="AU39" s="24">
        <f>'Staff - Costs 2'!AU16</f>
        <v>-951.4293748</v>
      </c>
      <c r="AV39" s="24">
        <f>'Staff - Costs 2'!AV16</f>
        <v>-951.4293748</v>
      </c>
      <c r="AW39" s="24">
        <f>'Staff - Costs 2'!AW16</f>
        <v>-951.4293748</v>
      </c>
      <c r="AX39" s="24">
        <f>'Staff - Costs 2'!AX16</f>
        <v>-951.4293748</v>
      </c>
      <c r="AY39" s="24">
        <f>'Staff - Costs 2'!AY16</f>
        <v>-951.4293748</v>
      </c>
      <c r="AZ39" s="24">
        <f>'Staff - Costs 2'!AZ16</f>
        <v>-951.4293748</v>
      </c>
      <c r="BA39" s="24">
        <f>'Staff - Costs 2'!BA16</f>
        <v>-951.4293748</v>
      </c>
      <c r="BB39" s="24">
        <f>'Staff - Costs 2'!BB16</f>
        <v>-951.4293748</v>
      </c>
      <c r="BC39" s="24">
        <f>'Staff - Costs 2'!BC16</f>
        <v>-951.4293748</v>
      </c>
      <c r="BD39" s="24">
        <f>'Staff - Costs 2'!BD16</f>
        <v>-1427.144062</v>
      </c>
      <c r="BE39" s="24">
        <f>'Staff - Costs 2'!BE16</f>
        <v>-1427.144062</v>
      </c>
      <c r="BF39" s="26">
        <f t="shared" si="46"/>
        <v>-12368.58187</v>
      </c>
      <c r="BG39" s="14"/>
      <c r="BH39" s="24">
        <f>'Staff - Costs 2'!BH16</f>
        <v>-999.9522729</v>
      </c>
      <c r="BI39" s="24">
        <f>'Staff - Costs 2'!BI16</f>
        <v>-999.9522729</v>
      </c>
      <c r="BJ39" s="24">
        <f>'Staff - Costs 2'!BJ16</f>
        <v>-999.9522729</v>
      </c>
      <c r="BK39" s="24">
        <f>'Staff - Costs 2'!BK16</f>
        <v>-999.9522729</v>
      </c>
      <c r="BL39" s="24">
        <f>'Staff - Costs 2'!BL16</f>
        <v>-999.9522729</v>
      </c>
      <c r="BM39" s="24">
        <f>'Staff - Costs 2'!BM16</f>
        <v>-999.9522729</v>
      </c>
      <c r="BN39" s="24">
        <f>'Staff - Costs 2'!BN16</f>
        <v>-999.9522729</v>
      </c>
      <c r="BO39" s="24">
        <f>'Staff - Costs 2'!BO16</f>
        <v>-999.9522729</v>
      </c>
      <c r="BP39" s="24">
        <f>'Staff - Costs 2'!BP16</f>
        <v>-999.9522729</v>
      </c>
      <c r="BQ39" s="24">
        <f>'Staff - Costs 2'!BQ16</f>
        <v>-999.9522729</v>
      </c>
      <c r="BR39" s="24">
        <f>'Staff - Costs 2'!BR16</f>
        <v>-1499.928409</v>
      </c>
      <c r="BS39" s="24">
        <f>'Staff - Costs 2'!BS16</f>
        <v>-1499.928409</v>
      </c>
      <c r="BT39" s="26">
        <f t="shared" si="47"/>
        <v>-12999.37955</v>
      </c>
      <c r="BU39" s="14"/>
      <c r="BV39" s="24">
        <f>'Staff - Costs 2'!BV16</f>
        <v>-1050.949839</v>
      </c>
      <c r="BW39" s="24">
        <f>'Staff - Costs 2'!BW16</f>
        <v>-1050.949839</v>
      </c>
      <c r="BX39" s="24">
        <f>'Staff - Costs 2'!BX16</f>
        <v>-1050.949839</v>
      </c>
      <c r="BY39" s="24">
        <f>'Staff - Costs 2'!BY16</f>
        <v>-1050.949839</v>
      </c>
      <c r="BZ39" s="24">
        <f>'Staff - Costs 2'!BZ16</f>
        <v>-1050.949839</v>
      </c>
      <c r="CA39" s="24">
        <f>'Staff - Costs 2'!CA16</f>
        <v>-1050.949839</v>
      </c>
      <c r="CB39" s="24">
        <f>'Staff - Costs 2'!CB16</f>
        <v>-1050.949839</v>
      </c>
      <c r="CC39" s="24">
        <f>'Staff - Costs 2'!CC16</f>
        <v>-1050.949839</v>
      </c>
      <c r="CD39" s="24">
        <f>'Staff - Costs 2'!CD16</f>
        <v>-1050.949839</v>
      </c>
      <c r="CE39" s="24">
        <f>'Staff - Costs 2'!CE16</f>
        <v>-1050.949839</v>
      </c>
      <c r="CF39" s="24">
        <f>'Staff - Costs 2'!CF16</f>
        <v>-1576.424758</v>
      </c>
      <c r="CG39" s="24">
        <f>'Staff - Costs 2'!CG16</f>
        <v>-1576.424758</v>
      </c>
      <c r="CH39" s="26">
        <f t="shared" si="48"/>
        <v>-13662.3479</v>
      </c>
      <c r="CI39" s="14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</row>
    <row r="40" ht="13.5" hidden="1" customHeight="1" outlineLevel="1">
      <c r="A40" s="27"/>
      <c r="B40" s="24" t="str">
        <f>'Staff - Costs 2'!B17</f>
        <v>Production - Packaging</v>
      </c>
      <c r="C40" s="24" t="str">
        <f>'Staff - Costs 2'!C17</f>
        <v>P4</v>
      </c>
      <c r="D40" s="24">
        <f>'Staff - Costs 2'!D17</f>
        <v>0</v>
      </c>
      <c r="E40" s="24">
        <f>'Staff - Costs 2'!E17</f>
        <v>0</v>
      </c>
      <c r="F40" s="24">
        <f>'Staff - Costs 2'!F17</f>
        <v>0</v>
      </c>
      <c r="G40" s="24">
        <f>'Staff - Costs 2'!G17</f>
        <v>0</v>
      </c>
      <c r="H40" s="24">
        <f>'Staff - Costs 2'!H17</f>
        <v>0</v>
      </c>
      <c r="I40" s="24">
        <f>'Staff - Costs 2'!I17</f>
        <v>0</v>
      </c>
      <c r="J40" s="24">
        <f>'Staff - Costs 2'!J17</f>
        <v>-815.65632</v>
      </c>
      <c r="K40" s="24">
        <f>'Staff - Costs 2'!K17</f>
        <v>-815.65632</v>
      </c>
      <c r="L40" s="24">
        <f>'Staff - Costs 2'!L17</f>
        <v>-815.65632</v>
      </c>
      <c r="M40" s="24">
        <f>'Staff - Costs 2'!M17</f>
        <v>-815.65632</v>
      </c>
      <c r="N40" s="24">
        <f>'Staff - Costs 2'!N17</f>
        <v>-1223.48448</v>
      </c>
      <c r="O40" s="24">
        <f>'Staff - Costs 2'!O17</f>
        <v>-1223.48448</v>
      </c>
      <c r="P40" s="26">
        <f t="shared" si="43"/>
        <v>-5709.59424</v>
      </c>
      <c r="Q40" s="14"/>
      <c r="R40" s="24">
        <f>'Staff - Costs 2'!R17</f>
        <v>-861.3330739</v>
      </c>
      <c r="S40" s="24">
        <f>'Staff - Costs 2'!S17</f>
        <v>-861.3330739</v>
      </c>
      <c r="T40" s="24">
        <f>'Staff - Costs 2'!T17</f>
        <v>-861.3330739</v>
      </c>
      <c r="U40" s="24">
        <f>'Staff - Costs 2'!U17</f>
        <v>-861.3330739</v>
      </c>
      <c r="V40" s="24">
        <f>'Staff - Costs 2'!V17</f>
        <v>-861.3330739</v>
      </c>
      <c r="W40" s="24">
        <f>'Staff - Costs 2'!W17</f>
        <v>-861.3330739</v>
      </c>
      <c r="X40" s="24">
        <f>'Staff - Costs 2'!X17</f>
        <v>-861.3330739</v>
      </c>
      <c r="Y40" s="24">
        <f>'Staff - Costs 2'!Y17</f>
        <v>-861.3330739</v>
      </c>
      <c r="Z40" s="24">
        <f>'Staff - Costs 2'!Z17</f>
        <v>-861.3330739</v>
      </c>
      <c r="AA40" s="24">
        <f>'Staff - Costs 2'!AA17</f>
        <v>-861.3330739</v>
      </c>
      <c r="AB40" s="24">
        <f>'Staff - Costs 2'!AB17</f>
        <v>-1291.999611</v>
      </c>
      <c r="AC40" s="24">
        <f>'Staff - Costs 2'!AC17</f>
        <v>-1291.999611</v>
      </c>
      <c r="AD40" s="26">
        <f t="shared" si="44"/>
        <v>-11197.32996</v>
      </c>
      <c r="AE40" s="14"/>
      <c r="AF40" s="24">
        <f>'Staff - Costs 2'!AF17</f>
        <v>-905.2610607</v>
      </c>
      <c r="AG40" s="24">
        <f>'Staff - Costs 2'!AG17</f>
        <v>-905.2610607</v>
      </c>
      <c r="AH40" s="24">
        <f>'Staff - Costs 2'!AH17</f>
        <v>-905.2610607</v>
      </c>
      <c r="AI40" s="24">
        <f>'Staff - Costs 2'!AI17</f>
        <v>-905.2610607</v>
      </c>
      <c r="AJ40" s="24">
        <f>'Staff - Costs 2'!AJ17</f>
        <v>-905.2610607</v>
      </c>
      <c r="AK40" s="24">
        <f>'Staff - Costs 2'!AK17</f>
        <v>-905.2610607</v>
      </c>
      <c r="AL40" s="24">
        <f>'Staff - Costs 2'!AL17</f>
        <v>-905.2610607</v>
      </c>
      <c r="AM40" s="24">
        <f>'Staff - Costs 2'!AM17</f>
        <v>-905.2610607</v>
      </c>
      <c r="AN40" s="24">
        <f>'Staff - Costs 2'!AN17</f>
        <v>-905.2610607</v>
      </c>
      <c r="AO40" s="24">
        <f>'Staff - Costs 2'!AO17</f>
        <v>-905.2610607</v>
      </c>
      <c r="AP40" s="24">
        <f>'Staff - Costs 2'!AP17</f>
        <v>-1357.891591</v>
      </c>
      <c r="AQ40" s="24">
        <f>'Staff - Costs 2'!AQ17</f>
        <v>-1357.891591</v>
      </c>
      <c r="AR40" s="26">
        <f t="shared" si="45"/>
        <v>-11768.39379</v>
      </c>
      <c r="AS40" s="14"/>
      <c r="AT40" s="24">
        <f>'Staff - Costs 2'!AT17</f>
        <v>-951.4293748</v>
      </c>
      <c r="AU40" s="24">
        <f>'Staff - Costs 2'!AU17</f>
        <v>-951.4293748</v>
      </c>
      <c r="AV40" s="24">
        <f>'Staff - Costs 2'!AV17</f>
        <v>-951.4293748</v>
      </c>
      <c r="AW40" s="24">
        <f>'Staff - Costs 2'!AW17</f>
        <v>-951.4293748</v>
      </c>
      <c r="AX40" s="24">
        <f>'Staff - Costs 2'!AX17</f>
        <v>-951.4293748</v>
      </c>
      <c r="AY40" s="24">
        <f>'Staff - Costs 2'!AY17</f>
        <v>-951.4293748</v>
      </c>
      <c r="AZ40" s="24">
        <f>'Staff - Costs 2'!AZ17</f>
        <v>-951.4293748</v>
      </c>
      <c r="BA40" s="24">
        <f>'Staff - Costs 2'!BA17</f>
        <v>-951.4293748</v>
      </c>
      <c r="BB40" s="24">
        <f>'Staff - Costs 2'!BB17</f>
        <v>-951.4293748</v>
      </c>
      <c r="BC40" s="24">
        <f>'Staff - Costs 2'!BC17</f>
        <v>-951.4293748</v>
      </c>
      <c r="BD40" s="24">
        <f>'Staff - Costs 2'!BD17</f>
        <v>-1427.144062</v>
      </c>
      <c r="BE40" s="24">
        <f>'Staff - Costs 2'!BE17</f>
        <v>-1427.144062</v>
      </c>
      <c r="BF40" s="26">
        <f t="shared" si="46"/>
        <v>-12368.58187</v>
      </c>
      <c r="BG40" s="14"/>
      <c r="BH40" s="24">
        <f>'Staff - Costs 2'!BH17</f>
        <v>-999.9522729</v>
      </c>
      <c r="BI40" s="24">
        <f>'Staff - Costs 2'!BI17</f>
        <v>-999.9522729</v>
      </c>
      <c r="BJ40" s="24">
        <f>'Staff - Costs 2'!BJ17</f>
        <v>-999.9522729</v>
      </c>
      <c r="BK40" s="24">
        <f>'Staff - Costs 2'!BK17</f>
        <v>-999.9522729</v>
      </c>
      <c r="BL40" s="24">
        <f>'Staff - Costs 2'!BL17</f>
        <v>-999.9522729</v>
      </c>
      <c r="BM40" s="24">
        <f>'Staff - Costs 2'!BM17</f>
        <v>-999.9522729</v>
      </c>
      <c r="BN40" s="24">
        <f>'Staff - Costs 2'!BN17</f>
        <v>-999.9522729</v>
      </c>
      <c r="BO40" s="24">
        <f>'Staff - Costs 2'!BO17</f>
        <v>-999.9522729</v>
      </c>
      <c r="BP40" s="24">
        <f>'Staff - Costs 2'!BP17</f>
        <v>-999.9522729</v>
      </c>
      <c r="BQ40" s="24">
        <f>'Staff - Costs 2'!BQ17</f>
        <v>-999.9522729</v>
      </c>
      <c r="BR40" s="24">
        <f>'Staff - Costs 2'!BR17</f>
        <v>-1499.928409</v>
      </c>
      <c r="BS40" s="24">
        <f>'Staff - Costs 2'!BS17</f>
        <v>-1499.928409</v>
      </c>
      <c r="BT40" s="26">
        <f t="shared" si="47"/>
        <v>-12999.37955</v>
      </c>
      <c r="BU40" s="14"/>
      <c r="BV40" s="24">
        <f>'Staff - Costs 2'!BV17</f>
        <v>-1050.949839</v>
      </c>
      <c r="BW40" s="24">
        <f>'Staff - Costs 2'!BW17</f>
        <v>-1050.949839</v>
      </c>
      <c r="BX40" s="24">
        <f>'Staff - Costs 2'!BX17</f>
        <v>-1050.949839</v>
      </c>
      <c r="BY40" s="24">
        <f>'Staff - Costs 2'!BY17</f>
        <v>-1050.949839</v>
      </c>
      <c r="BZ40" s="24">
        <f>'Staff - Costs 2'!BZ17</f>
        <v>-1050.949839</v>
      </c>
      <c r="CA40" s="24">
        <f>'Staff - Costs 2'!CA17</f>
        <v>-1050.949839</v>
      </c>
      <c r="CB40" s="24">
        <f>'Staff - Costs 2'!CB17</f>
        <v>-1050.949839</v>
      </c>
      <c r="CC40" s="24">
        <f>'Staff - Costs 2'!CC17</f>
        <v>-1050.949839</v>
      </c>
      <c r="CD40" s="24">
        <f>'Staff - Costs 2'!CD17</f>
        <v>-1050.949839</v>
      </c>
      <c r="CE40" s="24">
        <f>'Staff - Costs 2'!CE17</f>
        <v>-1050.949839</v>
      </c>
      <c r="CF40" s="24">
        <f>'Staff - Costs 2'!CF17</f>
        <v>-1576.424758</v>
      </c>
      <c r="CG40" s="24">
        <f>'Staff - Costs 2'!CG17</f>
        <v>-1576.424758</v>
      </c>
      <c r="CH40" s="26">
        <f t="shared" si="48"/>
        <v>-13662.3479</v>
      </c>
      <c r="CI40" s="14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</row>
    <row r="41" ht="13.5" hidden="1" customHeight="1" outlineLevel="1">
      <c r="A41" s="27"/>
      <c r="B41" s="24" t="str">
        <f>'Staff - Costs 2'!B18</f>
        <v>Assistant</v>
      </c>
      <c r="C41" s="24" t="str">
        <f>'Staff - Costs 2'!C18</f>
        <v>P5</v>
      </c>
      <c r="D41" s="24">
        <f>'Staff - Costs 2'!D18</f>
        <v>0</v>
      </c>
      <c r="E41" s="24">
        <f>'Staff - Costs 2'!E18</f>
        <v>0</v>
      </c>
      <c r="F41" s="24">
        <f>'Staff - Costs 2'!F18</f>
        <v>0</v>
      </c>
      <c r="G41" s="24">
        <f>'Staff - Costs 2'!G18</f>
        <v>0</v>
      </c>
      <c r="H41" s="24">
        <f>'Staff - Costs 2'!H18</f>
        <v>0</v>
      </c>
      <c r="I41" s="24">
        <f>'Staff - Costs 2'!I18</f>
        <v>0</v>
      </c>
      <c r="J41" s="24">
        <f>'Staff - Costs 2'!J18</f>
        <v>-893.00304</v>
      </c>
      <c r="K41" s="24">
        <f>'Staff - Costs 2'!K18</f>
        <v>-893.00304</v>
      </c>
      <c r="L41" s="24">
        <f>'Staff - Costs 2'!L18</f>
        <v>-893.00304</v>
      </c>
      <c r="M41" s="24">
        <f>'Staff - Costs 2'!M18</f>
        <v>-893.00304</v>
      </c>
      <c r="N41" s="24">
        <f>'Staff - Costs 2'!N18</f>
        <v>-1339.50456</v>
      </c>
      <c r="O41" s="24">
        <f>'Staff - Costs 2'!O18</f>
        <v>-1339.50456</v>
      </c>
      <c r="P41" s="26">
        <f t="shared" si="43"/>
        <v>-6251.02128</v>
      </c>
      <c r="Q41" s="14"/>
      <c r="R41" s="24">
        <f>'Staff - Costs 2'!R18</f>
        <v>-943.0112102</v>
      </c>
      <c r="S41" s="24">
        <f>'Staff - Costs 2'!S18</f>
        <v>-943.0112102</v>
      </c>
      <c r="T41" s="24">
        <f>'Staff - Costs 2'!T18</f>
        <v>-943.0112102</v>
      </c>
      <c r="U41" s="24">
        <f>'Staff - Costs 2'!U18</f>
        <v>-943.0112102</v>
      </c>
      <c r="V41" s="24">
        <f>'Staff - Costs 2'!V18</f>
        <v>-943.0112102</v>
      </c>
      <c r="W41" s="24">
        <f>'Staff - Costs 2'!W18</f>
        <v>-943.0112102</v>
      </c>
      <c r="X41" s="24">
        <f>'Staff - Costs 2'!X18</f>
        <v>-943.0112102</v>
      </c>
      <c r="Y41" s="24">
        <f>'Staff - Costs 2'!Y18</f>
        <v>-943.0112102</v>
      </c>
      <c r="Z41" s="24">
        <f>'Staff - Costs 2'!Z18</f>
        <v>-943.0112102</v>
      </c>
      <c r="AA41" s="24">
        <f>'Staff - Costs 2'!AA18</f>
        <v>-943.0112102</v>
      </c>
      <c r="AB41" s="24">
        <f>'Staff - Costs 2'!AB18</f>
        <v>-1414.516815</v>
      </c>
      <c r="AC41" s="24">
        <f>'Staff - Costs 2'!AC18</f>
        <v>-1414.516815</v>
      </c>
      <c r="AD41" s="26">
        <f t="shared" si="44"/>
        <v>-12259.14573</v>
      </c>
      <c r="AE41" s="14"/>
      <c r="AF41" s="24">
        <f>'Staff - Costs 2'!AF18</f>
        <v>-991.104782</v>
      </c>
      <c r="AG41" s="24">
        <f>'Staff - Costs 2'!AG18</f>
        <v>-991.104782</v>
      </c>
      <c r="AH41" s="24">
        <f>'Staff - Costs 2'!AH18</f>
        <v>-991.104782</v>
      </c>
      <c r="AI41" s="24">
        <f>'Staff - Costs 2'!AI18</f>
        <v>-991.104782</v>
      </c>
      <c r="AJ41" s="24">
        <f>'Staff - Costs 2'!AJ18</f>
        <v>-991.104782</v>
      </c>
      <c r="AK41" s="24">
        <f>'Staff - Costs 2'!AK18</f>
        <v>-991.104782</v>
      </c>
      <c r="AL41" s="24">
        <f>'Staff - Costs 2'!AL18</f>
        <v>-991.104782</v>
      </c>
      <c r="AM41" s="24">
        <f>'Staff - Costs 2'!AM18</f>
        <v>-991.104782</v>
      </c>
      <c r="AN41" s="24">
        <f>'Staff - Costs 2'!AN18</f>
        <v>-991.104782</v>
      </c>
      <c r="AO41" s="24">
        <f>'Staff - Costs 2'!AO18</f>
        <v>-991.104782</v>
      </c>
      <c r="AP41" s="24">
        <f>'Staff - Costs 2'!AP18</f>
        <v>-1486.657173</v>
      </c>
      <c r="AQ41" s="24">
        <f>'Staff - Costs 2'!AQ18</f>
        <v>-1486.657173</v>
      </c>
      <c r="AR41" s="26">
        <f t="shared" si="45"/>
        <v>-12884.36217</v>
      </c>
      <c r="AS41" s="14"/>
      <c r="AT41" s="24">
        <f>'Staff - Costs 2'!AT18</f>
        <v>-1041.651126</v>
      </c>
      <c r="AU41" s="24">
        <f>'Staff - Costs 2'!AU18</f>
        <v>-1041.651126</v>
      </c>
      <c r="AV41" s="24">
        <f>'Staff - Costs 2'!AV18</f>
        <v>-1041.651126</v>
      </c>
      <c r="AW41" s="24">
        <f>'Staff - Costs 2'!AW18</f>
        <v>-1041.651126</v>
      </c>
      <c r="AX41" s="24">
        <f>'Staff - Costs 2'!AX18</f>
        <v>-1041.651126</v>
      </c>
      <c r="AY41" s="24">
        <f>'Staff - Costs 2'!AY18</f>
        <v>-1041.651126</v>
      </c>
      <c r="AZ41" s="24">
        <f>'Staff - Costs 2'!AZ18</f>
        <v>-1041.651126</v>
      </c>
      <c r="BA41" s="24">
        <f>'Staff - Costs 2'!BA18</f>
        <v>-1041.651126</v>
      </c>
      <c r="BB41" s="24">
        <f>'Staff - Costs 2'!BB18</f>
        <v>-1041.651126</v>
      </c>
      <c r="BC41" s="24">
        <f>'Staff - Costs 2'!BC18</f>
        <v>-1041.651126</v>
      </c>
      <c r="BD41" s="24">
        <f>'Staff - Costs 2'!BD18</f>
        <v>-1562.476689</v>
      </c>
      <c r="BE41" s="24">
        <f>'Staff - Costs 2'!BE18</f>
        <v>-1562.476689</v>
      </c>
      <c r="BF41" s="26">
        <f t="shared" si="46"/>
        <v>-13541.46464</v>
      </c>
      <c r="BG41" s="14"/>
      <c r="BH41" s="24">
        <f>'Staff - Costs 2'!BH18</f>
        <v>-1094.775333</v>
      </c>
      <c r="BI41" s="24">
        <f>'Staff - Costs 2'!BI18</f>
        <v>-1094.775333</v>
      </c>
      <c r="BJ41" s="24">
        <f>'Staff - Costs 2'!BJ18</f>
        <v>-1094.775333</v>
      </c>
      <c r="BK41" s="24">
        <f>'Staff - Costs 2'!BK18</f>
        <v>-1094.775333</v>
      </c>
      <c r="BL41" s="24">
        <f>'Staff - Costs 2'!BL18</f>
        <v>-1094.775333</v>
      </c>
      <c r="BM41" s="24">
        <f>'Staff - Costs 2'!BM18</f>
        <v>-1094.775333</v>
      </c>
      <c r="BN41" s="24">
        <f>'Staff - Costs 2'!BN18</f>
        <v>-1094.775333</v>
      </c>
      <c r="BO41" s="24">
        <f>'Staff - Costs 2'!BO18</f>
        <v>-1094.775333</v>
      </c>
      <c r="BP41" s="24">
        <f>'Staff - Costs 2'!BP18</f>
        <v>-1094.775333</v>
      </c>
      <c r="BQ41" s="24">
        <f>'Staff - Costs 2'!BQ18</f>
        <v>-1094.775333</v>
      </c>
      <c r="BR41" s="24">
        <f>'Staff - Costs 2'!BR18</f>
        <v>-1642.163</v>
      </c>
      <c r="BS41" s="24">
        <f>'Staff - Costs 2'!BS18</f>
        <v>-1642.163</v>
      </c>
      <c r="BT41" s="26">
        <f t="shared" si="47"/>
        <v>-14232.07933</v>
      </c>
      <c r="BU41" s="14"/>
      <c r="BV41" s="24">
        <f>'Staff - Costs 2'!BV18</f>
        <v>-1150.608875</v>
      </c>
      <c r="BW41" s="24">
        <f>'Staff - Costs 2'!BW18</f>
        <v>-1150.608875</v>
      </c>
      <c r="BX41" s="24">
        <f>'Staff - Costs 2'!BX18</f>
        <v>-1150.608875</v>
      </c>
      <c r="BY41" s="24">
        <f>'Staff - Costs 2'!BY18</f>
        <v>-1150.608875</v>
      </c>
      <c r="BZ41" s="24">
        <f>'Staff - Costs 2'!BZ18</f>
        <v>-1150.608875</v>
      </c>
      <c r="CA41" s="24">
        <f>'Staff - Costs 2'!CA18</f>
        <v>-1150.608875</v>
      </c>
      <c r="CB41" s="24">
        <f>'Staff - Costs 2'!CB18</f>
        <v>-1150.608875</v>
      </c>
      <c r="CC41" s="24">
        <f>'Staff - Costs 2'!CC18</f>
        <v>-1150.608875</v>
      </c>
      <c r="CD41" s="24">
        <f>'Staff - Costs 2'!CD18</f>
        <v>-1150.608875</v>
      </c>
      <c r="CE41" s="24">
        <f>'Staff - Costs 2'!CE18</f>
        <v>-1150.608875</v>
      </c>
      <c r="CF41" s="24">
        <f>'Staff - Costs 2'!CF18</f>
        <v>-1725.913313</v>
      </c>
      <c r="CG41" s="24">
        <f>'Staff - Costs 2'!CG18</f>
        <v>-1725.913313</v>
      </c>
      <c r="CH41" s="26">
        <f t="shared" si="48"/>
        <v>-14957.91538</v>
      </c>
      <c r="CI41" s="14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</row>
    <row r="42" ht="13.5" customHeight="1" collapsed="1">
      <c r="A42" s="27"/>
      <c r="B42" s="28" t="s">
        <v>40</v>
      </c>
      <c r="C42" s="28"/>
      <c r="D42" s="28">
        <f t="shared" ref="D42:O42" si="49">SUM(D35:D41)</f>
        <v>0</v>
      </c>
      <c r="E42" s="28">
        <f t="shared" si="49"/>
        <v>0</v>
      </c>
      <c r="F42" s="28">
        <f t="shared" si="49"/>
        <v>0</v>
      </c>
      <c r="G42" s="28">
        <f t="shared" si="49"/>
        <v>0</v>
      </c>
      <c r="H42" s="28">
        <f t="shared" si="49"/>
        <v>0</v>
      </c>
      <c r="I42" s="28">
        <f t="shared" si="49"/>
        <v>0</v>
      </c>
      <c r="J42" s="28">
        <f t="shared" si="49"/>
        <v>-10610.56368</v>
      </c>
      <c r="K42" s="28">
        <f t="shared" si="49"/>
        <v>-10610.56368</v>
      </c>
      <c r="L42" s="28">
        <f t="shared" si="49"/>
        <v>-10610.56368</v>
      </c>
      <c r="M42" s="28">
        <f t="shared" si="49"/>
        <v>-10610.56368</v>
      </c>
      <c r="N42" s="28">
        <f t="shared" si="49"/>
        <v>-15915.84552</v>
      </c>
      <c r="O42" s="28">
        <f t="shared" si="49"/>
        <v>-15915.84552</v>
      </c>
      <c r="P42" s="29">
        <f t="shared" si="43"/>
        <v>-74273.94576</v>
      </c>
      <c r="Q42" s="14"/>
      <c r="R42" s="28">
        <f t="shared" ref="R42:AC42" si="50">SUM(R35:R41)</f>
        <v>-11204.75525</v>
      </c>
      <c r="S42" s="28">
        <f t="shared" si="50"/>
        <v>-11204.75525</v>
      </c>
      <c r="T42" s="28">
        <f t="shared" si="50"/>
        <v>-11204.75525</v>
      </c>
      <c r="U42" s="28">
        <f t="shared" si="50"/>
        <v>-11204.75525</v>
      </c>
      <c r="V42" s="28">
        <f t="shared" si="50"/>
        <v>-11204.75525</v>
      </c>
      <c r="W42" s="28">
        <f t="shared" si="50"/>
        <v>-11204.75525</v>
      </c>
      <c r="X42" s="28">
        <f t="shared" si="50"/>
        <v>-11204.75525</v>
      </c>
      <c r="Y42" s="28">
        <f t="shared" si="50"/>
        <v>-11204.75525</v>
      </c>
      <c r="Z42" s="28">
        <f t="shared" si="50"/>
        <v>-11204.75525</v>
      </c>
      <c r="AA42" s="28">
        <f t="shared" si="50"/>
        <v>-11204.75525</v>
      </c>
      <c r="AB42" s="28">
        <f t="shared" si="50"/>
        <v>-16807.13287</v>
      </c>
      <c r="AC42" s="28">
        <f t="shared" si="50"/>
        <v>-16807.13287</v>
      </c>
      <c r="AD42" s="29">
        <f t="shared" si="44"/>
        <v>-145661.8182</v>
      </c>
      <c r="AE42" s="14"/>
      <c r="AF42" s="28">
        <f t="shared" ref="AF42:AQ42" si="51">SUM(AF35:AF41)</f>
        <v>-11776.19776</v>
      </c>
      <c r="AG42" s="28">
        <f t="shared" si="51"/>
        <v>-11776.19776</v>
      </c>
      <c r="AH42" s="28">
        <f t="shared" si="51"/>
        <v>-11776.19776</v>
      </c>
      <c r="AI42" s="28">
        <f t="shared" si="51"/>
        <v>-11776.19776</v>
      </c>
      <c r="AJ42" s="28">
        <f t="shared" si="51"/>
        <v>-11776.19776</v>
      </c>
      <c r="AK42" s="28">
        <f t="shared" si="51"/>
        <v>-11776.19776</v>
      </c>
      <c r="AL42" s="28">
        <f t="shared" si="51"/>
        <v>-11776.19776</v>
      </c>
      <c r="AM42" s="28">
        <f t="shared" si="51"/>
        <v>-11776.19776</v>
      </c>
      <c r="AN42" s="28">
        <f t="shared" si="51"/>
        <v>-11776.19776</v>
      </c>
      <c r="AO42" s="28">
        <f t="shared" si="51"/>
        <v>-11776.19776</v>
      </c>
      <c r="AP42" s="28">
        <f t="shared" si="51"/>
        <v>-17664.29665</v>
      </c>
      <c r="AQ42" s="28">
        <f t="shared" si="51"/>
        <v>-17664.29665</v>
      </c>
      <c r="AR42" s="29">
        <f t="shared" si="45"/>
        <v>-153090.5709</v>
      </c>
      <c r="AS42" s="14"/>
      <c r="AT42" s="28">
        <f t="shared" ref="AT42:BE42" si="52">SUM(AT35:AT41)</f>
        <v>-12376.78385</v>
      </c>
      <c r="AU42" s="28">
        <f t="shared" si="52"/>
        <v>-12376.78385</v>
      </c>
      <c r="AV42" s="28">
        <f t="shared" si="52"/>
        <v>-12376.78385</v>
      </c>
      <c r="AW42" s="28">
        <f t="shared" si="52"/>
        <v>-12376.78385</v>
      </c>
      <c r="AX42" s="28">
        <f t="shared" si="52"/>
        <v>-12376.78385</v>
      </c>
      <c r="AY42" s="28">
        <f t="shared" si="52"/>
        <v>-12376.78385</v>
      </c>
      <c r="AZ42" s="28">
        <f t="shared" si="52"/>
        <v>-12376.78385</v>
      </c>
      <c r="BA42" s="28">
        <f t="shared" si="52"/>
        <v>-12376.78385</v>
      </c>
      <c r="BB42" s="28">
        <f t="shared" si="52"/>
        <v>-12376.78385</v>
      </c>
      <c r="BC42" s="28">
        <f t="shared" si="52"/>
        <v>-12376.78385</v>
      </c>
      <c r="BD42" s="28">
        <f t="shared" si="52"/>
        <v>-18565.17577</v>
      </c>
      <c r="BE42" s="28">
        <f t="shared" si="52"/>
        <v>-18565.17577</v>
      </c>
      <c r="BF42" s="29">
        <f t="shared" si="46"/>
        <v>-160898.19</v>
      </c>
      <c r="BG42" s="14"/>
      <c r="BH42" s="28">
        <f t="shared" ref="BH42:BS42" si="53">SUM(BH35:BH41)</f>
        <v>-13007.99983</v>
      </c>
      <c r="BI42" s="28">
        <f t="shared" si="53"/>
        <v>-13007.99983</v>
      </c>
      <c r="BJ42" s="28">
        <f t="shared" si="53"/>
        <v>-13007.99983</v>
      </c>
      <c r="BK42" s="28">
        <f t="shared" si="53"/>
        <v>-13007.99983</v>
      </c>
      <c r="BL42" s="28">
        <f t="shared" si="53"/>
        <v>-13007.99983</v>
      </c>
      <c r="BM42" s="28">
        <f t="shared" si="53"/>
        <v>-13007.99983</v>
      </c>
      <c r="BN42" s="28">
        <f t="shared" si="53"/>
        <v>-13007.99983</v>
      </c>
      <c r="BO42" s="28">
        <f t="shared" si="53"/>
        <v>-13007.99983</v>
      </c>
      <c r="BP42" s="28">
        <f t="shared" si="53"/>
        <v>-13007.99983</v>
      </c>
      <c r="BQ42" s="28">
        <f t="shared" si="53"/>
        <v>-13007.99983</v>
      </c>
      <c r="BR42" s="28">
        <f t="shared" si="53"/>
        <v>-19511.99974</v>
      </c>
      <c r="BS42" s="28">
        <f t="shared" si="53"/>
        <v>-19511.99974</v>
      </c>
      <c r="BT42" s="29">
        <f t="shared" si="47"/>
        <v>-169103.9977</v>
      </c>
      <c r="BU42" s="14"/>
      <c r="BV42" s="28">
        <f t="shared" ref="BV42:CG42" si="54">SUM(BV35:BV41)</f>
        <v>-13671.40782</v>
      </c>
      <c r="BW42" s="28">
        <f t="shared" si="54"/>
        <v>-13671.40782</v>
      </c>
      <c r="BX42" s="28">
        <f t="shared" si="54"/>
        <v>-13671.40782</v>
      </c>
      <c r="BY42" s="28">
        <f t="shared" si="54"/>
        <v>-13671.40782</v>
      </c>
      <c r="BZ42" s="28">
        <f t="shared" si="54"/>
        <v>-13671.40782</v>
      </c>
      <c r="CA42" s="28">
        <f t="shared" si="54"/>
        <v>-13671.40782</v>
      </c>
      <c r="CB42" s="28">
        <f t="shared" si="54"/>
        <v>-13671.40782</v>
      </c>
      <c r="CC42" s="28">
        <f t="shared" si="54"/>
        <v>-13671.40782</v>
      </c>
      <c r="CD42" s="28">
        <f t="shared" si="54"/>
        <v>-13671.40782</v>
      </c>
      <c r="CE42" s="28">
        <f t="shared" si="54"/>
        <v>-13671.40782</v>
      </c>
      <c r="CF42" s="28">
        <f t="shared" si="54"/>
        <v>-20507.11173</v>
      </c>
      <c r="CG42" s="28">
        <f t="shared" si="54"/>
        <v>-20507.11173</v>
      </c>
      <c r="CH42" s="29">
        <f t="shared" si="48"/>
        <v>-177728.3016</v>
      </c>
      <c r="CI42" s="14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</row>
    <row r="43" ht="4.5" customHeight="1">
      <c r="A43" s="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36"/>
      <c r="Q43" s="14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8"/>
      <c r="AE43" s="14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8"/>
      <c r="AS43" s="14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8"/>
      <c r="BG43" s="14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8"/>
      <c r="BU43" s="14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8"/>
      <c r="CI43" s="14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ht="13.5" customHeight="1" outlineLevel="1">
      <c r="A44" s="27"/>
      <c r="B44" s="24" t="str">
        <f>'Adv &amp; Travel'!B12</f>
        <v>Travel Expenses</v>
      </c>
      <c r="C44" s="24" t="str">
        <f>'Adv &amp; Travel'!C12</f>
        <v>AT1</v>
      </c>
      <c r="D44" s="24">
        <f>'Adv &amp; Travel'!D12</f>
        <v>0</v>
      </c>
      <c r="E44" s="24">
        <f>'Adv &amp; Travel'!E12</f>
        <v>0</v>
      </c>
      <c r="F44" s="24">
        <f>'Adv &amp; Travel'!F12</f>
        <v>0</v>
      </c>
      <c r="G44" s="24">
        <f>'Adv &amp; Travel'!G12</f>
        <v>0</v>
      </c>
      <c r="H44" s="24">
        <f>'Adv &amp; Travel'!H12</f>
        <v>0</v>
      </c>
      <c r="I44" s="24">
        <f>'Adv &amp; Travel'!I12</f>
        <v>0</v>
      </c>
      <c r="J44" s="24">
        <f>'Adv &amp; Travel'!J12</f>
        <v>0</v>
      </c>
      <c r="K44" s="24">
        <f>'Adv &amp; Travel'!K12</f>
        <v>0</v>
      </c>
      <c r="L44" s="24">
        <f>'Adv &amp; Travel'!L12</f>
        <v>0</v>
      </c>
      <c r="M44" s="24">
        <f>'Adv &amp; Travel'!M12</f>
        <v>-7500</v>
      </c>
      <c r="N44" s="24">
        <f>'Adv &amp; Travel'!N12</f>
        <v>0</v>
      </c>
      <c r="O44" s="24">
        <f>'Adv &amp; Travel'!O12</f>
        <v>-7500</v>
      </c>
      <c r="P44" s="26">
        <f t="shared" ref="P44:P49" si="55">SUM(D44:O44)</f>
        <v>-15000</v>
      </c>
      <c r="Q44" s="14"/>
      <c r="R44" s="24">
        <f>'Adv &amp; Travel'!R12</f>
        <v>0</v>
      </c>
      <c r="S44" s="24">
        <f>'Adv &amp; Travel'!S12</f>
        <v>0</v>
      </c>
      <c r="T44" s="24">
        <f>'Adv &amp; Travel'!T12</f>
        <v>-7500</v>
      </c>
      <c r="U44" s="24">
        <f>'Adv &amp; Travel'!U12</f>
        <v>0</v>
      </c>
      <c r="V44" s="24">
        <f>'Adv &amp; Travel'!V12</f>
        <v>0</v>
      </c>
      <c r="W44" s="24">
        <f>'Adv &amp; Travel'!W12</f>
        <v>-5000</v>
      </c>
      <c r="X44" s="24">
        <f>'Adv &amp; Travel'!X12</f>
        <v>0</v>
      </c>
      <c r="Y44" s="24">
        <f>'Adv &amp; Travel'!Y12</f>
        <v>0</v>
      </c>
      <c r="Z44" s="24">
        <f>'Adv &amp; Travel'!Z12</f>
        <v>0</v>
      </c>
      <c r="AA44" s="24">
        <f>'Adv &amp; Travel'!AA12</f>
        <v>-7920</v>
      </c>
      <c r="AB44" s="24">
        <f>'Adv &amp; Travel'!AB12</f>
        <v>0</v>
      </c>
      <c r="AC44" s="24">
        <f>'Adv &amp; Travel'!AC12</f>
        <v>-7920</v>
      </c>
      <c r="AD44" s="26">
        <f t="shared" ref="AD44:AD49" si="56">SUM(R44:AC44)</f>
        <v>-28340</v>
      </c>
      <c r="AE44" s="14"/>
      <c r="AF44" s="24">
        <f>'Adv &amp; Travel'!AF12</f>
        <v>0</v>
      </c>
      <c r="AG44" s="24">
        <f>'Adv &amp; Travel'!AG12</f>
        <v>0</v>
      </c>
      <c r="AH44" s="24">
        <f>'Adv &amp; Travel'!AH12</f>
        <v>-7882.5</v>
      </c>
      <c r="AI44" s="24">
        <f>'Adv &amp; Travel'!AI12</f>
        <v>0</v>
      </c>
      <c r="AJ44" s="24">
        <f>'Adv &amp; Travel'!AJ12</f>
        <v>0</v>
      </c>
      <c r="AK44" s="24">
        <f>'Adv &amp; Travel'!AK12</f>
        <v>-5255</v>
      </c>
      <c r="AL44" s="24">
        <f>'Adv &amp; Travel'!AL12</f>
        <v>0</v>
      </c>
      <c r="AM44" s="24">
        <f>'Adv &amp; Travel'!AM12</f>
        <v>0</v>
      </c>
      <c r="AN44" s="24">
        <f>'Adv &amp; Travel'!AN12</f>
        <v>0</v>
      </c>
      <c r="AO44" s="24">
        <f>'Adv &amp; Travel'!AO12</f>
        <v>-8323.92</v>
      </c>
      <c r="AP44" s="24">
        <f>'Adv &amp; Travel'!AP12</f>
        <v>0</v>
      </c>
      <c r="AQ44" s="24">
        <f>'Adv &amp; Travel'!AQ12</f>
        <v>-8323.92</v>
      </c>
      <c r="AR44" s="26">
        <f t="shared" ref="AR44:AR49" si="57">SUM(AF44:AQ44)</f>
        <v>-29785.34</v>
      </c>
      <c r="AS44" s="14"/>
      <c r="AT44" s="24">
        <f>'Adv &amp; Travel'!AT12</f>
        <v>0</v>
      </c>
      <c r="AU44" s="24">
        <f>'Adv &amp; Travel'!AU12</f>
        <v>0</v>
      </c>
      <c r="AV44" s="24">
        <f>'Adv &amp; Travel'!AV12</f>
        <v>-8284.5075</v>
      </c>
      <c r="AW44" s="24">
        <f>'Adv &amp; Travel'!AW12</f>
        <v>0</v>
      </c>
      <c r="AX44" s="24">
        <f>'Adv &amp; Travel'!AX12</f>
        <v>0</v>
      </c>
      <c r="AY44" s="24">
        <f>'Adv &amp; Travel'!AY12</f>
        <v>-5523.005</v>
      </c>
      <c r="AZ44" s="24">
        <f>'Adv &amp; Travel'!AZ12</f>
        <v>0</v>
      </c>
      <c r="BA44" s="24">
        <f>'Adv &amp; Travel'!BA12</f>
        <v>0</v>
      </c>
      <c r="BB44" s="24">
        <f>'Adv &amp; Travel'!BB12</f>
        <v>0</v>
      </c>
      <c r="BC44" s="24">
        <f>'Adv &amp; Travel'!BC12</f>
        <v>-8748.43992</v>
      </c>
      <c r="BD44" s="24">
        <f>'Adv &amp; Travel'!BD12</f>
        <v>0</v>
      </c>
      <c r="BE44" s="24">
        <f>'Adv &amp; Travel'!BE12</f>
        <v>-8748.43992</v>
      </c>
      <c r="BF44" s="26">
        <f t="shared" ref="BF44:BF49" si="58">SUM(AT44:BE44)</f>
        <v>-31304.39234</v>
      </c>
      <c r="BG44" s="14"/>
      <c r="BH44" s="24">
        <f>'Adv &amp; Travel'!BH12</f>
        <v>0</v>
      </c>
      <c r="BI44" s="24">
        <f>'Adv &amp; Travel'!BI12</f>
        <v>0</v>
      </c>
      <c r="BJ44" s="24">
        <f>'Adv &amp; Travel'!BJ12</f>
        <v>-8707.017383</v>
      </c>
      <c r="BK44" s="24">
        <f>'Adv &amp; Travel'!BK12</f>
        <v>0</v>
      </c>
      <c r="BL44" s="24">
        <f>'Adv &amp; Travel'!BL12</f>
        <v>0</v>
      </c>
      <c r="BM44" s="24">
        <f>'Adv &amp; Travel'!BM12</f>
        <v>-5804.678255</v>
      </c>
      <c r="BN44" s="24">
        <f>'Adv &amp; Travel'!BN12</f>
        <v>0</v>
      </c>
      <c r="BO44" s="24">
        <f>'Adv &amp; Travel'!BO12</f>
        <v>0</v>
      </c>
      <c r="BP44" s="24">
        <f>'Adv &amp; Travel'!BP12</f>
        <v>0</v>
      </c>
      <c r="BQ44" s="24">
        <f>'Adv &amp; Travel'!BQ12</f>
        <v>-9194.610356</v>
      </c>
      <c r="BR44" s="24">
        <f>'Adv &amp; Travel'!BR12</f>
        <v>0</v>
      </c>
      <c r="BS44" s="24">
        <f>'Adv &amp; Travel'!BS12</f>
        <v>-9194.610356</v>
      </c>
      <c r="BT44" s="26">
        <f t="shared" ref="BT44:BT49" si="59">SUM(BH44:BS44)</f>
        <v>-32900.91635</v>
      </c>
      <c r="BU44" s="14"/>
      <c r="BV44" s="24">
        <f>'Adv &amp; Travel'!BV12</f>
        <v>0</v>
      </c>
      <c r="BW44" s="24">
        <f>'Adv &amp; Travel'!BW12</f>
        <v>0</v>
      </c>
      <c r="BX44" s="24">
        <f>'Adv &amp; Travel'!BX12</f>
        <v>-9151.075269</v>
      </c>
      <c r="BY44" s="24">
        <f>'Adv &amp; Travel'!BY12</f>
        <v>0</v>
      </c>
      <c r="BZ44" s="24">
        <f>'Adv &amp; Travel'!BZ12</f>
        <v>0</v>
      </c>
      <c r="CA44" s="24">
        <f>'Adv &amp; Travel'!CA12</f>
        <v>-6100.716846</v>
      </c>
      <c r="CB44" s="24">
        <f>'Adv &amp; Travel'!CB12</f>
        <v>0</v>
      </c>
      <c r="CC44" s="24">
        <f>'Adv &amp; Travel'!CC12</f>
        <v>0</v>
      </c>
      <c r="CD44" s="24">
        <f>'Adv &amp; Travel'!CD12</f>
        <v>0</v>
      </c>
      <c r="CE44" s="24">
        <f>'Adv &amp; Travel'!CE12</f>
        <v>-9663.535484</v>
      </c>
      <c r="CF44" s="24">
        <f>'Adv &amp; Travel'!CF12</f>
        <v>0</v>
      </c>
      <c r="CG44" s="24">
        <f>'Adv &amp; Travel'!CG12</f>
        <v>-9663.535484</v>
      </c>
      <c r="CH44" s="26">
        <f t="shared" ref="CH44:CH49" si="60">SUM(BV44:CG44)</f>
        <v>-34578.86308</v>
      </c>
      <c r="CI44" s="14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</row>
    <row r="45" ht="13.5" customHeight="1" outlineLevel="1">
      <c r="A45" s="27"/>
      <c r="B45" s="24" t="str">
        <f>'Adv &amp; Travel'!B13</f>
        <v>Advertising - Consultant</v>
      </c>
      <c r="C45" s="24" t="str">
        <f>'Adv &amp; Travel'!C13</f>
        <v>AT2</v>
      </c>
      <c r="D45" s="24">
        <f>'Adv &amp; Travel'!D13</f>
        <v>0</v>
      </c>
      <c r="E45" s="24">
        <f>'Adv &amp; Travel'!E13</f>
        <v>0</v>
      </c>
      <c r="F45" s="24">
        <f>'Adv &amp; Travel'!F13</f>
        <v>-2250</v>
      </c>
      <c r="G45" s="24">
        <f>'Adv &amp; Travel'!G13</f>
        <v>0</v>
      </c>
      <c r="H45" s="24">
        <f>'Adv &amp; Travel'!H13</f>
        <v>0</v>
      </c>
      <c r="I45" s="24">
        <f>'Adv &amp; Travel'!I13</f>
        <v>-2250</v>
      </c>
      <c r="J45" s="24">
        <f>'Adv &amp; Travel'!J13</f>
        <v>0</v>
      </c>
      <c r="K45" s="24">
        <f>'Adv &amp; Travel'!K13</f>
        <v>0</v>
      </c>
      <c r="L45" s="24">
        <f>'Adv &amp; Travel'!L13</f>
        <v>-2250</v>
      </c>
      <c r="M45" s="24">
        <f>'Adv &amp; Travel'!M13</f>
        <v>0</v>
      </c>
      <c r="N45" s="24">
        <f>'Adv &amp; Travel'!N13</f>
        <v>0</v>
      </c>
      <c r="O45" s="24">
        <f>'Adv &amp; Travel'!O13</f>
        <v>-2250</v>
      </c>
      <c r="P45" s="26">
        <f t="shared" si="55"/>
        <v>-9000</v>
      </c>
      <c r="Q45" s="14"/>
      <c r="R45" s="24">
        <f>'Adv &amp; Travel'!R13</f>
        <v>0</v>
      </c>
      <c r="S45" s="24">
        <f>'Adv &amp; Travel'!S13</f>
        <v>0</v>
      </c>
      <c r="T45" s="24">
        <f>'Adv &amp; Travel'!T13</f>
        <v>-2376</v>
      </c>
      <c r="U45" s="24">
        <f>'Adv &amp; Travel'!U13</f>
        <v>0</v>
      </c>
      <c r="V45" s="24">
        <f>'Adv &amp; Travel'!V13</f>
        <v>0</v>
      </c>
      <c r="W45" s="24">
        <f>'Adv &amp; Travel'!W13</f>
        <v>-2376</v>
      </c>
      <c r="X45" s="24">
        <f>'Adv &amp; Travel'!X13</f>
        <v>0</v>
      </c>
      <c r="Y45" s="24">
        <f>'Adv &amp; Travel'!Y13</f>
        <v>0</v>
      </c>
      <c r="Z45" s="24">
        <f>'Adv &amp; Travel'!Z13</f>
        <v>-2376</v>
      </c>
      <c r="AA45" s="24">
        <f>'Adv &amp; Travel'!AA13</f>
        <v>0</v>
      </c>
      <c r="AB45" s="24">
        <f>'Adv &amp; Travel'!AB13</f>
        <v>0</v>
      </c>
      <c r="AC45" s="24">
        <f>'Adv &amp; Travel'!AC13</f>
        <v>-2376</v>
      </c>
      <c r="AD45" s="26">
        <f t="shared" si="56"/>
        <v>-9504</v>
      </c>
      <c r="AE45" s="14"/>
      <c r="AF45" s="24">
        <f>'Adv &amp; Travel'!AF13</f>
        <v>0</v>
      </c>
      <c r="AG45" s="24">
        <f>'Adv &amp; Travel'!AG13</f>
        <v>0</v>
      </c>
      <c r="AH45" s="24">
        <f>'Adv &amp; Travel'!AH13</f>
        <v>-2497.176</v>
      </c>
      <c r="AI45" s="24">
        <f>'Adv &amp; Travel'!AI13</f>
        <v>0</v>
      </c>
      <c r="AJ45" s="24">
        <f>'Adv &amp; Travel'!AJ13</f>
        <v>0</v>
      </c>
      <c r="AK45" s="24">
        <f>'Adv &amp; Travel'!AK13</f>
        <v>-2497.176</v>
      </c>
      <c r="AL45" s="24">
        <f>'Adv &amp; Travel'!AL13</f>
        <v>0</v>
      </c>
      <c r="AM45" s="24">
        <f>'Adv &amp; Travel'!AM13</f>
        <v>0</v>
      </c>
      <c r="AN45" s="24">
        <f>'Adv &amp; Travel'!AN13</f>
        <v>-2497.176</v>
      </c>
      <c r="AO45" s="24">
        <f>'Adv &amp; Travel'!AO13</f>
        <v>0</v>
      </c>
      <c r="AP45" s="24">
        <f>'Adv &amp; Travel'!AP13</f>
        <v>0</v>
      </c>
      <c r="AQ45" s="24">
        <f>'Adv &amp; Travel'!AQ13</f>
        <v>-2497.176</v>
      </c>
      <c r="AR45" s="26">
        <f t="shared" si="57"/>
        <v>-9988.704</v>
      </c>
      <c r="AS45" s="14"/>
      <c r="AT45" s="24">
        <f>'Adv &amp; Travel'!AT13</f>
        <v>0</v>
      </c>
      <c r="AU45" s="24">
        <f>'Adv &amp; Travel'!AU13</f>
        <v>0</v>
      </c>
      <c r="AV45" s="24">
        <f>'Adv &amp; Travel'!AV13</f>
        <v>-2624.531976</v>
      </c>
      <c r="AW45" s="24">
        <f>'Adv &amp; Travel'!AW13</f>
        <v>0</v>
      </c>
      <c r="AX45" s="24">
        <f>'Adv &amp; Travel'!AX13</f>
        <v>0</v>
      </c>
      <c r="AY45" s="24">
        <f>'Adv &amp; Travel'!AY13</f>
        <v>-2624.531976</v>
      </c>
      <c r="AZ45" s="24">
        <f>'Adv &amp; Travel'!AZ13</f>
        <v>0</v>
      </c>
      <c r="BA45" s="24">
        <f>'Adv &amp; Travel'!BA13</f>
        <v>0</v>
      </c>
      <c r="BB45" s="24">
        <f>'Adv &amp; Travel'!BB13</f>
        <v>-2624.531976</v>
      </c>
      <c r="BC45" s="24">
        <f>'Adv &amp; Travel'!BC13</f>
        <v>0</v>
      </c>
      <c r="BD45" s="24">
        <f>'Adv &amp; Travel'!BD13</f>
        <v>0</v>
      </c>
      <c r="BE45" s="24">
        <f>'Adv &amp; Travel'!BE13</f>
        <v>-2624.531976</v>
      </c>
      <c r="BF45" s="26">
        <f t="shared" si="58"/>
        <v>-10498.1279</v>
      </c>
      <c r="BG45" s="14"/>
      <c r="BH45" s="24">
        <f>'Adv &amp; Travel'!BH13</f>
        <v>0</v>
      </c>
      <c r="BI45" s="24">
        <f>'Adv &amp; Travel'!BI13</f>
        <v>0</v>
      </c>
      <c r="BJ45" s="24">
        <f>'Adv &amp; Travel'!BJ13</f>
        <v>-2758.383107</v>
      </c>
      <c r="BK45" s="24">
        <f>'Adv &amp; Travel'!BK13</f>
        <v>0</v>
      </c>
      <c r="BL45" s="24">
        <f>'Adv &amp; Travel'!BL13</f>
        <v>0</v>
      </c>
      <c r="BM45" s="24">
        <f>'Adv &amp; Travel'!BM13</f>
        <v>-2758.383107</v>
      </c>
      <c r="BN45" s="24">
        <f>'Adv &amp; Travel'!BN13</f>
        <v>0</v>
      </c>
      <c r="BO45" s="24">
        <f>'Adv &amp; Travel'!BO13</f>
        <v>0</v>
      </c>
      <c r="BP45" s="24">
        <f>'Adv &amp; Travel'!BP13</f>
        <v>-2758.383107</v>
      </c>
      <c r="BQ45" s="24">
        <f>'Adv &amp; Travel'!BQ13</f>
        <v>0</v>
      </c>
      <c r="BR45" s="24">
        <f>'Adv &amp; Travel'!BR13</f>
        <v>0</v>
      </c>
      <c r="BS45" s="24">
        <f>'Adv &amp; Travel'!BS13</f>
        <v>-2758.383107</v>
      </c>
      <c r="BT45" s="26">
        <f t="shared" si="59"/>
        <v>-11033.53243</v>
      </c>
      <c r="BU45" s="14"/>
      <c r="BV45" s="24">
        <f>'Adv &amp; Travel'!BV13</f>
        <v>0</v>
      </c>
      <c r="BW45" s="24">
        <f>'Adv &amp; Travel'!BW13</f>
        <v>0</v>
      </c>
      <c r="BX45" s="24">
        <f>'Adv &amp; Travel'!BX13</f>
        <v>-2899.060645</v>
      </c>
      <c r="BY45" s="24">
        <f>'Adv &amp; Travel'!BY13</f>
        <v>0</v>
      </c>
      <c r="BZ45" s="24">
        <f>'Adv &amp; Travel'!BZ13</f>
        <v>0</v>
      </c>
      <c r="CA45" s="24">
        <f>'Adv &amp; Travel'!CA13</f>
        <v>-2899.060645</v>
      </c>
      <c r="CB45" s="24">
        <f>'Adv &amp; Travel'!CB13</f>
        <v>0</v>
      </c>
      <c r="CC45" s="24">
        <f>'Adv &amp; Travel'!CC13</f>
        <v>0</v>
      </c>
      <c r="CD45" s="24">
        <f>'Adv &amp; Travel'!CD13</f>
        <v>-2899.060645</v>
      </c>
      <c r="CE45" s="24">
        <f>'Adv &amp; Travel'!CE13</f>
        <v>0</v>
      </c>
      <c r="CF45" s="24">
        <f>'Adv &amp; Travel'!CF13</f>
        <v>0</v>
      </c>
      <c r="CG45" s="24">
        <f>'Adv &amp; Travel'!CG13</f>
        <v>-2899.060645</v>
      </c>
      <c r="CH45" s="26">
        <f t="shared" si="60"/>
        <v>-11596.24258</v>
      </c>
      <c r="CI45" s="14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</row>
    <row r="46" ht="13.5" customHeight="1" outlineLevel="1">
      <c r="A46" s="27"/>
      <c r="B46" s="24" t="str">
        <f>'Adv &amp; Travel'!B14</f>
        <v>Social Media</v>
      </c>
      <c r="C46" s="24" t="str">
        <f>'Adv &amp; Travel'!C14</f>
        <v>AT3</v>
      </c>
      <c r="D46" s="24">
        <f>'Adv &amp; Travel'!D14</f>
        <v>0</v>
      </c>
      <c r="E46" s="24">
        <f>'Adv &amp; Travel'!E14</f>
        <v>0</v>
      </c>
      <c r="F46" s="24">
        <f>'Adv &amp; Travel'!F14</f>
        <v>0</v>
      </c>
      <c r="G46" s="24">
        <f>'Adv &amp; Travel'!G14</f>
        <v>0</v>
      </c>
      <c r="H46" s="24">
        <f>'Adv &amp; Travel'!H14</f>
        <v>0</v>
      </c>
      <c r="I46" s="24">
        <f>'Adv &amp; Travel'!I14</f>
        <v>0</v>
      </c>
      <c r="J46" s="24">
        <f>'Adv &amp; Travel'!J14</f>
        <v>0</v>
      </c>
      <c r="K46" s="24">
        <f>'Adv &amp; Travel'!K14</f>
        <v>0</v>
      </c>
      <c r="L46" s="24">
        <f>'Adv &amp; Travel'!L14</f>
        <v>0</v>
      </c>
      <c r="M46" s="24">
        <f>'Adv &amp; Travel'!M14</f>
        <v>0</v>
      </c>
      <c r="N46" s="24">
        <f>'Adv &amp; Travel'!N14</f>
        <v>0</v>
      </c>
      <c r="O46" s="24">
        <f>'Adv &amp; Travel'!O14</f>
        <v>0</v>
      </c>
      <c r="P46" s="26">
        <f t="shared" si="55"/>
        <v>0</v>
      </c>
      <c r="Q46" s="14"/>
      <c r="R46" s="24">
        <f>'Adv &amp; Travel'!R14</f>
        <v>0</v>
      </c>
      <c r="S46" s="24">
        <f>'Adv &amp; Travel'!S14</f>
        <v>0</v>
      </c>
      <c r="T46" s="24">
        <f>'Adv &amp; Travel'!T14</f>
        <v>0</v>
      </c>
      <c r="U46" s="24">
        <f>'Adv &amp; Travel'!U14</f>
        <v>0</v>
      </c>
      <c r="V46" s="24">
        <f>'Adv &amp; Travel'!V14</f>
        <v>0</v>
      </c>
      <c r="W46" s="24">
        <f>'Adv &amp; Travel'!W14</f>
        <v>0</v>
      </c>
      <c r="X46" s="24">
        <f>'Adv &amp; Travel'!X14</f>
        <v>0</v>
      </c>
      <c r="Y46" s="24">
        <f>'Adv &amp; Travel'!Y14</f>
        <v>0</v>
      </c>
      <c r="Z46" s="24">
        <f>'Adv &amp; Travel'!Z14</f>
        <v>0</v>
      </c>
      <c r="AA46" s="24">
        <f>'Adv &amp; Travel'!AA14</f>
        <v>0</v>
      </c>
      <c r="AB46" s="24">
        <f>'Adv &amp; Travel'!AB14</f>
        <v>0</v>
      </c>
      <c r="AC46" s="24">
        <f>'Adv &amp; Travel'!AC14</f>
        <v>0</v>
      </c>
      <c r="AD46" s="26">
        <f t="shared" si="56"/>
        <v>0</v>
      </c>
      <c r="AE46" s="14"/>
      <c r="AF46" s="24">
        <f>'Adv &amp; Travel'!AF14</f>
        <v>0</v>
      </c>
      <c r="AG46" s="24">
        <f>'Adv &amp; Travel'!AG14</f>
        <v>0</v>
      </c>
      <c r="AH46" s="24">
        <f>'Adv &amp; Travel'!AH14</f>
        <v>0</v>
      </c>
      <c r="AI46" s="24">
        <f>'Adv &amp; Travel'!AI14</f>
        <v>0</v>
      </c>
      <c r="AJ46" s="24">
        <f>'Adv &amp; Travel'!AJ14</f>
        <v>0</v>
      </c>
      <c r="AK46" s="24">
        <f>'Adv &amp; Travel'!AK14</f>
        <v>0</v>
      </c>
      <c r="AL46" s="24">
        <f>'Adv &amp; Travel'!AL14</f>
        <v>0</v>
      </c>
      <c r="AM46" s="24">
        <f>'Adv &amp; Travel'!AM14</f>
        <v>0</v>
      </c>
      <c r="AN46" s="24">
        <f>'Adv &amp; Travel'!AN14</f>
        <v>0</v>
      </c>
      <c r="AO46" s="24">
        <f>'Adv &amp; Travel'!AO14</f>
        <v>0</v>
      </c>
      <c r="AP46" s="24">
        <f>'Adv &amp; Travel'!AP14</f>
        <v>0</v>
      </c>
      <c r="AQ46" s="24">
        <f>'Adv &amp; Travel'!AQ14</f>
        <v>0</v>
      </c>
      <c r="AR46" s="26">
        <f t="shared" si="57"/>
        <v>0</v>
      </c>
      <c r="AS46" s="14"/>
      <c r="AT46" s="24">
        <f>'Adv &amp; Travel'!AT14</f>
        <v>0</v>
      </c>
      <c r="AU46" s="24">
        <f>'Adv &amp; Travel'!AU14</f>
        <v>0</v>
      </c>
      <c r="AV46" s="24">
        <f>'Adv &amp; Travel'!AV14</f>
        <v>0</v>
      </c>
      <c r="AW46" s="24">
        <f>'Adv &amp; Travel'!AW14</f>
        <v>0</v>
      </c>
      <c r="AX46" s="24">
        <f>'Adv &amp; Travel'!AX14</f>
        <v>0</v>
      </c>
      <c r="AY46" s="24">
        <f>'Adv &amp; Travel'!AY14</f>
        <v>0</v>
      </c>
      <c r="AZ46" s="24">
        <f>'Adv &amp; Travel'!AZ14</f>
        <v>0</v>
      </c>
      <c r="BA46" s="24">
        <f>'Adv &amp; Travel'!BA14</f>
        <v>0</v>
      </c>
      <c r="BB46" s="24">
        <f>'Adv &amp; Travel'!BB14</f>
        <v>0</v>
      </c>
      <c r="BC46" s="24">
        <f>'Adv &amp; Travel'!BC14</f>
        <v>0</v>
      </c>
      <c r="BD46" s="24">
        <f>'Adv &amp; Travel'!BD14</f>
        <v>0</v>
      </c>
      <c r="BE46" s="24">
        <f>'Adv &amp; Travel'!BE14</f>
        <v>0</v>
      </c>
      <c r="BF46" s="26">
        <f t="shared" si="58"/>
        <v>0</v>
      </c>
      <c r="BG46" s="14"/>
      <c r="BH46" s="24">
        <f>'Adv &amp; Travel'!BH14</f>
        <v>0</v>
      </c>
      <c r="BI46" s="24">
        <f>'Adv &amp; Travel'!BI14</f>
        <v>0</v>
      </c>
      <c r="BJ46" s="24">
        <f>'Adv &amp; Travel'!BJ14</f>
        <v>0</v>
      </c>
      <c r="BK46" s="24">
        <f>'Adv &amp; Travel'!BK14</f>
        <v>0</v>
      </c>
      <c r="BL46" s="24">
        <f>'Adv &amp; Travel'!BL14</f>
        <v>0</v>
      </c>
      <c r="BM46" s="24">
        <f>'Adv &amp; Travel'!BM14</f>
        <v>0</v>
      </c>
      <c r="BN46" s="24">
        <f>'Adv &amp; Travel'!BN14</f>
        <v>0</v>
      </c>
      <c r="BO46" s="24">
        <f>'Adv &amp; Travel'!BO14</f>
        <v>0</v>
      </c>
      <c r="BP46" s="24">
        <f>'Adv &amp; Travel'!BP14</f>
        <v>0</v>
      </c>
      <c r="BQ46" s="24">
        <f>'Adv &amp; Travel'!BQ14</f>
        <v>0</v>
      </c>
      <c r="BR46" s="24">
        <f>'Adv &amp; Travel'!BR14</f>
        <v>0</v>
      </c>
      <c r="BS46" s="24">
        <f>'Adv &amp; Travel'!BS14</f>
        <v>0</v>
      </c>
      <c r="BT46" s="26">
        <f t="shared" si="59"/>
        <v>0</v>
      </c>
      <c r="BU46" s="14"/>
      <c r="BV46" s="24">
        <f>'Adv &amp; Travel'!BV14</f>
        <v>0</v>
      </c>
      <c r="BW46" s="24">
        <f>'Adv &amp; Travel'!BW14</f>
        <v>0</v>
      </c>
      <c r="BX46" s="24">
        <f>'Adv &amp; Travel'!BX14</f>
        <v>0</v>
      </c>
      <c r="BY46" s="24">
        <f>'Adv &amp; Travel'!BY14</f>
        <v>0</v>
      </c>
      <c r="BZ46" s="24">
        <f>'Adv &amp; Travel'!BZ14</f>
        <v>0</v>
      </c>
      <c r="CA46" s="24">
        <f>'Adv &amp; Travel'!CA14</f>
        <v>0</v>
      </c>
      <c r="CB46" s="24">
        <f>'Adv &amp; Travel'!CB14</f>
        <v>0</v>
      </c>
      <c r="CC46" s="24">
        <f>'Adv &amp; Travel'!CC14</f>
        <v>0</v>
      </c>
      <c r="CD46" s="24">
        <f>'Adv &amp; Travel'!CD14</f>
        <v>0</v>
      </c>
      <c r="CE46" s="24">
        <f>'Adv &amp; Travel'!CE14</f>
        <v>0</v>
      </c>
      <c r="CF46" s="24">
        <f>'Adv &amp; Travel'!CF14</f>
        <v>0</v>
      </c>
      <c r="CG46" s="24">
        <f>'Adv &amp; Travel'!CG14</f>
        <v>0</v>
      </c>
      <c r="CH46" s="26">
        <f t="shared" si="60"/>
        <v>0</v>
      </c>
      <c r="CI46" s="14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</row>
    <row r="47" ht="13.5" customHeight="1" outlineLevel="1">
      <c r="A47" s="27"/>
      <c r="B47" s="24" t="str">
        <f>'Adv &amp; Travel'!B15</f>
        <v>Advertising - Products</v>
      </c>
      <c r="C47" s="24" t="str">
        <f>'Adv &amp; Travel'!C15</f>
        <v>AT4</v>
      </c>
      <c r="D47" s="24">
        <f>'Adv &amp; Travel'!D15</f>
        <v>0</v>
      </c>
      <c r="E47" s="24">
        <f>'Adv &amp; Travel'!E15</f>
        <v>0</v>
      </c>
      <c r="F47" s="24">
        <f>'Adv &amp; Travel'!F15</f>
        <v>-15000</v>
      </c>
      <c r="G47" s="24">
        <f>'Adv &amp; Travel'!G15</f>
        <v>0</v>
      </c>
      <c r="H47" s="24">
        <f>'Adv &amp; Travel'!H15</f>
        <v>0</v>
      </c>
      <c r="I47" s="24">
        <f>'Adv &amp; Travel'!I15</f>
        <v>-15000</v>
      </c>
      <c r="J47" s="24">
        <f>'Adv &amp; Travel'!J15</f>
        <v>0</v>
      </c>
      <c r="K47" s="24">
        <f>'Adv &amp; Travel'!K15</f>
        <v>0</v>
      </c>
      <c r="L47" s="24">
        <f>'Adv &amp; Travel'!L15</f>
        <v>-15000</v>
      </c>
      <c r="M47" s="24">
        <f>'Adv &amp; Travel'!M15</f>
        <v>0</v>
      </c>
      <c r="N47" s="24">
        <f>'Adv &amp; Travel'!N15</f>
        <v>0</v>
      </c>
      <c r="O47" s="24">
        <f>'Adv &amp; Travel'!O15</f>
        <v>-15000</v>
      </c>
      <c r="P47" s="26">
        <f t="shared" si="55"/>
        <v>-60000</v>
      </c>
      <c r="Q47" s="14"/>
      <c r="R47" s="24">
        <f>'Adv &amp; Travel'!R15</f>
        <v>0</v>
      </c>
      <c r="S47" s="24">
        <f>'Adv &amp; Travel'!S15</f>
        <v>0</v>
      </c>
      <c r="T47" s="24">
        <f>'Adv &amp; Travel'!T15</f>
        <v>-15840</v>
      </c>
      <c r="U47" s="24">
        <f>'Adv &amp; Travel'!U15</f>
        <v>0</v>
      </c>
      <c r="V47" s="24">
        <f>'Adv &amp; Travel'!V15</f>
        <v>0</v>
      </c>
      <c r="W47" s="24">
        <f>'Adv &amp; Travel'!W15</f>
        <v>-15840</v>
      </c>
      <c r="X47" s="24">
        <f>'Adv &amp; Travel'!X15</f>
        <v>0</v>
      </c>
      <c r="Y47" s="24">
        <f>'Adv &amp; Travel'!Y15</f>
        <v>0</v>
      </c>
      <c r="Z47" s="24">
        <f>'Adv &amp; Travel'!Z15</f>
        <v>-15840</v>
      </c>
      <c r="AA47" s="24">
        <f>'Adv &amp; Travel'!AA15</f>
        <v>0</v>
      </c>
      <c r="AB47" s="24">
        <f>'Adv &amp; Travel'!AB15</f>
        <v>0</v>
      </c>
      <c r="AC47" s="24">
        <f>'Adv &amp; Travel'!AC15</f>
        <v>-15840</v>
      </c>
      <c r="AD47" s="26">
        <f t="shared" si="56"/>
        <v>-63360</v>
      </c>
      <c r="AE47" s="14"/>
      <c r="AF47" s="24">
        <f>'Adv &amp; Travel'!AF15</f>
        <v>0</v>
      </c>
      <c r="AG47" s="24">
        <f>'Adv &amp; Travel'!AG15</f>
        <v>0</v>
      </c>
      <c r="AH47" s="24">
        <f>'Adv &amp; Travel'!AH15</f>
        <v>-16647.84</v>
      </c>
      <c r="AI47" s="24">
        <f>'Adv &amp; Travel'!AI15</f>
        <v>0</v>
      </c>
      <c r="AJ47" s="24">
        <f>'Adv &amp; Travel'!AJ15</f>
        <v>0</v>
      </c>
      <c r="AK47" s="24">
        <f>'Adv &amp; Travel'!AK15</f>
        <v>-16647.84</v>
      </c>
      <c r="AL47" s="24">
        <f>'Adv &amp; Travel'!AL15</f>
        <v>0</v>
      </c>
      <c r="AM47" s="24">
        <f>'Adv &amp; Travel'!AM15</f>
        <v>0</v>
      </c>
      <c r="AN47" s="24">
        <f>'Adv &amp; Travel'!AN15</f>
        <v>-16647.84</v>
      </c>
      <c r="AO47" s="24">
        <f>'Adv &amp; Travel'!AO15</f>
        <v>0</v>
      </c>
      <c r="AP47" s="24">
        <f>'Adv &amp; Travel'!AP15</f>
        <v>0</v>
      </c>
      <c r="AQ47" s="24">
        <f>'Adv &amp; Travel'!AQ15</f>
        <v>-16647.84</v>
      </c>
      <c r="AR47" s="26">
        <f t="shared" si="57"/>
        <v>-66591.36</v>
      </c>
      <c r="AS47" s="14"/>
      <c r="AT47" s="24">
        <f>'Adv &amp; Travel'!AT15</f>
        <v>0</v>
      </c>
      <c r="AU47" s="24">
        <f>'Adv &amp; Travel'!AU15</f>
        <v>0</v>
      </c>
      <c r="AV47" s="24">
        <f>'Adv &amp; Travel'!AV15</f>
        <v>-17496.87984</v>
      </c>
      <c r="AW47" s="24">
        <f>'Adv &amp; Travel'!AW15</f>
        <v>0</v>
      </c>
      <c r="AX47" s="24">
        <f>'Adv &amp; Travel'!AX15</f>
        <v>0</v>
      </c>
      <c r="AY47" s="24">
        <f>'Adv &amp; Travel'!AY15</f>
        <v>-17496.87984</v>
      </c>
      <c r="AZ47" s="24">
        <f>'Adv &amp; Travel'!AZ15</f>
        <v>0</v>
      </c>
      <c r="BA47" s="24">
        <f>'Adv &amp; Travel'!BA15</f>
        <v>0</v>
      </c>
      <c r="BB47" s="24">
        <f>'Adv &amp; Travel'!BB15</f>
        <v>-17496.87984</v>
      </c>
      <c r="BC47" s="24">
        <f>'Adv &amp; Travel'!BC15</f>
        <v>0</v>
      </c>
      <c r="BD47" s="24">
        <f>'Adv &amp; Travel'!BD15</f>
        <v>0</v>
      </c>
      <c r="BE47" s="24">
        <f>'Adv &amp; Travel'!BE15</f>
        <v>-17496.87984</v>
      </c>
      <c r="BF47" s="26">
        <f t="shared" si="58"/>
        <v>-69987.51936</v>
      </c>
      <c r="BG47" s="14"/>
      <c r="BH47" s="24">
        <f>'Adv &amp; Travel'!BH15</f>
        <v>0</v>
      </c>
      <c r="BI47" s="24">
        <f>'Adv &amp; Travel'!BI15</f>
        <v>0</v>
      </c>
      <c r="BJ47" s="24">
        <f>'Adv &amp; Travel'!BJ15</f>
        <v>-18389.22071</v>
      </c>
      <c r="BK47" s="24">
        <f>'Adv &amp; Travel'!BK15</f>
        <v>0</v>
      </c>
      <c r="BL47" s="24">
        <f>'Adv &amp; Travel'!BL15</f>
        <v>0</v>
      </c>
      <c r="BM47" s="24">
        <f>'Adv &amp; Travel'!BM15</f>
        <v>-18389.22071</v>
      </c>
      <c r="BN47" s="24">
        <f>'Adv &amp; Travel'!BN15</f>
        <v>0</v>
      </c>
      <c r="BO47" s="24">
        <f>'Adv &amp; Travel'!BO15</f>
        <v>0</v>
      </c>
      <c r="BP47" s="24">
        <f>'Adv &amp; Travel'!BP15</f>
        <v>-18389.22071</v>
      </c>
      <c r="BQ47" s="24">
        <f>'Adv &amp; Travel'!BQ15</f>
        <v>0</v>
      </c>
      <c r="BR47" s="24">
        <f>'Adv &amp; Travel'!BR15</f>
        <v>0</v>
      </c>
      <c r="BS47" s="24">
        <f>'Adv &amp; Travel'!BS15</f>
        <v>-18389.22071</v>
      </c>
      <c r="BT47" s="26">
        <f t="shared" si="59"/>
        <v>-73556.88285</v>
      </c>
      <c r="BU47" s="14"/>
      <c r="BV47" s="24">
        <f>'Adv &amp; Travel'!BV15</f>
        <v>0</v>
      </c>
      <c r="BW47" s="24">
        <f>'Adv &amp; Travel'!BW15</f>
        <v>0</v>
      </c>
      <c r="BX47" s="24">
        <f>'Adv &amp; Travel'!BX15</f>
        <v>-19327.07097</v>
      </c>
      <c r="BY47" s="24">
        <f>'Adv &amp; Travel'!BY15</f>
        <v>0</v>
      </c>
      <c r="BZ47" s="24">
        <f>'Adv &amp; Travel'!BZ15</f>
        <v>0</v>
      </c>
      <c r="CA47" s="24">
        <f>'Adv &amp; Travel'!CA15</f>
        <v>-19327.07097</v>
      </c>
      <c r="CB47" s="24">
        <f>'Adv &amp; Travel'!CB15</f>
        <v>0</v>
      </c>
      <c r="CC47" s="24">
        <f>'Adv &amp; Travel'!CC15</f>
        <v>0</v>
      </c>
      <c r="CD47" s="24">
        <f>'Adv &amp; Travel'!CD15</f>
        <v>-19327.07097</v>
      </c>
      <c r="CE47" s="24">
        <f>'Adv &amp; Travel'!CE15</f>
        <v>0</v>
      </c>
      <c r="CF47" s="24">
        <f>'Adv &amp; Travel'!CF15</f>
        <v>0</v>
      </c>
      <c r="CG47" s="24">
        <f>'Adv &amp; Travel'!CG15</f>
        <v>-19327.07097</v>
      </c>
      <c r="CH47" s="26">
        <f t="shared" si="60"/>
        <v>-77308.28387</v>
      </c>
      <c r="CI47" s="14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</row>
    <row r="48" ht="13.5" customHeight="1" outlineLevel="1">
      <c r="A48" s="27"/>
      <c r="B48" s="24" t="str">
        <f>'Adv &amp; Travel'!B16</f>
        <v>x</v>
      </c>
      <c r="C48" s="24" t="str">
        <f>'Adv &amp; Travel'!C16</f>
        <v>x</v>
      </c>
      <c r="D48" s="24">
        <f>'Adv &amp; Travel'!D16</f>
        <v>0</v>
      </c>
      <c r="E48" s="24">
        <f>'Adv &amp; Travel'!E16</f>
        <v>0</v>
      </c>
      <c r="F48" s="24">
        <f>'Adv &amp; Travel'!F16</f>
        <v>0</v>
      </c>
      <c r="G48" s="24">
        <f>'Adv &amp; Travel'!G16</f>
        <v>0</v>
      </c>
      <c r="H48" s="24">
        <f>'Adv &amp; Travel'!H16</f>
        <v>0</v>
      </c>
      <c r="I48" s="24">
        <f>'Adv &amp; Travel'!I16</f>
        <v>0</v>
      </c>
      <c r="J48" s="24">
        <f>'Adv &amp; Travel'!J16</f>
        <v>0</v>
      </c>
      <c r="K48" s="24">
        <f>'Adv &amp; Travel'!K16</f>
        <v>0</v>
      </c>
      <c r="L48" s="24">
        <f>'Adv &amp; Travel'!L16</f>
        <v>0</v>
      </c>
      <c r="M48" s="24">
        <f>'Adv &amp; Travel'!M16</f>
        <v>0</v>
      </c>
      <c r="N48" s="24">
        <f>'Adv &amp; Travel'!N16</f>
        <v>0</v>
      </c>
      <c r="O48" s="24">
        <f>'Adv &amp; Travel'!O16</f>
        <v>0</v>
      </c>
      <c r="P48" s="26">
        <f t="shared" si="55"/>
        <v>0</v>
      </c>
      <c r="Q48" s="14"/>
      <c r="R48" s="24">
        <f>'Adv &amp; Travel'!R16</f>
        <v>0</v>
      </c>
      <c r="S48" s="24">
        <f>'Adv &amp; Travel'!S16</f>
        <v>0</v>
      </c>
      <c r="T48" s="24">
        <f>'Adv &amp; Travel'!T16</f>
        <v>0</v>
      </c>
      <c r="U48" s="24">
        <f>'Adv &amp; Travel'!U16</f>
        <v>0</v>
      </c>
      <c r="V48" s="24">
        <f>'Adv &amp; Travel'!V16</f>
        <v>0</v>
      </c>
      <c r="W48" s="24">
        <f>'Adv &amp; Travel'!W16</f>
        <v>0</v>
      </c>
      <c r="X48" s="24">
        <f>'Adv &amp; Travel'!X16</f>
        <v>0</v>
      </c>
      <c r="Y48" s="24">
        <f>'Adv &amp; Travel'!Y16</f>
        <v>0</v>
      </c>
      <c r="Z48" s="24">
        <f>'Adv &amp; Travel'!Z16</f>
        <v>0</v>
      </c>
      <c r="AA48" s="24">
        <f>'Adv &amp; Travel'!AA16</f>
        <v>0</v>
      </c>
      <c r="AB48" s="24">
        <f>'Adv &amp; Travel'!AB16</f>
        <v>0</v>
      </c>
      <c r="AC48" s="24">
        <f>'Adv &amp; Travel'!AC16</f>
        <v>0</v>
      </c>
      <c r="AD48" s="26">
        <f t="shared" si="56"/>
        <v>0</v>
      </c>
      <c r="AE48" s="14"/>
      <c r="AF48" s="24">
        <f>'Adv &amp; Travel'!AF16</f>
        <v>0</v>
      </c>
      <c r="AG48" s="24">
        <f>'Adv &amp; Travel'!AG16</f>
        <v>0</v>
      </c>
      <c r="AH48" s="24">
        <f>'Adv &amp; Travel'!AH16</f>
        <v>0</v>
      </c>
      <c r="AI48" s="24">
        <f>'Adv &amp; Travel'!AI16</f>
        <v>0</v>
      </c>
      <c r="AJ48" s="24">
        <f>'Adv &amp; Travel'!AJ16</f>
        <v>0</v>
      </c>
      <c r="AK48" s="24">
        <f>'Adv &amp; Travel'!AK16</f>
        <v>0</v>
      </c>
      <c r="AL48" s="24">
        <f>'Adv &amp; Travel'!AL16</f>
        <v>0</v>
      </c>
      <c r="AM48" s="24">
        <f>'Adv &amp; Travel'!AM16</f>
        <v>0</v>
      </c>
      <c r="AN48" s="24">
        <f>'Adv &amp; Travel'!AN16</f>
        <v>0</v>
      </c>
      <c r="AO48" s="24">
        <f>'Adv &amp; Travel'!AO16</f>
        <v>0</v>
      </c>
      <c r="AP48" s="24">
        <f>'Adv &amp; Travel'!AP16</f>
        <v>0</v>
      </c>
      <c r="AQ48" s="24">
        <f>'Adv &amp; Travel'!AQ16</f>
        <v>0</v>
      </c>
      <c r="AR48" s="26">
        <f t="shared" si="57"/>
        <v>0</v>
      </c>
      <c r="AS48" s="14"/>
      <c r="AT48" s="24">
        <f>'Adv &amp; Travel'!AT16</f>
        <v>0</v>
      </c>
      <c r="AU48" s="24">
        <f>'Adv &amp; Travel'!AU16</f>
        <v>0</v>
      </c>
      <c r="AV48" s="24">
        <f>'Adv &amp; Travel'!AV16</f>
        <v>0</v>
      </c>
      <c r="AW48" s="24">
        <f>'Adv &amp; Travel'!AW16</f>
        <v>0</v>
      </c>
      <c r="AX48" s="24">
        <f>'Adv &amp; Travel'!AX16</f>
        <v>0</v>
      </c>
      <c r="AY48" s="24">
        <f>'Adv &amp; Travel'!AY16</f>
        <v>0</v>
      </c>
      <c r="AZ48" s="24">
        <f>'Adv &amp; Travel'!AZ16</f>
        <v>0</v>
      </c>
      <c r="BA48" s="24">
        <f>'Adv &amp; Travel'!BA16</f>
        <v>0</v>
      </c>
      <c r="BB48" s="24">
        <f>'Adv &amp; Travel'!BB16</f>
        <v>0</v>
      </c>
      <c r="BC48" s="24">
        <f>'Adv &amp; Travel'!BC16</f>
        <v>0</v>
      </c>
      <c r="BD48" s="24">
        <f>'Adv &amp; Travel'!BD16</f>
        <v>0</v>
      </c>
      <c r="BE48" s="24">
        <f>'Adv &amp; Travel'!BE16</f>
        <v>0</v>
      </c>
      <c r="BF48" s="26">
        <f t="shared" si="58"/>
        <v>0</v>
      </c>
      <c r="BG48" s="14"/>
      <c r="BH48" s="24">
        <f>'Adv &amp; Travel'!BH16</f>
        <v>0</v>
      </c>
      <c r="BI48" s="24">
        <f>'Adv &amp; Travel'!BI16</f>
        <v>0</v>
      </c>
      <c r="BJ48" s="24">
        <f>'Adv &amp; Travel'!BJ16</f>
        <v>0</v>
      </c>
      <c r="BK48" s="24">
        <f>'Adv &amp; Travel'!BK16</f>
        <v>0</v>
      </c>
      <c r="BL48" s="24">
        <f>'Adv &amp; Travel'!BL16</f>
        <v>0</v>
      </c>
      <c r="BM48" s="24">
        <f>'Adv &amp; Travel'!BM16</f>
        <v>0</v>
      </c>
      <c r="BN48" s="24">
        <f>'Adv &amp; Travel'!BN16</f>
        <v>0</v>
      </c>
      <c r="BO48" s="24">
        <f>'Adv &amp; Travel'!BO16</f>
        <v>0</v>
      </c>
      <c r="BP48" s="24">
        <f>'Adv &amp; Travel'!BP16</f>
        <v>0</v>
      </c>
      <c r="BQ48" s="24">
        <f>'Adv &amp; Travel'!BQ16</f>
        <v>0</v>
      </c>
      <c r="BR48" s="24">
        <f>'Adv &amp; Travel'!BR16</f>
        <v>0</v>
      </c>
      <c r="BS48" s="24">
        <f>'Adv &amp; Travel'!BS16</f>
        <v>0</v>
      </c>
      <c r="BT48" s="26">
        <f t="shared" si="59"/>
        <v>0</v>
      </c>
      <c r="BU48" s="14"/>
      <c r="BV48" s="24">
        <f>'Adv &amp; Travel'!BV16</f>
        <v>0</v>
      </c>
      <c r="BW48" s="24">
        <f>'Adv &amp; Travel'!BW16</f>
        <v>0</v>
      </c>
      <c r="BX48" s="24">
        <f>'Adv &amp; Travel'!BX16</f>
        <v>0</v>
      </c>
      <c r="BY48" s="24">
        <f>'Adv &amp; Travel'!BY16</f>
        <v>0</v>
      </c>
      <c r="BZ48" s="24">
        <f>'Adv &amp; Travel'!BZ16</f>
        <v>0</v>
      </c>
      <c r="CA48" s="24">
        <f>'Adv &amp; Travel'!CA16</f>
        <v>0</v>
      </c>
      <c r="CB48" s="24">
        <f>'Adv &amp; Travel'!CB16</f>
        <v>0</v>
      </c>
      <c r="CC48" s="24">
        <f>'Adv &amp; Travel'!CC16</f>
        <v>0</v>
      </c>
      <c r="CD48" s="24">
        <f>'Adv &amp; Travel'!CD16</f>
        <v>0</v>
      </c>
      <c r="CE48" s="24">
        <f>'Adv &amp; Travel'!CE16</f>
        <v>0</v>
      </c>
      <c r="CF48" s="24">
        <f>'Adv &amp; Travel'!CF16</f>
        <v>0</v>
      </c>
      <c r="CG48" s="24">
        <f>'Adv &amp; Travel'!CG16</f>
        <v>0</v>
      </c>
      <c r="CH48" s="26">
        <f t="shared" si="60"/>
        <v>0</v>
      </c>
      <c r="CI48" s="14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</row>
    <row r="49" ht="13.5" customHeight="1">
      <c r="A49" s="27"/>
      <c r="B49" s="28" t="s">
        <v>41</v>
      </c>
      <c r="C49" s="28"/>
      <c r="D49" s="28">
        <f t="shared" ref="D49:O49" si="61">SUM(D44:D48)</f>
        <v>0</v>
      </c>
      <c r="E49" s="28">
        <f t="shared" si="61"/>
        <v>0</v>
      </c>
      <c r="F49" s="28">
        <f t="shared" si="61"/>
        <v>-17250</v>
      </c>
      <c r="G49" s="28">
        <f t="shared" si="61"/>
        <v>0</v>
      </c>
      <c r="H49" s="28">
        <f t="shared" si="61"/>
        <v>0</v>
      </c>
      <c r="I49" s="28">
        <f t="shared" si="61"/>
        <v>-17250</v>
      </c>
      <c r="J49" s="28">
        <f t="shared" si="61"/>
        <v>0</v>
      </c>
      <c r="K49" s="28">
        <f t="shared" si="61"/>
        <v>0</v>
      </c>
      <c r="L49" s="28">
        <f t="shared" si="61"/>
        <v>-17250</v>
      </c>
      <c r="M49" s="28">
        <f t="shared" si="61"/>
        <v>-7500</v>
      </c>
      <c r="N49" s="28">
        <f t="shared" si="61"/>
        <v>0</v>
      </c>
      <c r="O49" s="28">
        <f t="shared" si="61"/>
        <v>-24750</v>
      </c>
      <c r="P49" s="29">
        <f t="shared" si="55"/>
        <v>-84000</v>
      </c>
      <c r="Q49" s="14"/>
      <c r="R49" s="28">
        <f t="shared" ref="R49:AC49" si="62">SUM(R44:R48)</f>
        <v>0</v>
      </c>
      <c r="S49" s="28">
        <f t="shared" si="62"/>
        <v>0</v>
      </c>
      <c r="T49" s="28">
        <f t="shared" si="62"/>
        <v>-25716</v>
      </c>
      <c r="U49" s="28">
        <f t="shared" si="62"/>
        <v>0</v>
      </c>
      <c r="V49" s="28">
        <f t="shared" si="62"/>
        <v>0</v>
      </c>
      <c r="W49" s="28">
        <f t="shared" si="62"/>
        <v>-23216</v>
      </c>
      <c r="X49" s="28">
        <f t="shared" si="62"/>
        <v>0</v>
      </c>
      <c r="Y49" s="28">
        <f t="shared" si="62"/>
        <v>0</v>
      </c>
      <c r="Z49" s="28">
        <f t="shared" si="62"/>
        <v>-18216</v>
      </c>
      <c r="AA49" s="28">
        <f t="shared" si="62"/>
        <v>-7920</v>
      </c>
      <c r="AB49" s="28">
        <f t="shared" si="62"/>
        <v>0</v>
      </c>
      <c r="AC49" s="28">
        <f t="shared" si="62"/>
        <v>-26136</v>
      </c>
      <c r="AD49" s="29">
        <f t="shared" si="56"/>
        <v>-101204</v>
      </c>
      <c r="AE49" s="14"/>
      <c r="AF49" s="28">
        <f t="shared" ref="AF49:AQ49" si="63">SUM(AF44:AF48)</f>
        <v>0</v>
      </c>
      <c r="AG49" s="28">
        <f t="shared" si="63"/>
        <v>0</v>
      </c>
      <c r="AH49" s="28">
        <f t="shared" si="63"/>
        <v>-27027.516</v>
      </c>
      <c r="AI49" s="28">
        <f t="shared" si="63"/>
        <v>0</v>
      </c>
      <c r="AJ49" s="28">
        <f t="shared" si="63"/>
        <v>0</v>
      </c>
      <c r="AK49" s="28">
        <f t="shared" si="63"/>
        <v>-24400.016</v>
      </c>
      <c r="AL49" s="28">
        <f t="shared" si="63"/>
        <v>0</v>
      </c>
      <c r="AM49" s="28">
        <f t="shared" si="63"/>
        <v>0</v>
      </c>
      <c r="AN49" s="28">
        <f t="shared" si="63"/>
        <v>-19145.016</v>
      </c>
      <c r="AO49" s="28">
        <f t="shared" si="63"/>
        <v>-8323.92</v>
      </c>
      <c r="AP49" s="28">
        <f t="shared" si="63"/>
        <v>0</v>
      </c>
      <c r="AQ49" s="28">
        <f t="shared" si="63"/>
        <v>-27468.936</v>
      </c>
      <c r="AR49" s="29">
        <f t="shared" si="57"/>
        <v>-106365.404</v>
      </c>
      <c r="AS49" s="14"/>
      <c r="AT49" s="28">
        <f t="shared" ref="AT49:BE49" si="64">SUM(AT44:AT48)</f>
        <v>0</v>
      </c>
      <c r="AU49" s="28">
        <f t="shared" si="64"/>
        <v>0</v>
      </c>
      <c r="AV49" s="28">
        <f t="shared" si="64"/>
        <v>-28405.91932</v>
      </c>
      <c r="AW49" s="28">
        <f t="shared" si="64"/>
        <v>0</v>
      </c>
      <c r="AX49" s="28">
        <f t="shared" si="64"/>
        <v>0</v>
      </c>
      <c r="AY49" s="28">
        <f t="shared" si="64"/>
        <v>-25644.41682</v>
      </c>
      <c r="AZ49" s="28">
        <f t="shared" si="64"/>
        <v>0</v>
      </c>
      <c r="BA49" s="28">
        <f t="shared" si="64"/>
        <v>0</v>
      </c>
      <c r="BB49" s="28">
        <f t="shared" si="64"/>
        <v>-20121.41182</v>
      </c>
      <c r="BC49" s="28">
        <f t="shared" si="64"/>
        <v>-8748.43992</v>
      </c>
      <c r="BD49" s="28">
        <f t="shared" si="64"/>
        <v>0</v>
      </c>
      <c r="BE49" s="28">
        <f t="shared" si="64"/>
        <v>-28869.85174</v>
      </c>
      <c r="BF49" s="29">
        <f t="shared" si="58"/>
        <v>-111790.0396</v>
      </c>
      <c r="BG49" s="14"/>
      <c r="BH49" s="28">
        <f t="shared" ref="BH49:BS49" si="65">SUM(BH44:BH48)</f>
        <v>0</v>
      </c>
      <c r="BI49" s="28">
        <f t="shared" si="65"/>
        <v>0</v>
      </c>
      <c r="BJ49" s="28">
        <f t="shared" si="65"/>
        <v>-29854.6212</v>
      </c>
      <c r="BK49" s="28">
        <f t="shared" si="65"/>
        <v>0</v>
      </c>
      <c r="BL49" s="28">
        <f t="shared" si="65"/>
        <v>0</v>
      </c>
      <c r="BM49" s="28">
        <f t="shared" si="65"/>
        <v>-26952.28207</v>
      </c>
      <c r="BN49" s="28">
        <f t="shared" si="65"/>
        <v>0</v>
      </c>
      <c r="BO49" s="28">
        <f t="shared" si="65"/>
        <v>0</v>
      </c>
      <c r="BP49" s="28">
        <f t="shared" si="65"/>
        <v>-21147.60382</v>
      </c>
      <c r="BQ49" s="28">
        <f t="shared" si="65"/>
        <v>-9194.610356</v>
      </c>
      <c r="BR49" s="28">
        <f t="shared" si="65"/>
        <v>0</v>
      </c>
      <c r="BS49" s="28">
        <f t="shared" si="65"/>
        <v>-30342.21417</v>
      </c>
      <c r="BT49" s="29">
        <f t="shared" si="59"/>
        <v>-117491.3316</v>
      </c>
      <c r="BU49" s="14"/>
      <c r="BV49" s="28">
        <f t="shared" ref="BV49:CG49" si="66">SUM(BV44:BV48)</f>
        <v>0</v>
      </c>
      <c r="BW49" s="28">
        <f t="shared" si="66"/>
        <v>0</v>
      </c>
      <c r="BX49" s="28">
        <f t="shared" si="66"/>
        <v>-31377.20688</v>
      </c>
      <c r="BY49" s="28">
        <f t="shared" si="66"/>
        <v>0</v>
      </c>
      <c r="BZ49" s="28">
        <f t="shared" si="66"/>
        <v>0</v>
      </c>
      <c r="CA49" s="28">
        <f t="shared" si="66"/>
        <v>-28326.84846</v>
      </c>
      <c r="CB49" s="28">
        <f t="shared" si="66"/>
        <v>0</v>
      </c>
      <c r="CC49" s="28">
        <f t="shared" si="66"/>
        <v>0</v>
      </c>
      <c r="CD49" s="28">
        <f t="shared" si="66"/>
        <v>-22226.13161</v>
      </c>
      <c r="CE49" s="28">
        <f t="shared" si="66"/>
        <v>-9663.535484</v>
      </c>
      <c r="CF49" s="28">
        <f t="shared" si="66"/>
        <v>0</v>
      </c>
      <c r="CG49" s="28">
        <f t="shared" si="66"/>
        <v>-31889.6671</v>
      </c>
      <c r="CH49" s="29">
        <f t="shared" si="60"/>
        <v>-123483.3895</v>
      </c>
      <c r="CI49" s="14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</row>
    <row r="50" ht="4.5" customHeight="1">
      <c r="A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36"/>
      <c r="Q50" s="14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8"/>
      <c r="AE50" s="14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8"/>
      <c r="AS50" s="14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8"/>
      <c r="BG50" s="14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8"/>
      <c r="BU50" s="14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8"/>
      <c r="CI50" s="14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ht="13.5" customHeight="1" outlineLevel="1">
      <c r="A51" s="27"/>
      <c r="B51" s="24" t="str">
        <f>Admin!B12</f>
        <v>Office supplies</v>
      </c>
      <c r="C51" s="24" t="str">
        <f>Admin!C12</f>
        <v>A1</v>
      </c>
      <c r="D51" s="24">
        <f>Admin!D12</f>
        <v>0</v>
      </c>
      <c r="E51" s="24">
        <f>Admin!E12</f>
        <v>0</v>
      </c>
      <c r="F51" s="24">
        <f>Admin!F12</f>
        <v>0</v>
      </c>
      <c r="G51" s="24">
        <f>Admin!G12</f>
        <v>0</v>
      </c>
      <c r="H51" s="24">
        <f>Admin!H12</f>
        <v>0</v>
      </c>
      <c r="I51" s="24">
        <f>Admin!I12</f>
        <v>0</v>
      </c>
      <c r="J51" s="24">
        <f>Admin!J12</f>
        <v>250</v>
      </c>
      <c r="K51" s="24">
        <f>Admin!K12</f>
        <v>0</v>
      </c>
      <c r="L51" s="24">
        <f>Admin!L12</f>
        <v>0</v>
      </c>
      <c r="M51" s="24">
        <f>Admin!M12</f>
        <v>0</v>
      </c>
      <c r="N51" s="24">
        <f>Admin!N12</f>
        <v>0</v>
      </c>
      <c r="O51" s="24">
        <f>Admin!O12</f>
        <v>0</v>
      </c>
      <c r="P51" s="26">
        <f t="shared" ref="P51:P58" si="67">SUM(D51:O51)</f>
        <v>250</v>
      </c>
      <c r="Q51" s="14"/>
      <c r="R51" s="24">
        <f>Admin!R12</f>
        <v>0</v>
      </c>
      <c r="S51" s="24">
        <f>Admin!S12</f>
        <v>0</v>
      </c>
      <c r="T51" s="24">
        <f>Admin!T12</f>
        <v>0</v>
      </c>
      <c r="U51" s="24">
        <f>Admin!U12</f>
        <v>0</v>
      </c>
      <c r="V51" s="24">
        <f>Admin!V12</f>
        <v>0</v>
      </c>
      <c r="W51" s="24">
        <f>Admin!W12</f>
        <v>0</v>
      </c>
      <c r="X51" s="24">
        <f>Admin!X12</f>
        <v>264</v>
      </c>
      <c r="Y51" s="24">
        <f>Admin!Y12</f>
        <v>0</v>
      </c>
      <c r="Z51" s="24">
        <f>Admin!Z12</f>
        <v>0</v>
      </c>
      <c r="AA51" s="24">
        <f>Admin!AA12</f>
        <v>0</v>
      </c>
      <c r="AB51" s="24">
        <f>Admin!AB12</f>
        <v>0</v>
      </c>
      <c r="AC51" s="24">
        <f>Admin!AC12</f>
        <v>0</v>
      </c>
      <c r="AD51" s="26">
        <f t="shared" ref="AD51:AD58" si="68">SUM(R51:AC51)</f>
        <v>264</v>
      </c>
      <c r="AE51" s="14"/>
      <c r="AF51" s="24">
        <f>Admin!AF12</f>
        <v>0</v>
      </c>
      <c r="AG51" s="24">
        <f>Admin!AG12</f>
        <v>0</v>
      </c>
      <c r="AH51" s="24">
        <f>Admin!AH12</f>
        <v>0</v>
      </c>
      <c r="AI51" s="24">
        <f>Admin!AI12</f>
        <v>0</v>
      </c>
      <c r="AJ51" s="24">
        <f>Admin!AJ12</f>
        <v>0</v>
      </c>
      <c r="AK51" s="24">
        <f>Admin!AK12</f>
        <v>0</v>
      </c>
      <c r="AL51" s="24">
        <f>Admin!AL12</f>
        <v>277.464</v>
      </c>
      <c r="AM51" s="24">
        <f>Admin!AM12</f>
        <v>0</v>
      </c>
      <c r="AN51" s="24">
        <f>Admin!AN12</f>
        <v>0</v>
      </c>
      <c r="AO51" s="24">
        <f>Admin!AO12</f>
        <v>0</v>
      </c>
      <c r="AP51" s="24">
        <f>Admin!AP12</f>
        <v>0</v>
      </c>
      <c r="AQ51" s="24">
        <f>Admin!AQ12</f>
        <v>0</v>
      </c>
      <c r="AR51" s="26">
        <f t="shared" ref="AR51:AR58" si="69">SUM(AF51:AQ51)</f>
        <v>277.464</v>
      </c>
      <c r="AS51" s="14"/>
      <c r="AT51" s="24">
        <f>Admin!AT12</f>
        <v>0</v>
      </c>
      <c r="AU51" s="24">
        <f>Admin!AU12</f>
        <v>0</v>
      </c>
      <c r="AV51" s="24">
        <f>Admin!AV12</f>
        <v>0</v>
      </c>
      <c r="AW51" s="24">
        <f>Admin!AW12</f>
        <v>0</v>
      </c>
      <c r="AX51" s="24">
        <f>Admin!AX12</f>
        <v>0</v>
      </c>
      <c r="AY51" s="24">
        <f>Admin!AY12</f>
        <v>0</v>
      </c>
      <c r="AZ51" s="24">
        <f>Admin!AZ12</f>
        <v>291.614664</v>
      </c>
      <c r="BA51" s="24">
        <f>Admin!BA12</f>
        <v>0</v>
      </c>
      <c r="BB51" s="24">
        <f>Admin!BB12</f>
        <v>0</v>
      </c>
      <c r="BC51" s="24">
        <f>Admin!BC12</f>
        <v>0</v>
      </c>
      <c r="BD51" s="24">
        <f>Admin!BD12</f>
        <v>0</v>
      </c>
      <c r="BE51" s="24">
        <f>Admin!BE12</f>
        <v>0</v>
      </c>
      <c r="BF51" s="26">
        <f t="shared" ref="BF51:BF58" si="70">SUM(AT51:BE51)</f>
        <v>291.614664</v>
      </c>
      <c r="BG51" s="14"/>
      <c r="BH51" s="24">
        <f>Admin!BH12</f>
        <v>0</v>
      </c>
      <c r="BI51" s="24">
        <f>Admin!BI12</f>
        <v>0</v>
      </c>
      <c r="BJ51" s="24">
        <f>Admin!BJ12</f>
        <v>0</v>
      </c>
      <c r="BK51" s="24">
        <f>Admin!BK12</f>
        <v>0</v>
      </c>
      <c r="BL51" s="24">
        <f>Admin!BL12</f>
        <v>0</v>
      </c>
      <c r="BM51" s="24">
        <f>Admin!BM12</f>
        <v>0</v>
      </c>
      <c r="BN51" s="24">
        <f>Admin!BN12</f>
        <v>306.4870119</v>
      </c>
      <c r="BO51" s="24">
        <f>Admin!BO12</f>
        <v>0</v>
      </c>
      <c r="BP51" s="24">
        <f>Admin!BP12</f>
        <v>0</v>
      </c>
      <c r="BQ51" s="24">
        <f>Admin!BQ12</f>
        <v>0</v>
      </c>
      <c r="BR51" s="24">
        <f>Admin!BR12</f>
        <v>0</v>
      </c>
      <c r="BS51" s="24">
        <f>Admin!BS12</f>
        <v>0</v>
      </c>
      <c r="BT51" s="26">
        <f t="shared" ref="BT51:BT58" si="71">SUM(BH51:BS51)</f>
        <v>306.4870119</v>
      </c>
      <c r="BU51" s="14"/>
      <c r="BV51" s="24">
        <f>Admin!BV12</f>
        <v>0</v>
      </c>
      <c r="BW51" s="24">
        <f>Admin!BW12</f>
        <v>0</v>
      </c>
      <c r="BX51" s="24">
        <f>Admin!BX12</f>
        <v>0</v>
      </c>
      <c r="BY51" s="24">
        <f>Admin!BY12</f>
        <v>0</v>
      </c>
      <c r="BZ51" s="24">
        <f>Admin!BZ12</f>
        <v>0</v>
      </c>
      <c r="CA51" s="24">
        <f>Admin!CA12</f>
        <v>0</v>
      </c>
      <c r="CB51" s="24">
        <f>Admin!CB12</f>
        <v>322.1178495</v>
      </c>
      <c r="CC51" s="24">
        <f>Admin!CC12</f>
        <v>0</v>
      </c>
      <c r="CD51" s="24">
        <f>Admin!CD12</f>
        <v>0</v>
      </c>
      <c r="CE51" s="24">
        <f>Admin!CE12</f>
        <v>0</v>
      </c>
      <c r="CF51" s="24">
        <f>Admin!CF12</f>
        <v>0</v>
      </c>
      <c r="CG51" s="24">
        <f>Admin!CG12</f>
        <v>0</v>
      </c>
      <c r="CH51" s="26">
        <f t="shared" ref="CH51:CH58" si="72">SUM(BV51:CG51)</f>
        <v>322.1178495</v>
      </c>
      <c r="CI51" s="14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</row>
    <row r="52" ht="13.5" customHeight="1" outlineLevel="1">
      <c r="A52" s="27"/>
      <c r="B52" s="24" t="str">
        <f>Admin!B13</f>
        <v>Office &amp; Tech equipment</v>
      </c>
      <c r="C52" s="24" t="str">
        <f>Admin!C13</f>
        <v>A2</v>
      </c>
      <c r="D52" s="24">
        <f>Admin!D13</f>
        <v>0</v>
      </c>
      <c r="E52" s="24">
        <f>Admin!E13</f>
        <v>0</v>
      </c>
      <c r="F52" s="24">
        <f>Admin!F13</f>
        <v>0</v>
      </c>
      <c r="G52" s="24">
        <f>Admin!G13</f>
        <v>0</v>
      </c>
      <c r="H52" s="24">
        <f>Admin!H13</f>
        <v>0</v>
      </c>
      <c r="I52" s="24">
        <f>Admin!I13</f>
        <v>0</v>
      </c>
      <c r="J52" s="24">
        <f>Admin!J13</f>
        <v>10000</v>
      </c>
      <c r="K52" s="24">
        <f>Admin!K13</f>
        <v>0</v>
      </c>
      <c r="L52" s="24">
        <f>Admin!L13</f>
        <v>0</v>
      </c>
      <c r="M52" s="24">
        <f>Admin!M13</f>
        <v>0</v>
      </c>
      <c r="N52" s="24">
        <f>Admin!N13</f>
        <v>0</v>
      </c>
      <c r="O52" s="24">
        <f>Admin!O13</f>
        <v>0</v>
      </c>
      <c r="P52" s="26">
        <f t="shared" si="67"/>
        <v>10000</v>
      </c>
      <c r="Q52" s="14"/>
      <c r="R52" s="24">
        <f>Admin!R13</f>
        <v>0</v>
      </c>
      <c r="S52" s="24">
        <f>Admin!S13</f>
        <v>5000</v>
      </c>
      <c r="T52" s="24">
        <f>Admin!T13</f>
        <v>0</v>
      </c>
      <c r="U52" s="24">
        <f>Admin!U13</f>
        <v>0</v>
      </c>
      <c r="V52" s="24">
        <f>Admin!V13</f>
        <v>0</v>
      </c>
      <c r="W52" s="24">
        <f>Admin!W13</f>
        <v>0</v>
      </c>
      <c r="X52" s="24">
        <f>Admin!X13</f>
        <v>10560</v>
      </c>
      <c r="Y52" s="24">
        <f>Admin!Y13</f>
        <v>0</v>
      </c>
      <c r="Z52" s="24">
        <f>Admin!Z13</f>
        <v>0</v>
      </c>
      <c r="AA52" s="24">
        <f>Admin!AA13</f>
        <v>0</v>
      </c>
      <c r="AB52" s="24">
        <f>Admin!AB13</f>
        <v>0</v>
      </c>
      <c r="AC52" s="24">
        <f>Admin!AC13</f>
        <v>0</v>
      </c>
      <c r="AD52" s="26">
        <f t="shared" si="68"/>
        <v>15560</v>
      </c>
      <c r="AE52" s="14"/>
      <c r="AF52" s="24">
        <f>Admin!AF13</f>
        <v>0</v>
      </c>
      <c r="AG52" s="24">
        <f>Admin!AG13</f>
        <v>5255</v>
      </c>
      <c r="AH52" s="24">
        <f>Admin!AH13</f>
        <v>0</v>
      </c>
      <c r="AI52" s="24">
        <f>Admin!AI13</f>
        <v>0</v>
      </c>
      <c r="AJ52" s="24">
        <f>Admin!AJ13</f>
        <v>0</v>
      </c>
      <c r="AK52" s="24">
        <f>Admin!AK13</f>
        <v>0</v>
      </c>
      <c r="AL52" s="24">
        <f>Admin!AL13</f>
        <v>11098.56</v>
      </c>
      <c r="AM52" s="24">
        <f>Admin!AM13</f>
        <v>0</v>
      </c>
      <c r="AN52" s="24">
        <f>Admin!AN13</f>
        <v>0</v>
      </c>
      <c r="AO52" s="24">
        <f>Admin!AO13</f>
        <v>0</v>
      </c>
      <c r="AP52" s="24">
        <f>Admin!AP13</f>
        <v>0</v>
      </c>
      <c r="AQ52" s="24">
        <f>Admin!AQ13</f>
        <v>0</v>
      </c>
      <c r="AR52" s="26">
        <f t="shared" si="69"/>
        <v>16353.56</v>
      </c>
      <c r="AS52" s="14"/>
      <c r="AT52" s="24">
        <f>Admin!AT13</f>
        <v>0</v>
      </c>
      <c r="AU52" s="24">
        <f>Admin!AU13</f>
        <v>5523.005</v>
      </c>
      <c r="AV52" s="24">
        <f>Admin!AV13</f>
        <v>0</v>
      </c>
      <c r="AW52" s="24">
        <f>Admin!AW13</f>
        <v>0</v>
      </c>
      <c r="AX52" s="24">
        <f>Admin!AX13</f>
        <v>0</v>
      </c>
      <c r="AY52" s="24">
        <f>Admin!AY13</f>
        <v>0</v>
      </c>
      <c r="AZ52" s="24">
        <f>Admin!AZ13</f>
        <v>11664.58656</v>
      </c>
      <c r="BA52" s="24">
        <f>Admin!BA13</f>
        <v>0</v>
      </c>
      <c r="BB52" s="24">
        <f>Admin!BB13</f>
        <v>0</v>
      </c>
      <c r="BC52" s="24">
        <f>Admin!BC13</f>
        <v>0</v>
      </c>
      <c r="BD52" s="24">
        <f>Admin!BD13</f>
        <v>0</v>
      </c>
      <c r="BE52" s="24">
        <f>Admin!BE13</f>
        <v>0</v>
      </c>
      <c r="BF52" s="26">
        <f t="shared" si="70"/>
        <v>17187.59156</v>
      </c>
      <c r="BG52" s="14"/>
      <c r="BH52" s="24">
        <f>Admin!BH13</f>
        <v>0</v>
      </c>
      <c r="BI52" s="24">
        <f>Admin!BI13</f>
        <v>5804.678255</v>
      </c>
      <c r="BJ52" s="24">
        <f>Admin!BJ13</f>
        <v>0</v>
      </c>
      <c r="BK52" s="24">
        <f>Admin!BK13</f>
        <v>0</v>
      </c>
      <c r="BL52" s="24">
        <f>Admin!BL13</f>
        <v>0</v>
      </c>
      <c r="BM52" s="24">
        <f>Admin!BM13</f>
        <v>0</v>
      </c>
      <c r="BN52" s="24">
        <f>Admin!BN13</f>
        <v>12259.48047</v>
      </c>
      <c r="BO52" s="24">
        <f>Admin!BO13</f>
        <v>0</v>
      </c>
      <c r="BP52" s="24">
        <f>Admin!BP13</f>
        <v>0</v>
      </c>
      <c r="BQ52" s="24">
        <f>Admin!BQ13</f>
        <v>0</v>
      </c>
      <c r="BR52" s="24">
        <f>Admin!BR13</f>
        <v>0</v>
      </c>
      <c r="BS52" s="24">
        <f>Admin!BS13</f>
        <v>0</v>
      </c>
      <c r="BT52" s="26">
        <f t="shared" si="71"/>
        <v>18064.15873</v>
      </c>
      <c r="BU52" s="14"/>
      <c r="BV52" s="24">
        <f>Admin!BV13</f>
        <v>0</v>
      </c>
      <c r="BW52" s="24">
        <f>Admin!BW13</f>
        <v>6100.716846</v>
      </c>
      <c r="BX52" s="24">
        <f>Admin!BX13</f>
        <v>0</v>
      </c>
      <c r="BY52" s="24">
        <f>Admin!BY13</f>
        <v>0</v>
      </c>
      <c r="BZ52" s="24">
        <f>Admin!BZ13</f>
        <v>0</v>
      </c>
      <c r="CA52" s="24">
        <f>Admin!CA13</f>
        <v>0</v>
      </c>
      <c r="CB52" s="24">
        <f>Admin!CB13</f>
        <v>12884.71398</v>
      </c>
      <c r="CC52" s="24">
        <f>Admin!CC13</f>
        <v>0</v>
      </c>
      <c r="CD52" s="24">
        <f>Admin!CD13</f>
        <v>0</v>
      </c>
      <c r="CE52" s="24">
        <f>Admin!CE13</f>
        <v>0</v>
      </c>
      <c r="CF52" s="24">
        <f>Admin!CF13</f>
        <v>0</v>
      </c>
      <c r="CG52" s="24">
        <f>Admin!CG13</f>
        <v>0</v>
      </c>
      <c r="CH52" s="26">
        <f t="shared" si="72"/>
        <v>18985.43082</v>
      </c>
      <c r="CI52" s="14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</row>
    <row r="53" ht="13.5" customHeight="1" outlineLevel="1">
      <c r="A53" s="27"/>
      <c r="B53" s="24" t="str">
        <f>Admin!B14</f>
        <v>Internet &amp; Phone</v>
      </c>
      <c r="C53" s="24" t="str">
        <f>Admin!C14</f>
        <v>A3</v>
      </c>
      <c r="D53" s="24">
        <f>Admin!D14</f>
        <v>0</v>
      </c>
      <c r="E53" s="24">
        <f>Admin!E14</f>
        <v>0</v>
      </c>
      <c r="F53" s="24">
        <f>Admin!F14</f>
        <v>0</v>
      </c>
      <c r="G53" s="24">
        <f>Admin!G14</f>
        <v>0</v>
      </c>
      <c r="H53" s="24">
        <f>Admin!H14</f>
        <v>0</v>
      </c>
      <c r="I53" s="24">
        <f>Admin!I14</f>
        <v>0</v>
      </c>
      <c r="J53" s="24">
        <f>Admin!J14</f>
        <v>150</v>
      </c>
      <c r="K53" s="24">
        <f>Admin!K14</f>
        <v>150</v>
      </c>
      <c r="L53" s="24">
        <f>Admin!L14</f>
        <v>150</v>
      </c>
      <c r="M53" s="24">
        <f>Admin!M14</f>
        <v>150</v>
      </c>
      <c r="N53" s="24">
        <f>Admin!N14</f>
        <v>150</v>
      </c>
      <c r="O53" s="24">
        <f>Admin!O14</f>
        <v>150</v>
      </c>
      <c r="P53" s="26">
        <f t="shared" si="67"/>
        <v>900</v>
      </c>
      <c r="Q53" s="14"/>
      <c r="R53" s="24">
        <f>Admin!R14</f>
        <v>158.4</v>
      </c>
      <c r="S53" s="24">
        <f>Admin!S14</f>
        <v>158.4</v>
      </c>
      <c r="T53" s="24">
        <f>Admin!T14</f>
        <v>158.4</v>
      </c>
      <c r="U53" s="24">
        <f>Admin!U14</f>
        <v>158.4</v>
      </c>
      <c r="V53" s="24">
        <f>Admin!V14</f>
        <v>158.4</v>
      </c>
      <c r="W53" s="24">
        <f>Admin!W14</f>
        <v>158.4</v>
      </c>
      <c r="X53" s="24">
        <f>Admin!X14</f>
        <v>158.4</v>
      </c>
      <c r="Y53" s="24">
        <f>Admin!Y14</f>
        <v>158.4</v>
      </c>
      <c r="Z53" s="24">
        <f>Admin!Z14</f>
        <v>158.4</v>
      </c>
      <c r="AA53" s="24">
        <f>Admin!AA14</f>
        <v>158.4</v>
      </c>
      <c r="AB53" s="24">
        <f>Admin!AB14</f>
        <v>158.4</v>
      </c>
      <c r="AC53" s="24">
        <f>Admin!AC14</f>
        <v>158.4</v>
      </c>
      <c r="AD53" s="26">
        <f t="shared" si="68"/>
        <v>1900.8</v>
      </c>
      <c r="AE53" s="14"/>
      <c r="AF53" s="24">
        <f>Admin!AF14</f>
        <v>166.4784</v>
      </c>
      <c r="AG53" s="24">
        <f>Admin!AG14</f>
        <v>166.4784</v>
      </c>
      <c r="AH53" s="24">
        <f>Admin!AH14</f>
        <v>166.4784</v>
      </c>
      <c r="AI53" s="24">
        <f>Admin!AI14</f>
        <v>166.4784</v>
      </c>
      <c r="AJ53" s="24">
        <f>Admin!AJ14</f>
        <v>166.4784</v>
      </c>
      <c r="AK53" s="24">
        <f>Admin!AK14</f>
        <v>166.4784</v>
      </c>
      <c r="AL53" s="24">
        <f>Admin!AL14</f>
        <v>166.4784</v>
      </c>
      <c r="AM53" s="24">
        <f>Admin!AM14</f>
        <v>166.4784</v>
      </c>
      <c r="AN53" s="24">
        <f>Admin!AN14</f>
        <v>166.4784</v>
      </c>
      <c r="AO53" s="24">
        <f>Admin!AO14</f>
        <v>166.4784</v>
      </c>
      <c r="AP53" s="24">
        <f>Admin!AP14</f>
        <v>166.4784</v>
      </c>
      <c r="AQ53" s="24">
        <f>Admin!AQ14</f>
        <v>166.4784</v>
      </c>
      <c r="AR53" s="26">
        <f t="shared" si="69"/>
        <v>1997.7408</v>
      </c>
      <c r="AS53" s="14"/>
      <c r="AT53" s="24">
        <f>Admin!AT14</f>
        <v>174.9687984</v>
      </c>
      <c r="AU53" s="24">
        <f>Admin!AU14</f>
        <v>174.9687984</v>
      </c>
      <c r="AV53" s="24">
        <f>Admin!AV14</f>
        <v>174.9687984</v>
      </c>
      <c r="AW53" s="24">
        <f>Admin!AW14</f>
        <v>174.9687984</v>
      </c>
      <c r="AX53" s="24">
        <f>Admin!AX14</f>
        <v>174.9687984</v>
      </c>
      <c r="AY53" s="24">
        <f>Admin!AY14</f>
        <v>174.9687984</v>
      </c>
      <c r="AZ53" s="24">
        <f>Admin!AZ14</f>
        <v>174.9687984</v>
      </c>
      <c r="BA53" s="24">
        <f>Admin!BA14</f>
        <v>174.9687984</v>
      </c>
      <c r="BB53" s="24">
        <f>Admin!BB14</f>
        <v>174.9687984</v>
      </c>
      <c r="BC53" s="24">
        <f>Admin!BC14</f>
        <v>174.9687984</v>
      </c>
      <c r="BD53" s="24">
        <f>Admin!BD14</f>
        <v>174.9687984</v>
      </c>
      <c r="BE53" s="24">
        <f>Admin!BE14</f>
        <v>174.9687984</v>
      </c>
      <c r="BF53" s="26">
        <f t="shared" si="70"/>
        <v>2099.625581</v>
      </c>
      <c r="BG53" s="14"/>
      <c r="BH53" s="24">
        <f>Admin!BH14</f>
        <v>183.8922071</v>
      </c>
      <c r="BI53" s="24">
        <f>Admin!BI14</f>
        <v>183.8922071</v>
      </c>
      <c r="BJ53" s="24">
        <f>Admin!BJ14</f>
        <v>183.8922071</v>
      </c>
      <c r="BK53" s="24">
        <f>Admin!BK14</f>
        <v>183.8922071</v>
      </c>
      <c r="BL53" s="24">
        <f>Admin!BL14</f>
        <v>183.8922071</v>
      </c>
      <c r="BM53" s="24">
        <f>Admin!BM14</f>
        <v>183.8922071</v>
      </c>
      <c r="BN53" s="24">
        <f>Admin!BN14</f>
        <v>183.8922071</v>
      </c>
      <c r="BO53" s="24">
        <f>Admin!BO14</f>
        <v>183.8922071</v>
      </c>
      <c r="BP53" s="24">
        <f>Admin!BP14</f>
        <v>183.8922071</v>
      </c>
      <c r="BQ53" s="24">
        <f>Admin!BQ14</f>
        <v>183.8922071</v>
      </c>
      <c r="BR53" s="24">
        <f>Admin!BR14</f>
        <v>183.8922071</v>
      </c>
      <c r="BS53" s="24">
        <f>Admin!BS14</f>
        <v>183.8922071</v>
      </c>
      <c r="BT53" s="26">
        <f t="shared" si="71"/>
        <v>2206.706485</v>
      </c>
      <c r="BU53" s="14"/>
      <c r="BV53" s="24">
        <f>Admin!BV14</f>
        <v>193.2707097</v>
      </c>
      <c r="BW53" s="24">
        <f>Admin!BW14</f>
        <v>193.2707097</v>
      </c>
      <c r="BX53" s="24">
        <f>Admin!BX14</f>
        <v>193.2707097</v>
      </c>
      <c r="BY53" s="24">
        <f>Admin!BY14</f>
        <v>193.2707097</v>
      </c>
      <c r="BZ53" s="24">
        <f>Admin!BZ14</f>
        <v>193.2707097</v>
      </c>
      <c r="CA53" s="24">
        <f>Admin!CA14</f>
        <v>193.2707097</v>
      </c>
      <c r="CB53" s="24">
        <f>Admin!CB14</f>
        <v>193.2707097</v>
      </c>
      <c r="CC53" s="24">
        <f>Admin!CC14</f>
        <v>193.2707097</v>
      </c>
      <c r="CD53" s="24">
        <f>Admin!CD14</f>
        <v>193.2707097</v>
      </c>
      <c r="CE53" s="24">
        <f>Admin!CE14</f>
        <v>193.2707097</v>
      </c>
      <c r="CF53" s="24">
        <f>Admin!CF14</f>
        <v>193.2707097</v>
      </c>
      <c r="CG53" s="24">
        <f>Admin!CG14</f>
        <v>193.2707097</v>
      </c>
      <c r="CH53" s="26">
        <f t="shared" si="72"/>
        <v>2319.248516</v>
      </c>
      <c r="CI53" s="14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</row>
    <row r="54" ht="13.5" customHeight="1" outlineLevel="1">
      <c r="A54" s="27"/>
      <c r="B54" s="24" t="str">
        <f>Admin!B15</f>
        <v>bank fees</v>
      </c>
      <c r="C54" s="24" t="str">
        <f>Admin!C15</f>
        <v>A4</v>
      </c>
      <c r="D54" s="24">
        <f>Admin!D15</f>
        <v>0</v>
      </c>
      <c r="E54" s="24">
        <f>Admin!E15</f>
        <v>0</v>
      </c>
      <c r="F54" s="24">
        <f>Admin!F15</f>
        <v>0</v>
      </c>
      <c r="G54" s="24">
        <f>Admin!G15</f>
        <v>0</v>
      </c>
      <c r="H54" s="24">
        <f>Admin!H15</f>
        <v>0</v>
      </c>
      <c r="I54" s="24">
        <f>Admin!I15</f>
        <v>0</v>
      </c>
      <c r="J54" s="24">
        <f>Admin!J15</f>
        <v>0</v>
      </c>
      <c r="K54" s="24">
        <f>Admin!K15</f>
        <v>0</v>
      </c>
      <c r="L54" s="24">
        <f>Admin!L15</f>
        <v>0</v>
      </c>
      <c r="M54" s="24">
        <f>Admin!M15</f>
        <v>0</v>
      </c>
      <c r="N54" s="24">
        <f>Admin!N15</f>
        <v>0</v>
      </c>
      <c r="O54" s="24">
        <f>Admin!O15</f>
        <v>0</v>
      </c>
      <c r="P54" s="26">
        <f t="shared" si="67"/>
        <v>0</v>
      </c>
      <c r="Q54" s="14"/>
      <c r="R54" s="24">
        <f>Admin!R15</f>
        <v>0</v>
      </c>
      <c r="S54" s="24">
        <f>Admin!S15</f>
        <v>0</v>
      </c>
      <c r="T54" s="24">
        <f>Admin!T15</f>
        <v>0</v>
      </c>
      <c r="U54" s="24">
        <f>Admin!U15</f>
        <v>0</v>
      </c>
      <c r="V54" s="24">
        <f>Admin!V15</f>
        <v>0</v>
      </c>
      <c r="W54" s="24">
        <f>Admin!W15</f>
        <v>0</v>
      </c>
      <c r="X54" s="24">
        <f>Admin!X15</f>
        <v>0</v>
      </c>
      <c r="Y54" s="24">
        <f>Admin!Y15</f>
        <v>0</v>
      </c>
      <c r="Z54" s="24">
        <f>Admin!Z15</f>
        <v>0</v>
      </c>
      <c r="AA54" s="24">
        <f>Admin!AA15</f>
        <v>0</v>
      </c>
      <c r="AB54" s="24">
        <f>Admin!AB15</f>
        <v>0</v>
      </c>
      <c r="AC54" s="24">
        <f>Admin!AC15</f>
        <v>0</v>
      </c>
      <c r="AD54" s="26">
        <f t="shared" si="68"/>
        <v>0</v>
      </c>
      <c r="AE54" s="14"/>
      <c r="AF54" s="24">
        <f>Admin!AF15</f>
        <v>0</v>
      </c>
      <c r="AG54" s="24">
        <f>Admin!AG15</f>
        <v>0</v>
      </c>
      <c r="AH54" s="24">
        <f>Admin!AH15</f>
        <v>0</v>
      </c>
      <c r="AI54" s="24">
        <f>Admin!AI15</f>
        <v>0</v>
      </c>
      <c r="AJ54" s="24">
        <f>Admin!AJ15</f>
        <v>0</v>
      </c>
      <c r="AK54" s="24">
        <f>Admin!AK15</f>
        <v>0</v>
      </c>
      <c r="AL54" s="24">
        <f>Admin!AL15</f>
        <v>0</v>
      </c>
      <c r="AM54" s="24">
        <f>Admin!AM15</f>
        <v>0</v>
      </c>
      <c r="AN54" s="24">
        <f>Admin!AN15</f>
        <v>0</v>
      </c>
      <c r="AO54" s="24">
        <f>Admin!AO15</f>
        <v>0</v>
      </c>
      <c r="AP54" s="24">
        <f>Admin!AP15</f>
        <v>0</v>
      </c>
      <c r="AQ54" s="24">
        <f>Admin!AQ15</f>
        <v>0</v>
      </c>
      <c r="AR54" s="26">
        <f t="shared" si="69"/>
        <v>0</v>
      </c>
      <c r="AS54" s="14"/>
      <c r="AT54" s="24">
        <f>Admin!AT15</f>
        <v>0</v>
      </c>
      <c r="AU54" s="24">
        <f>Admin!AU15</f>
        <v>0</v>
      </c>
      <c r="AV54" s="24">
        <f>Admin!AV15</f>
        <v>0</v>
      </c>
      <c r="AW54" s="24">
        <f>Admin!AW15</f>
        <v>0</v>
      </c>
      <c r="AX54" s="24">
        <f>Admin!AX15</f>
        <v>0</v>
      </c>
      <c r="AY54" s="24">
        <f>Admin!AY15</f>
        <v>0</v>
      </c>
      <c r="AZ54" s="24">
        <f>Admin!AZ15</f>
        <v>0</v>
      </c>
      <c r="BA54" s="24">
        <f>Admin!BA15</f>
        <v>0</v>
      </c>
      <c r="BB54" s="24">
        <f>Admin!BB15</f>
        <v>0</v>
      </c>
      <c r="BC54" s="24">
        <f>Admin!BC15</f>
        <v>0</v>
      </c>
      <c r="BD54" s="24">
        <f>Admin!BD15</f>
        <v>0</v>
      </c>
      <c r="BE54" s="24">
        <f>Admin!BE15</f>
        <v>0</v>
      </c>
      <c r="BF54" s="26">
        <f t="shared" si="70"/>
        <v>0</v>
      </c>
      <c r="BG54" s="14"/>
      <c r="BH54" s="24">
        <f>Admin!BH15</f>
        <v>0</v>
      </c>
      <c r="BI54" s="24">
        <f>Admin!BI15</f>
        <v>0</v>
      </c>
      <c r="BJ54" s="24">
        <f>Admin!BJ15</f>
        <v>0</v>
      </c>
      <c r="BK54" s="24">
        <f>Admin!BK15</f>
        <v>0</v>
      </c>
      <c r="BL54" s="24">
        <f>Admin!BL15</f>
        <v>0</v>
      </c>
      <c r="BM54" s="24">
        <f>Admin!BM15</f>
        <v>0</v>
      </c>
      <c r="BN54" s="24">
        <f>Admin!BN15</f>
        <v>0</v>
      </c>
      <c r="BO54" s="24">
        <f>Admin!BO15</f>
        <v>0</v>
      </c>
      <c r="BP54" s="24">
        <f>Admin!BP15</f>
        <v>0</v>
      </c>
      <c r="BQ54" s="24">
        <f>Admin!BQ15</f>
        <v>0</v>
      </c>
      <c r="BR54" s="24">
        <f>Admin!BR15</f>
        <v>0</v>
      </c>
      <c r="BS54" s="24">
        <f>Admin!BS15</f>
        <v>0</v>
      </c>
      <c r="BT54" s="26">
        <f t="shared" si="71"/>
        <v>0</v>
      </c>
      <c r="BU54" s="14"/>
      <c r="BV54" s="24">
        <f>Admin!BV15</f>
        <v>0</v>
      </c>
      <c r="BW54" s="24">
        <f>Admin!BW15</f>
        <v>0</v>
      </c>
      <c r="BX54" s="24">
        <f>Admin!BX15</f>
        <v>0</v>
      </c>
      <c r="BY54" s="24">
        <f>Admin!BY15</f>
        <v>0</v>
      </c>
      <c r="BZ54" s="24">
        <f>Admin!BZ15</f>
        <v>0</v>
      </c>
      <c r="CA54" s="24">
        <f>Admin!CA15</f>
        <v>0</v>
      </c>
      <c r="CB54" s="24">
        <f>Admin!CB15</f>
        <v>0</v>
      </c>
      <c r="CC54" s="24">
        <f>Admin!CC15</f>
        <v>0</v>
      </c>
      <c r="CD54" s="24">
        <f>Admin!CD15</f>
        <v>0</v>
      </c>
      <c r="CE54" s="24">
        <f>Admin!CE15</f>
        <v>0</v>
      </c>
      <c r="CF54" s="24">
        <f>Admin!CF15</f>
        <v>0</v>
      </c>
      <c r="CG54" s="24">
        <f>Admin!CG15</f>
        <v>0</v>
      </c>
      <c r="CH54" s="26">
        <f t="shared" si="72"/>
        <v>0</v>
      </c>
      <c r="CI54" s="14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</row>
    <row r="55" ht="13.5" customHeight="1" outlineLevel="1">
      <c r="A55" s="27"/>
      <c r="B55" s="24" t="str">
        <f>Admin!B16</f>
        <v>intrest costs</v>
      </c>
      <c r="C55" s="24" t="str">
        <f>Admin!C16</f>
        <v>A5</v>
      </c>
      <c r="D55" s="24">
        <f>Admin!D16</f>
        <v>0</v>
      </c>
      <c r="E55" s="24">
        <f>Admin!E16</f>
        <v>0</v>
      </c>
      <c r="F55" s="24">
        <f>Admin!F16</f>
        <v>0</v>
      </c>
      <c r="G55" s="24">
        <f>Admin!G16</f>
        <v>0</v>
      </c>
      <c r="H55" s="24">
        <f>Admin!H16</f>
        <v>0</v>
      </c>
      <c r="I55" s="24">
        <f>Admin!I16</f>
        <v>0</v>
      </c>
      <c r="J55" s="24">
        <f>Admin!J16</f>
        <v>0</v>
      </c>
      <c r="K55" s="24">
        <f>Admin!K16</f>
        <v>0</v>
      </c>
      <c r="L55" s="24">
        <f>Admin!L16</f>
        <v>0</v>
      </c>
      <c r="M55" s="24">
        <f>Admin!M16</f>
        <v>0</v>
      </c>
      <c r="N55" s="24">
        <f>Admin!N16</f>
        <v>0</v>
      </c>
      <c r="O55" s="24">
        <f>Admin!O16</f>
        <v>0</v>
      </c>
      <c r="P55" s="26">
        <f t="shared" si="67"/>
        <v>0</v>
      </c>
      <c r="Q55" s="14"/>
      <c r="R55" s="24">
        <f>Admin!R16</f>
        <v>0</v>
      </c>
      <c r="S55" s="24">
        <f>Admin!S16</f>
        <v>0</v>
      </c>
      <c r="T55" s="24">
        <f>Admin!T16</f>
        <v>0</v>
      </c>
      <c r="U55" s="24">
        <f>Admin!U16</f>
        <v>0</v>
      </c>
      <c r="V55" s="24">
        <f>Admin!V16</f>
        <v>0</v>
      </c>
      <c r="W55" s="24">
        <f>Admin!W16</f>
        <v>0</v>
      </c>
      <c r="X55" s="24">
        <f>Admin!X16</f>
        <v>0</v>
      </c>
      <c r="Y55" s="24">
        <f>Admin!Y16</f>
        <v>0</v>
      </c>
      <c r="Z55" s="24">
        <f>Admin!Z16</f>
        <v>0</v>
      </c>
      <c r="AA55" s="24">
        <f>Admin!AA16</f>
        <v>0</v>
      </c>
      <c r="AB55" s="24">
        <f>Admin!AB16</f>
        <v>0</v>
      </c>
      <c r="AC55" s="24">
        <f>Admin!AC16</f>
        <v>0</v>
      </c>
      <c r="AD55" s="26">
        <f t="shared" si="68"/>
        <v>0</v>
      </c>
      <c r="AE55" s="14"/>
      <c r="AF55" s="24">
        <f>Admin!AF16</f>
        <v>0</v>
      </c>
      <c r="AG55" s="24">
        <f>Admin!AG16</f>
        <v>0</v>
      </c>
      <c r="AH55" s="24">
        <f>Admin!AH16</f>
        <v>0</v>
      </c>
      <c r="AI55" s="24">
        <f>Admin!AI16</f>
        <v>0</v>
      </c>
      <c r="AJ55" s="24">
        <f>Admin!AJ16</f>
        <v>0</v>
      </c>
      <c r="AK55" s="24">
        <f>Admin!AK16</f>
        <v>0</v>
      </c>
      <c r="AL55" s="24">
        <f>Admin!AL16</f>
        <v>0</v>
      </c>
      <c r="AM55" s="24">
        <f>Admin!AM16</f>
        <v>0</v>
      </c>
      <c r="AN55" s="24">
        <f>Admin!AN16</f>
        <v>0</v>
      </c>
      <c r="AO55" s="24">
        <f>Admin!AO16</f>
        <v>0</v>
      </c>
      <c r="AP55" s="24">
        <f>Admin!AP16</f>
        <v>0</v>
      </c>
      <c r="AQ55" s="24">
        <f>Admin!AQ16</f>
        <v>0</v>
      </c>
      <c r="AR55" s="26">
        <f t="shared" si="69"/>
        <v>0</v>
      </c>
      <c r="AS55" s="14"/>
      <c r="AT55" s="24">
        <f>Admin!AT16</f>
        <v>0</v>
      </c>
      <c r="AU55" s="24">
        <f>Admin!AU16</f>
        <v>0</v>
      </c>
      <c r="AV55" s="24">
        <f>Admin!AV16</f>
        <v>0</v>
      </c>
      <c r="AW55" s="24">
        <f>Admin!AW16</f>
        <v>0</v>
      </c>
      <c r="AX55" s="24">
        <f>Admin!AX16</f>
        <v>0</v>
      </c>
      <c r="AY55" s="24">
        <f>Admin!AY16</f>
        <v>0</v>
      </c>
      <c r="AZ55" s="24">
        <f>Admin!AZ16</f>
        <v>0</v>
      </c>
      <c r="BA55" s="24">
        <f>Admin!BA16</f>
        <v>0</v>
      </c>
      <c r="BB55" s="24">
        <f>Admin!BB16</f>
        <v>0</v>
      </c>
      <c r="BC55" s="24">
        <f>Admin!BC16</f>
        <v>0</v>
      </c>
      <c r="BD55" s="24">
        <f>Admin!BD16</f>
        <v>0</v>
      </c>
      <c r="BE55" s="24">
        <f>Admin!BE16</f>
        <v>0</v>
      </c>
      <c r="BF55" s="26">
        <f t="shared" si="70"/>
        <v>0</v>
      </c>
      <c r="BG55" s="14"/>
      <c r="BH55" s="24">
        <f>Admin!BH16</f>
        <v>0</v>
      </c>
      <c r="BI55" s="24">
        <f>Admin!BI16</f>
        <v>0</v>
      </c>
      <c r="BJ55" s="24">
        <f>Admin!BJ16</f>
        <v>0</v>
      </c>
      <c r="BK55" s="24">
        <f>Admin!BK16</f>
        <v>0</v>
      </c>
      <c r="BL55" s="24">
        <f>Admin!BL16</f>
        <v>0</v>
      </c>
      <c r="BM55" s="24">
        <f>Admin!BM16</f>
        <v>0</v>
      </c>
      <c r="BN55" s="24">
        <f>Admin!BN16</f>
        <v>0</v>
      </c>
      <c r="BO55" s="24">
        <f>Admin!BO16</f>
        <v>0</v>
      </c>
      <c r="BP55" s="24">
        <f>Admin!BP16</f>
        <v>0</v>
      </c>
      <c r="BQ55" s="24">
        <f>Admin!BQ16</f>
        <v>0</v>
      </c>
      <c r="BR55" s="24">
        <f>Admin!BR16</f>
        <v>0</v>
      </c>
      <c r="BS55" s="24">
        <f>Admin!BS16</f>
        <v>0</v>
      </c>
      <c r="BT55" s="26">
        <f t="shared" si="71"/>
        <v>0</v>
      </c>
      <c r="BU55" s="14"/>
      <c r="BV55" s="24">
        <f>Admin!BV16</f>
        <v>0</v>
      </c>
      <c r="BW55" s="24">
        <f>Admin!BW16</f>
        <v>0</v>
      </c>
      <c r="BX55" s="24">
        <f>Admin!BX16</f>
        <v>0</v>
      </c>
      <c r="BY55" s="24">
        <f>Admin!BY16</f>
        <v>0</v>
      </c>
      <c r="BZ55" s="24">
        <f>Admin!BZ16</f>
        <v>0</v>
      </c>
      <c r="CA55" s="24">
        <f>Admin!CA16</f>
        <v>0</v>
      </c>
      <c r="CB55" s="24">
        <f>Admin!CB16</f>
        <v>0</v>
      </c>
      <c r="CC55" s="24">
        <f>Admin!CC16</f>
        <v>0</v>
      </c>
      <c r="CD55" s="24">
        <f>Admin!CD16</f>
        <v>0</v>
      </c>
      <c r="CE55" s="24">
        <f>Admin!CE16</f>
        <v>0</v>
      </c>
      <c r="CF55" s="24">
        <f>Admin!CF16</f>
        <v>0</v>
      </c>
      <c r="CG55" s="24">
        <f>Admin!CG16</f>
        <v>0</v>
      </c>
      <c r="CH55" s="26">
        <f t="shared" si="72"/>
        <v>0</v>
      </c>
      <c r="CI55" s="14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</row>
    <row r="56" ht="13.5" customHeight="1" outlineLevel="1">
      <c r="A56" s="27"/>
      <c r="B56" s="24" t="str">
        <f>Admin!B17</f>
        <v>Software/Licences</v>
      </c>
      <c r="C56" s="24" t="str">
        <f>Admin!C17</f>
        <v>A6</v>
      </c>
      <c r="D56" s="24">
        <f>Admin!D17</f>
        <v>0</v>
      </c>
      <c r="E56" s="24">
        <f>Admin!E17</f>
        <v>0</v>
      </c>
      <c r="F56" s="24">
        <f>Admin!F17</f>
        <v>0</v>
      </c>
      <c r="G56" s="24">
        <f>Admin!G17</f>
        <v>0</v>
      </c>
      <c r="H56" s="24">
        <f>Admin!H17</f>
        <v>0</v>
      </c>
      <c r="I56" s="24">
        <f>Admin!I17</f>
        <v>0</v>
      </c>
      <c r="J56" s="24">
        <f>Admin!J17</f>
        <v>350</v>
      </c>
      <c r="K56" s="24">
        <f>Admin!K17</f>
        <v>350</v>
      </c>
      <c r="L56" s="24">
        <f>Admin!L17</f>
        <v>350</v>
      </c>
      <c r="M56" s="24">
        <f>Admin!M17</f>
        <v>350</v>
      </c>
      <c r="N56" s="24">
        <f>Admin!N17</f>
        <v>350</v>
      </c>
      <c r="O56" s="24">
        <f>Admin!O17</f>
        <v>350</v>
      </c>
      <c r="P56" s="26">
        <f t="shared" si="67"/>
        <v>2100</v>
      </c>
      <c r="Q56" s="14"/>
      <c r="R56" s="24">
        <f>Admin!R17</f>
        <v>369.6</v>
      </c>
      <c r="S56" s="24">
        <f>Admin!S17</f>
        <v>369.6</v>
      </c>
      <c r="T56" s="24">
        <f>Admin!T17</f>
        <v>369.6</v>
      </c>
      <c r="U56" s="24">
        <f>Admin!U17</f>
        <v>369.6</v>
      </c>
      <c r="V56" s="24">
        <f>Admin!V17</f>
        <v>369.6</v>
      </c>
      <c r="W56" s="24">
        <f>Admin!W17</f>
        <v>369.6</v>
      </c>
      <c r="X56" s="24">
        <f>Admin!X17</f>
        <v>369.6</v>
      </c>
      <c r="Y56" s="24">
        <f>Admin!Y17</f>
        <v>369.6</v>
      </c>
      <c r="Z56" s="24">
        <f>Admin!Z17</f>
        <v>369.6</v>
      </c>
      <c r="AA56" s="24">
        <f>Admin!AA17</f>
        <v>369.6</v>
      </c>
      <c r="AB56" s="24">
        <f>Admin!AB17</f>
        <v>369.6</v>
      </c>
      <c r="AC56" s="24">
        <f>Admin!AC17</f>
        <v>369.6</v>
      </c>
      <c r="AD56" s="26">
        <f t="shared" si="68"/>
        <v>4435.2</v>
      </c>
      <c r="AE56" s="14"/>
      <c r="AF56" s="24">
        <f>Admin!AF17</f>
        <v>388.4496</v>
      </c>
      <c r="AG56" s="24">
        <f>Admin!AG17</f>
        <v>388.4496</v>
      </c>
      <c r="AH56" s="24">
        <f>Admin!AH17</f>
        <v>388.4496</v>
      </c>
      <c r="AI56" s="24">
        <f>Admin!AI17</f>
        <v>388.4496</v>
      </c>
      <c r="AJ56" s="24">
        <f>Admin!AJ17</f>
        <v>388.4496</v>
      </c>
      <c r="AK56" s="24">
        <f>Admin!AK17</f>
        <v>388.4496</v>
      </c>
      <c r="AL56" s="24">
        <f>Admin!AL17</f>
        <v>388.4496</v>
      </c>
      <c r="AM56" s="24">
        <f>Admin!AM17</f>
        <v>388.4496</v>
      </c>
      <c r="AN56" s="24">
        <f>Admin!AN17</f>
        <v>388.4496</v>
      </c>
      <c r="AO56" s="24">
        <f>Admin!AO17</f>
        <v>388.4496</v>
      </c>
      <c r="AP56" s="24">
        <f>Admin!AP17</f>
        <v>388.4496</v>
      </c>
      <c r="AQ56" s="24">
        <f>Admin!AQ17</f>
        <v>388.4496</v>
      </c>
      <c r="AR56" s="26">
        <f t="shared" si="69"/>
        <v>4661.3952</v>
      </c>
      <c r="AS56" s="14"/>
      <c r="AT56" s="24">
        <f>Admin!AT17</f>
        <v>408.2605296</v>
      </c>
      <c r="AU56" s="24">
        <f>Admin!AU17</f>
        <v>408.2605296</v>
      </c>
      <c r="AV56" s="24">
        <f>Admin!AV17</f>
        <v>408.2605296</v>
      </c>
      <c r="AW56" s="24">
        <f>Admin!AW17</f>
        <v>408.2605296</v>
      </c>
      <c r="AX56" s="24">
        <f>Admin!AX17</f>
        <v>408.2605296</v>
      </c>
      <c r="AY56" s="24">
        <f>Admin!AY17</f>
        <v>408.2605296</v>
      </c>
      <c r="AZ56" s="24">
        <f>Admin!AZ17</f>
        <v>408.2605296</v>
      </c>
      <c r="BA56" s="24">
        <f>Admin!BA17</f>
        <v>408.2605296</v>
      </c>
      <c r="BB56" s="24">
        <f>Admin!BB17</f>
        <v>408.2605296</v>
      </c>
      <c r="BC56" s="24">
        <f>Admin!BC17</f>
        <v>408.2605296</v>
      </c>
      <c r="BD56" s="24">
        <f>Admin!BD17</f>
        <v>408.2605296</v>
      </c>
      <c r="BE56" s="24">
        <f>Admin!BE17</f>
        <v>408.2605296</v>
      </c>
      <c r="BF56" s="26">
        <f t="shared" si="70"/>
        <v>4899.126355</v>
      </c>
      <c r="BG56" s="14"/>
      <c r="BH56" s="24">
        <f>Admin!BH17</f>
        <v>429.0818166</v>
      </c>
      <c r="BI56" s="24">
        <f>Admin!BI17</f>
        <v>429.0818166</v>
      </c>
      <c r="BJ56" s="24">
        <f>Admin!BJ17</f>
        <v>429.0818166</v>
      </c>
      <c r="BK56" s="24">
        <f>Admin!BK17</f>
        <v>429.0818166</v>
      </c>
      <c r="BL56" s="24">
        <f>Admin!BL17</f>
        <v>429.0818166</v>
      </c>
      <c r="BM56" s="24">
        <f>Admin!BM17</f>
        <v>429.0818166</v>
      </c>
      <c r="BN56" s="24">
        <f>Admin!BN17</f>
        <v>429.0818166</v>
      </c>
      <c r="BO56" s="24">
        <f>Admin!BO17</f>
        <v>429.0818166</v>
      </c>
      <c r="BP56" s="24">
        <f>Admin!BP17</f>
        <v>429.0818166</v>
      </c>
      <c r="BQ56" s="24">
        <f>Admin!BQ17</f>
        <v>429.0818166</v>
      </c>
      <c r="BR56" s="24">
        <f>Admin!BR17</f>
        <v>429.0818166</v>
      </c>
      <c r="BS56" s="24">
        <f>Admin!BS17</f>
        <v>429.0818166</v>
      </c>
      <c r="BT56" s="26">
        <f t="shared" si="71"/>
        <v>5148.981799</v>
      </c>
      <c r="BU56" s="14"/>
      <c r="BV56" s="24">
        <f>Admin!BV17</f>
        <v>450.9649893</v>
      </c>
      <c r="BW56" s="24">
        <f>Admin!BW17</f>
        <v>450.9649893</v>
      </c>
      <c r="BX56" s="24">
        <f>Admin!BX17</f>
        <v>450.9649893</v>
      </c>
      <c r="BY56" s="24">
        <f>Admin!BY17</f>
        <v>450.9649893</v>
      </c>
      <c r="BZ56" s="24">
        <f>Admin!BZ17</f>
        <v>450.9649893</v>
      </c>
      <c r="CA56" s="24">
        <f>Admin!CA17</f>
        <v>450.9649893</v>
      </c>
      <c r="CB56" s="24">
        <f>Admin!CB17</f>
        <v>450.9649893</v>
      </c>
      <c r="CC56" s="24">
        <f>Admin!CC17</f>
        <v>450.9649893</v>
      </c>
      <c r="CD56" s="24">
        <f>Admin!CD17</f>
        <v>450.9649893</v>
      </c>
      <c r="CE56" s="24">
        <f>Admin!CE17</f>
        <v>450.9649893</v>
      </c>
      <c r="CF56" s="24">
        <f>Admin!CF17</f>
        <v>450.9649893</v>
      </c>
      <c r="CG56" s="24">
        <f>Admin!CG17</f>
        <v>450.9649893</v>
      </c>
      <c r="CH56" s="26">
        <f t="shared" si="72"/>
        <v>5411.579871</v>
      </c>
      <c r="CI56" s="14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</row>
    <row r="57" ht="13.5" customHeight="1" outlineLevel="1">
      <c r="A57" s="41"/>
      <c r="B57" s="24" t="str">
        <f>Admin!B18</f>
        <v>Capex - Maintenance</v>
      </c>
      <c r="C57" s="24" t="str">
        <f>Admin!C18</f>
        <v>A7</v>
      </c>
      <c r="D57" s="24">
        <f>Admin!D18</f>
        <v>0</v>
      </c>
      <c r="E57" s="24">
        <f>Admin!E18</f>
        <v>0</v>
      </c>
      <c r="F57" s="24">
        <f>Admin!F18</f>
        <v>0</v>
      </c>
      <c r="G57" s="24">
        <f>Admin!G18</f>
        <v>0</v>
      </c>
      <c r="H57" s="24">
        <f>Admin!H18</f>
        <v>0</v>
      </c>
      <c r="I57" s="24">
        <f>Admin!I18</f>
        <v>0</v>
      </c>
      <c r="J57" s="24">
        <f>Admin!J18</f>
        <v>0</v>
      </c>
      <c r="K57" s="24">
        <f>Admin!K18</f>
        <v>0</v>
      </c>
      <c r="L57" s="24">
        <f>Admin!L18</f>
        <v>0</v>
      </c>
      <c r="M57" s="24">
        <f>Admin!M18</f>
        <v>0</v>
      </c>
      <c r="N57" s="24">
        <f>Admin!N18</f>
        <v>0</v>
      </c>
      <c r="O57" s="24">
        <f>Admin!O18</f>
        <v>0</v>
      </c>
      <c r="P57" s="26">
        <f t="shared" si="67"/>
        <v>0</v>
      </c>
      <c r="Q57" s="42"/>
      <c r="R57" s="24">
        <f>Admin!R18</f>
        <v>0</v>
      </c>
      <c r="S57" s="24">
        <f>Admin!S18</f>
        <v>0</v>
      </c>
      <c r="T57" s="24">
        <f>Admin!T18</f>
        <v>0</v>
      </c>
      <c r="U57" s="24">
        <f>Admin!U18</f>
        <v>0</v>
      </c>
      <c r="V57" s="24">
        <f>Admin!V18</f>
        <v>0</v>
      </c>
      <c r="W57" s="24">
        <f>Admin!W18</f>
        <v>0</v>
      </c>
      <c r="X57" s="24">
        <f>Admin!X18</f>
        <v>0</v>
      </c>
      <c r="Y57" s="24">
        <f>Admin!Y18</f>
        <v>0</v>
      </c>
      <c r="Z57" s="24">
        <f>Admin!Z18</f>
        <v>0</v>
      </c>
      <c r="AA57" s="24">
        <f>Admin!AA18</f>
        <v>0</v>
      </c>
      <c r="AB57" s="24">
        <f>Admin!AB18</f>
        <v>0</v>
      </c>
      <c r="AC57" s="24">
        <f>Admin!AC18</f>
        <v>0</v>
      </c>
      <c r="AD57" s="26">
        <f t="shared" si="68"/>
        <v>0</v>
      </c>
      <c r="AE57" s="42"/>
      <c r="AF57" s="24">
        <f>Admin!AF18</f>
        <v>0</v>
      </c>
      <c r="AG57" s="24">
        <f>Admin!AG18</f>
        <v>0</v>
      </c>
      <c r="AH57" s="24">
        <f>Admin!AH18</f>
        <v>0</v>
      </c>
      <c r="AI57" s="24">
        <f>Admin!AI18</f>
        <v>0</v>
      </c>
      <c r="AJ57" s="24">
        <f>Admin!AJ18</f>
        <v>0</v>
      </c>
      <c r="AK57" s="24">
        <f>Admin!AK18</f>
        <v>0</v>
      </c>
      <c r="AL57" s="24">
        <f>Admin!AL18</f>
        <v>0</v>
      </c>
      <c r="AM57" s="24">
        <f>Admin!AM18</f>
        <v>0</v>
      </c>
      <c r="AN57" s="24">
        <f>Admin!AN18</f>
        <v>0</v>
      </c>
      <c r="AO57" s="24">
        <f>Admin!AO18</f>
        <v>0</v>
      </c>
      <c r="AP57" s="24">
        <f>Admin!AP18</f>
        <v>0</v>
      </c>
      <c r="AQ57" s="24">
        <f>Admin!AQ18</f>
        <v>0</v>
      </c>
      <c r="AR57" s="26">
        <f t="shared" si="69"/>
        <v>0</v>
      </c>
      <c r="AS57" s="42"/>
      <c r="AT57" s="24">
        <f>Admin!AT18</f>
        <v>0</v>
      </c>
      <c r="AU57" s="24">
        <f>Admin!AU18</f>
        <v>0</v>
      </c>
      <c r="AV57" s="24">
        <f>Admin!AV18</f>
        <v>0</v>
      </c>
      <c r="AW57" s="24">
        <f>Admin!AW18</f>
        <v>0</v>
      </c>
      <c r="AX57" s="24">
        <f>Admin!AX18</f>
        <v>0</v>
      </c>
      <c r="AY57" s="24">
        <f>Admin!AY18</f>
        <v>0</v>
      </c>
      <c r="AZ57" s="24">
        <f>Admin!AZ18</f>
        <v>0</v>
      </c>
      <c r="BA57" s="24">
        <f>Admin!BA18</f>
        <v>0</v>
      </c>
      <c r="BB57" s="24">
        <f>Admin!BB18</f>
        <v>0</v>
      </c>
      <c r="BC57" s="24">
        <f>Admin!BC18</f>
        <v>0</v>
      </c>
      <c r="BD57" s="24">
        <f>Admin!BD18</f>
        <v>0</v>
      </c>
      <c r="BE57" s="24">
        <f>Admin!BE18</f>
        <v>0</v>
      </c>
      <c r="BF57" s="26">
        <f t="shared" si="70"/>
        <v>0</v>
      </c>
      <c r="BG57" s="42"/>
      <c r="BH57" s="24">
        <f>Admin!BH18</f>
        <v>0</v>
      </c>
      <c r="BI57" s="24">
        <f>Admin!BI18</f>
        <v>0</v>
      </c>
      <c r="BJ57" s="24">
        <f>Admin!BJ18</f>
        <v>0</v>
      </c>
      <c r="BK57" s="24">
        <f>Admin!BK18</f>
        <v>0</v>
      </c>
      <c r="BL57" s="24">
        <f>Admin!BL18</f>
        <v>0</v>
      </c>
      <c r="BM57" s="24">
        <f>Admin!BM18</f>
        <v>0</v>
      </c>
      <c r="BN57" s="24">
        <f>Admin!BN18</f>
        <v>0</v>
      </c>
      <c r="BO57" s="24">
        <f>Admin!BO18</f>
        <v>0</v>
      </c>
      <c r="BP57" s="24">
        <f>Admin!BP18</f>
        <v>0</v>
      </c>
      <c r="BQ57" s="24">
        <f>Admin!BQ18</f>
        <v>0</v>
      </c>
      <c r="BR57" s="24">
        <f>Admin!BR18</f>
        <v>0</v>
      </c>
      <c r="BS57" s="24">
        <f>Admin!BS18</f>
        <v>0</v>
      </c>
      <c r="BT57" s="26">
        <f t="shared" si="71"/>
        <v>0</v>
      </c>
      <c r="BU57" s="42"/>
      <c r="BV57" s="24">
        <f>Admin!BV18</f>
        <v>0</v>
      </c>
      <c r="BW57" s="24">
        <f>Admin!BW18</f>
        <v>0</v>
      </c>
      <c r="BX57" s="24">
        <f>Admin!BX18</f>
        <v>0</v>
      </c>
      <c r="BY57" s="24">
        <f>Admin!BY18</f>
        <v>0</v>
      </c>
      <c r="BZ57" s="24">
        <f>Admin!BZ18</f>
        <v>0</v>
      </c>
      <c r="CA57" s="24">
        <f>Admin!CA18</f>
        <v>0</v>
      </c>
      <c r="CB57" s="24">
        <f>Admin!CB18</f>
        <v>0</v>
      </c>
      <c r="CC57" s="24">
        <f>Admin!CC18</f>
        <v>0</v>
      </c>
      <c r="CD57" s="24">
        <f>Admin!CD18</f>
        <v>0</v>
      </c>
      <c r="CE57" s="24">
        <f>Admin!CE18</f>
        <v>0</v>
      </c>
      <c r="CF57" s="24">
        <f>Admin!CF18</f>
        <v>0</v>
      </c>
      <c r="CG57" s="24">
        <f>Admin!CG18</f>
        <v>0</v>
      </c>
      <c r="CH57" s="26">
        <f t="shared" si="72"/>
        <v>0</v>
      </c>
      <c r="CI57" s="42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</row>
    <row r="58" ht="13.5" customHeight="1">
      <c r="A58" s="27"/>
      <c r="B58" s="28" t="s">
        <v>42</v>
      </c>
      <c r="C58" s="28"/>
      <c r="D58" s="28">
        <f t="shared" ref="D58:O58" si="73">SUM(D51:D57)</f>
        <v>0</v>
      </c>
      <c r="E58" s="28">
        <f t="shared" si="73"/>
        <v>0</v>
      </c>
      <c r="F58" s="28">
        <f t="shared" si="73"/>
        <v>0</v>
      </c>
      <c r="G58" s="28">
        <f t="shared" si="73"/>
        <v>0</v>
      </c>
      <c r="H58" s="28">
        <f t="shared" si="73"/>
        <v>0</v>
      </c>
      <c r="I58" s="28">
        <f t="shared" si="73"/>
        <v>0</v>
      </c>
      <c r="J58" s="28">
        <f t="shared" si="73"/>
        <v>10750</v>
      </c>
      <c r="K58" s="28">
        <f t="shared" si="73"/>
        <v>500</v>
      </c>
      <c r="L58" s="28">
        <f t="shared" si="73"/>
        <v>500</v>
      </c>
      <c r="M58" s="28">
        <f t="shared" si="73"/>
        <v>500</v>
      </c>
      <c r="N58" s="28">
        <f t="shared" si="73"/>
        <v>500</v>
      </c>
      <c r="O58" s="28">
        <f t="shared" si="73"/>
        <v>500</v>
      </c>
      <c r="P58" s="29">
        <f t="shared" si="67"/>
        <v>13250</v>
      </c>
      <c r="Q58" s="14"/>
      <c r="R58" s="28">
        <f t="shared" ref="R58:AC58" si="74">SUM(R51:R57)</f>
        <v>528</v>
      </c>
      <c r="S58" s="28">
        <f t="shared" si="74"/>
        <v>5528</v>
      </c>
      <c r="T58" s="28">
        <f t="shared" si="74"/>
        <v>528</v>
      </c>
      <c r="U58" s="28">
        <f t="shared" si="74"/>
        <v>528</v>
      </c>
      <c r="V58" s="28">
        <f t="shared" si="74"/>
        <v>528</v>
      </c>
      <c r="W58" s="28">
        <f t="shared" si="74"/>
        <v>528</v>
      </c>
      <c r="X58" s="28">
        <f t="shared" si="74"/>
        <v>11352</v>
      </c>
      <c r="Y58" s="28">
        <f t="shared" si="74"/>
        <v>528</v>
      </c>
      <c r="Z58" s="28">
        <f t="shared" si="74"/>
        <v>528</v>
      </c>
      <c r="AA58" s="28">
        <f t="shared" si="74"/>
        <v>528</v>
      </c>
      <c r="AB58" s="28">
        <f t="shared" si="74"/>
        <v>528</v>
      </c>
      <c r="AC58" s="28">
        <f t="shared" si="74"/>
        <v>528</v>
      </c>
      <c r="AD58" s="29">
        <f t="shared" si="68"/>
        <v>22160</v>
      </c>
      <c r="AE58" s="14"/>
      <c r="AF58" s="28">
        <f t="shared" ref="AF58:AQ58" si="75">SUM(AF51:AF57)</f>
        <v>554.928</v>
      </c>
      <c r="AG58" s="28">
        <f t="shared" si="75"/>
        <v>5809.928</v>
      </c>
      <c r="AH58" s="28">
        <f t="shared" si="75"/>
        <v>554.928</v>
      </c>
      <c r="AI58" s="28">
        <f t="shared" si="75"/>
        <v>554.928</v>
      </c>
      <c r="AJ58" s="28">
        <f t="shared" si="75"/>
        <v>554.928</v>
      </c>
      <c r="AK58" s="28">
        <f t="shared" si="75"/>
        <v>554.928</v>
      </c>
      <c r="AL58" s="28">
        <f t="shared" si="75"/>
        <v>11930.952</v>
      </c>
      <c r="AM58" s="28">
        <f t="shared" si="75"/>
        <v>554.928</v>
      </c>
      <c r="AN58" s="28">
        <f t="shared" si="75"/>
        <v>554.928</v>
      </c>
      <c r="AO58" s="28">
        <f t="shared" si="75"/>
        <v>554.928</v>
      </c>
      <c r="AP58" s="28">
        <f t="shared" si="75"/>
        <v>554.928</v>
      </c>
      <c r="AQ58" s="28">
        <f t="shared" si="75"/>
        <v>554.928</v>
      </c>
      <c r="AR58" s="29">
        <f t="shared" si="69"/>
        <v>23290.16</v>
      </c>
      <c r="AS58" s="14"/>
      <c r="AT58" s="28">
        <f t="shared" ref="AT58:BE58" si="76">SUM(AT51:AT57)</f>
        <v>583.229328</v>
      </c>
      <c r="AU58" s="28">
        <f t="shared" si="76"/>
        <v>6106.234328</v>
      </c>
      <c r="AV58" s="28">
        <f t="shared" si="76"/>
        <v>583.229328</v>
      </c>
      <c r="AW58" s="28">
        <f t="shared" si="76"/>
        <v>583.229328</v>
      </c>
      <c r="AX58" s="28">
        <f t="shared" si="76"/>
        <v>583.229328</v>
      </c>
      <c r="AY58" s="28">
        <f t="shared" si="76"/>
        <v>583.229328</v>
      </c>
      <c r="AZ58" s="28">
        <f t="shared" si="76"/>
        <v>12539.43055</v>
      </c>
      <c r="BA58" s="28">
        <f t="shared" si="76"/>
        <v>583.229328</v>
      </c>
      <c r="BB58" s="28">
        <f t="shared" si="76"/>
        <v>583.229328</v>
      </c>
      <c r="BC58" s="28">
        <f t="shared" si="76"/>
        <v>583.229328</v>
      </c>
      <c r="BD58" s="28">
        <f t="shared" si="76"/>
        <v>583.229328</v>
      </c>
      <c r="BE58" s="28">
        <f t="shared" si="76"/>
        <v>583.229328</v>
      </c>
      <c r="BF58" s="29">
        <f t="shared" si="70"/>
        <v>24477.95816</v>
      </c>
      <c r="BG58" s="14"/>
      <c r="BH58" s="28">
        <f t="shared" ref="BH58:BS58" si="77">SUM(BH51:BH57)</f>
        <v>612.9740237</v>
      </c>
      <c r="BI58" s="28">
        <f t="shared" si="77"/>
        <v>6417.652279</v>
      </c>
      <c r="BJ58" s="28">
        <f t="shared" si="77"/>
        <v>612.9740237</v>
      </c>
      <c r="BK58" s="28">
        <f t="shared" si="77"/>
        <v>612.9740237</v>
      </c>
      <c r="BL58" s="28">
        <f t="shared" si="77"/>
        <v>612.9740237</v>
      </c>
      <c r="BM58" s="28">
        <f t="shared" si="77"/>
        <v>612.9740237</v>
      </c>
      <c r="BN58" s="28">
        <f t="shared" si="77"/>
        <v>13178.94151</v>
      </c>
      <c r="BO58" s="28">
        <f t="shared" si="77"/>
        <v>612.9740237</v>
      </c>
      <c r="BP58" s="28">
        <f t="shared" si="77"/>
        <v>612.9740237</v>
      </c>
      <c r="BQ58" s="28">
        <f t="shared" si="77"/>
        <v>612.9740237</v>
      </c>
      <c r="BR58" s="28">
        <f t="shared" si="77"/>
        <v>612.9740237</v>
      </c>
      <c r="BS58" s="28">
        <f t="shared" si="77"/>
        <v>612.9740237</v>
      </c>
      <c r="BT58" s="29">
        <f t="shared" si="71"/>
        <v>25726.33403</v>
      </c>
      <c r="BU58" s="14"/>
      <c r="BV58" s="28">
        <f t="shared" ref="BV58:CG58" si="78">SUM(BV51:BV57)</f>
        <v>644.2356989</v>
      </c>
      <c r="BW58" s="28">
        <f t="shared" si="78"/>
        <v>6744.952545</v>
      </c>
      <c r="BX58" s="28">
        <f t="shared" si="78"/>
        <v>644.2356989</v>
      </c>
      <c r="BY58" s="28">
        <f t="shared" si="78"/>
        <v>644.2356989</v>
      </c>
      <c r="BZ58" s="28">
        <f t="shared" si="78"/>
        <v>644.2356989</v>
      </c>
      <c r="CA58" s="28">
        <f t="shared" si="78"/>
        <v>644.2356989</v>
      </c>
      <c r="CB58" s="28">
        <f t="shared" si="78"/>
        <v>13851.06753</v>
      </c>
      <c r="CC58" s="28">
        <f t="shared" si="78"/>
        <v>644.2356989</v>
      </c>
      <c r="CD58" s="28">
        <f t="shared" si="78"/>
        <v>644.2356989</v>
      </c>
      <c r="CE58" s="28">
        <f t="shared" si="78"/>
        <v>644.2356989</v>
      </c>
      <c r="CF58" s="28">
        <f t="shared" si="78"/>
        <v>644.2356989</v>
      </c>
      <c r="CG58" s="28">
        <f t="shared" si="78"/>
        <v>644.2356989</v>
      </c>
      <c r="CH58" s="29">
        <f t="shared" si="72"/>
        <v>27038.37706</v>
      </c>
      <c r="CI58" s="14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</row>
    <row r="59" ht="4.5" customHeight="1">
      <c r="A59" s="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36"/>
      <c r="Q59" s="14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8"/>
      <c r="AE59" s="14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8"/>
      <c r="AS59" s="14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8"/>
      <c r="BG59" s="14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8"/>
      <c r="BU59" s="14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38"/>
      <c r="CI59" s="14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ht="13.5" customHeight="1" outlineLevel="1">
      <c r="A60" s="27"/>
      <c r="B60" s="24" t="str">
        <f>Consulting!B12</f>
        <v>Legal Fees  - Adriana</v>
      </c>
      <c r="C60" s="24" t="str">
        <f>Consulting!C12</f>
        <v>C1</v>
      </c>
      <c r="D60" s="24">
        <f>Consulting!D12</f>
        <v>0</v>
      </c>
      <c r="E60" s="24">
        <f>Consulting!E12</f>
        <v>0</v>
      </c>
      <c r="F60" s="24">
        <f>Consulting!F12</f>
        <v>0</v>
      </c>
      <c r="G60" s="24">
        <f>Consulting!G12</f>
        <v>0</v>
      </c>
      <c r="H60" s="24">
        <f>Consulting!H12</f>
        <v>-1500</v>
      </c>
      <c r="I60" s="24">
        <f>Consulting!I12</f>
        <v>-1500</v>
      </c>
      <c r="J60" s="24">
        <f>Consulting!J12</f>
        <v>-1500</v>
      </c>
      <c r="K60" s="24">
        <f>Consulting!K12</f>
        <v>-1500</v>
      </c>
      <c r="L60" s="24">
        <f>Consulting!L12</f>
        <v>-1500</v>
      </c>
      <c r="M60" s="24">
        <f>Consulting!M12</f>
        <v>-1500</v>
      </c>
      <c r="N60" s="24">
        <f>Consulting!N12</f>
        <v>-1500</v>
      </c>
      <c r="O60" s="24">
        <f>Consulting!O12</f>
        <v>-1500</v>
      </c>
      <c r="P60" s="26">
        <f t="shared" ref="P60:P67" si="79">SUM(D60:O60)</f>
        <v>-12000</v>
      </c>
      <c r="Q60" s="14"/>
      <c r="R60" s="24">
        <f>Consulting!R12</f>
        <v>-1500</v>
      </c>
      <c r="S60" s="24">
        <f>Consulting!S12</f>
        <v>-1500</v>
      </c>
      <c r="T60" s="24">
        <f>Consulting!T12</f>
        <v>-1500</v>
      </c>
      <c r="U60" s="24">
        <f>Consulting!U12</f>
        <v>-1500</v>
      </c>
      <c r="V60" s="24">
        <f>Consulting!V12</f>
        <v>-1000</v>
      </c>
      <c r="W60" s="24">
        <f>Consulting!W12</f>
        <v>-1000</v>
      </c>
      <c r="X60" s="24">
        <f>Consulting!X12</f>
        <v>-1000</v>
      </c>
      <c r="Y60" s="24">
        <f>Consulting!Y12</f>
        <v>-1000</v>
      </c>
      <c r="Z60" s="24">
        <f>Consulting!Z12</f>
        <v>-1000</v>
      </c>
      <c r="AA60" s="24">
        <f>Consulting!AA12</f>
        <v>-1000</v>
      </c>
      <c r="AB60" s="24">
        <f>Consulting!AB12</f>
        <v>-1000</v>
      </c>
      <c r="AC60" s="24">
        <f>Consulting!AC12</f>
        <v>-1000</v>
      </c>
      <c r="AD60" s="26">
        <f t="shared" ref="AD60:AD67" si="80">SUM(R60:AC60)</f>
        <v>-14000</v>
      </c>
      <c r="AE60" s="14"/>
      <c r="AF60" s="24">
        <f>Consulting!AF12</f>
        <v>-1051</v>
      </c>
      <c r="AG60" s="24">
        <f>Consulting!AG12</f>
        <v>-1051</v>
      </c>
      <c r="AH60" s="24">
        <f>Consulting!AH12</f>
        <v>-1051</v>
      </c>
      <c r="AI60" s="24">
        <f>Consulting!AI12</f>
        <v>-1051</v>
      </c>
      <c r="AJ60" s="24">
        <f>Consulting!AJ12</f>
        <v>-1051</v>
      </c>
      <c r="AK60" s="24">
        <f>Consulting!AK12</f>
        <v>-1051</v>
      </c>
      <c r="AL60" s="24">
        <f>Consulting!AL12</f>
        <v>-1051</v>
      </c>
      <c r="AM60" s="24">
        <f>Consulting!AM12</f>
        <v>-1051</v>
      </c>
      <c r="AN60" s="24">
        <f>Consulting!AN12</f>
        <v>-1051</v>
      </c>
      <c r="AO60" s="24">
        <f>Consulting!AO12</f>
        <v>-1051</v>
      </c>
      <c r="AP60" s="24">
        <f>Consulting!AP12</f>
        <v>-1051</v>
      </c>
      <c r="AQ60" s="24">
        <f>Consulting!AQ12</f>
        <v>-1051</v>
      </c>
      <c r="AR60" s="26">
        <f t="shared" ref="AR60:AR67" si="81">SUM(AF60:AQ60)</f>
        <v>-12612</v>
      </c>
      <c r="AS60" s="14"/>
      <c r="AT60" s="24">
        <f>Consulting!AT12</f>
        <v>-1104.601</v>
      </c>
      <c r="AU60" s="24">
        <f>Consulting!AU12</f>
        <v>-1104.601</v>
      </c>
      <c r="AV60" s="24">
        <f>Consulting!AV12</f>
        <v>-1104.601</v>
      </c>
      <c r="AW60" s="24">
        <f>Consulting!AW12</f>
        <v>-1104.601</v>
      </c>
      <c r="AX60" s="24">
        <f>Consulting!AX12</f>
        <v>-1104.601</v>
      </c>
      <c r="AY60" s="24">
        <f>Consulting!AY12</f>
        <v>-1104.601</v>
      </c>
      <c r="AZ60" s="24">
        <f>Consulting!AZ12</f>
        <v>-1104.601</v>
      </c>
      <c r="BA60" s="24">
        <f>Consulting!BA12</f>
        <v>-1104.601</v>
      </c>
      <c r="BB60" s="24">
        <f>Consulting!BB12</f>
        <v>-1104.601</v>
      </c>
      <c r="BC60" s="24">
        <f>Consulting!BC12</f>
        <v>-1104.601</v>
      </c>
      <c r="BD60" s="24">
        <f>Consulting!BD12</f>
        <v>-1104.601</v>
      </c>
      <c r="BE60" s="24">
        <f>Consulting!BE12</f>
        <v>-1104.601</v>
      </c>
      <c r="BF60" s="26">
        <f t="shared" ref="BF60:BF67" si="82">SUM(AT60:BE60)</f>
        <v>-13255.212</v>
      </c>
      <c r="BG60" s="14"/>
      <c r="BH60" s="24">
        <f>Consulting!BH12</f>
        <v>-1160.935651</v>
      </c>
      <c r="BI60" s="24">
        <f>Consulting!BI12</f>
        <v>-1160.935651</v>
      </c>
      <c r="BJ60" s="24">
        <f>Consulting!BJ12</f>
        <v>-1160.935651</v>
      </c>
      <c r="BK60" s="24">
        <f>Consulting!BK12</f>
        <v>-1160.935651</v>
      </c>
      <c r="BL60" s="24">
        <f>Consulting!BL12</f>
        <v>-1160.935651</v>
      </c>
      <c r="BM60" s="24">
        <f>Consulting!BM12</f>
        <v>-1160.935651</v>
      </c>
      <c r="BN60" s="24">
        <f>Consulting!BN12</f>
        <v>-1160.935651</v>
      </c>
      <c r="BO60" s="24">
        <f>Consulting!BO12</f>
        <v>-1160.935651</v>
      </c>
      <c r="BP60" s="24">
        <f>Consulting!BP12</f>
        <v>-1160.935651</v>
      </c>
      <c r="BQ60" s="24">
        <f>Consulting!BQ12</f>
        <v>-1160.935651</v>
      </c>
      <c r="BR60" s="24">
        <f>Consulting!BR12</f>
        <v>-1160.935651</v>
      </c>
      <c r="BS60" s="24">
        <f>Consulting!BS12</f>
        <v>-1160.935651</v>
      </c>
      <c r="BT60" s="26">
        <f t="shared" ref="BT60:BT67" si="83">SUM(BH60:BS60)</f>
        <v>-13931.22781</v>
      </c>
      <c r="BU60" s="14"/>
      <c r="BV60" s="24">
        <f>Consulting!BV12</f>
        <v>-1220.143369</v>
      </c>
      <c r="BW60" s="24">
        <f>Consulting!BW12</f>
        <v>-1220.143369</v>
      </c>
      <c r="BX60" s="24">
        <f>Consulting!BX12</f>
        <v>-1220.143369</v>
      </c>
      <c r="BY60" s="24">
        <f>Consulting!BY12</f>
        <v>-1220.143369</v>
      </c>
      <c r="BZ60" s="24">
        <f>Consulting!BZ12</f>
        <v>-1220.143369</v>
      </c>
      <c r="CA60" s="24">
        <f>Consulting!CA12</f>
        <v>-1220.143369</v>
      </c>
      <c r="CB60" s="24">
        <f>Consulting!CB12</f>
        <v>-1220.143369</v>
      </c>
      <c r="CC60" s="24">
        <f>Consulting!CC12</f>
        <v>-1220.143369</v>
      </c>
      <c r="CD60" s="24">
        <f>Consulting!CD12</f>
        <v>-1220.143369</v>
      </c>
      <c r="CE60" s="24">
        <f>Consulting!CE12</f>
        <v>-1220.143369</v>
      </c>
      <c r="CF60" s="24">
        <f>Consulting!CF12</f>
        <v>-1220.143369</v>
      </c>
      <c r="CG60" s="24">
        <f>Consulting!CG12</f>
        <v>-1220.143369</v>
      </c>
      <c r="CH60" s="26">
        <f t="shared" ref="CH60:CH67" si="84">SUM(BV60:CG60)</f>
        <v>-14641.72043</v>
      </c>
      <c r="CI60" s="14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</row>
    <row r="61" ht="13.5" customHeight="1" outlineLevel="1">
      <c r="A61" s="27"/>
      <c r="B61" s="24" t="str">
        <f>Consulting!B13</f>
        <v>Marketing - Rebu</v>
      </c>
      <c r="C61" s="24" t="str">
        <f>Consulting!C13</f>
        <v>C2</v>
      </c>
      <c r="D61" s="24">
        <f>Consulting!D13</f>
        <v>0</v>
      </c>
      <c r="E61" s="24">
        <f>Consulting!E13</f>
        <v>0</v>
      </c>
      <c r="F61" s="24">
        <f>Consulting!F13</f>
        <v>-20000</v>
      </c>
      <c r="G61" s="24">
        <f>Consulting!G13</f>
        <v>0</v>
      </c>
      <c r="H61" s="24">
        <f>Consulting!H13</f>
        <v>0</v>
      </c>
      <c r="I61" s="24">
        <f>Consulting!I13</f>
        <v>0</v>
      </c>
      <c r="J61" s="24">
        <f>Consulting!J13</f>
        <v>0</v>
      </c>
      <c r="K61" s="24">
        <f>Consulting!K13</f>
        <v>0</v>
      </c>
      <c r="L61" s="24">
        <f>Consulting!L13</f>
        <v>-10000</v>
      </c>
      <c r="M61" s="24">
        <f>Consulting!M13</f>
        <v>0</v>
      </c>
      <c r="N61" s="24">
        <f>Consulting!N13</f>
        <v>0</v>
      </c>
      <c r="O61" s="24">
        <f>Consulting!O13</f>
        <v>0</v>
      </c>
      <c r="P61" s="26">
        <f t="shared" si="79"/>
        <v>-30000</v>
      </c>
      <c r="Q61" s="14"/>
      <c r="R61" s="24">
        <f>Consulting!R13</f>
        <v>0</v>
      </c>
      <c r="S61" s="24">
        <f>Consulting!S13</f>
        <v>0</v>
      </c>
      <c r="T61" s="24">
        <f>Consulting!T13</f>
        <v>-21120</v>
      </c>
      <c r="U61" s="24">
        <f>Consulting!U13</f>
        <v>0</v>
      </c>
      <c r="V61" s="24">
        <f>Consulting!V13</f>
        <v>0</v>
      </c>
      <c r="W61" s="24">
        <f>Consulting!W13</f>
        <v>0</v>
      </c>
      <c r="X61" s="24">
        <f>Consulting!X13</f>
        <v>0</v>
      </c>
      <c r="Y61" s="24">
        <f>Consulting!Y13</f>
        <v>0</v>
      </c>
      <c r="Z61" s="24">
        <f>Consulting!Z13</f>
        <v>-10560</v>
      </c>
      <c r="AA61" s="24">
        <f>Consulting!AA13</f>
        <v>0</v>
      </c>
      <c r="AB61" s="24">
        <f>Consulting!AB13</f>
        <v>0</v>
      </c>
      <c r="AC61" s="24">
        <f>Consulting!AC13</f>
        <v>0</v>
      </c>
      <c r="AD61" s="26">
        <f t="shared" si="80"/>
        <v>-31680</v>
      </c>
      <c r="AE61" s="14"/>
      <c r="AF61" s="24">
        <f>Consulting!AF13</f>
        <v>0</v>
      </c>
      <c r="AG61" s="24">
        <f>Consulting!AG13</f>
        <v>0</v>
      </c>
      <c r="AH61" s="24">
        <f>Consulting!AH13</f>
        <v>-22197.12</v>
      </c>
      <c r="AI61" s="24">
        <f>Consulting!AI13</f>
        <v>0</v>
      </c>
      <c r="AJ61" s="24">
        <f>Consulting!AJ13</f>
        <v>0</v>
      </c>
      <c r="AK61" s="24">
        <f>Consulting!AK13</f>
        <v>0</v>
      </c>
      <c r="AL61" s="24">
        <f>Consulting!AL13</f>
        <v>0</v>
      </c>
      <c r="AM61" s="24">
        <f>Consulting!AM13</f>
        <v>0</v>
      </c>
      <c r="AN61" s="24">
        <f>Consulting!AN13</f>
        <v>-11098.56</v>
      </c>
      <c r="AO61" s="24">
        <f>Consulting!AO13</f>
        <v>0</v>
      </c>
      <c r="AP61" s="24">
        <f>Consulting!AP13</f>
        <v>0</v>
      </c>
      <c r="AQ61" s="24">
        <f>Consulting!AQ13</f>
        <v>0</v>
      </c>
      <c r="AR61" s="26">
        <f t="shared" si="81"/>
        <v>-33295.68</v>
      </c>
      <c r="AS61" s="14"/>
      <c r="AT61" s="24">
        <f>Consulting!AT13</f>
        <v>0</v>
      </c>
      <c r="AU61" s="24">
        <f>Consulting!AU13</f>
        <v>0</v>
      </c>
      <c r="AV61" s="24">
        <f>Consulting!AV13</f>
        <v>-23329.17312</v>
      </c>
      <c r="AW61" s="24">
        <f>Consulting!AW13</f>
        <v>0</v>
      </c>
      <c r="AX61" s="24">
        <f>Consulting!AX13</f>
        <v>0</v>
      </c>
      <c r="AY61" s="24">
        <f>Consulting!AY13</f>
        <v>0</v>
      </c>
      <c r="AZ61" s="24">
        <f>Consulting!AZ13</f>
        <v>0</v>
      </c>
      <c r="BA61" s="24">
        <f>Consulting!BA13</f>
        <v>0</v>
      </c>
      <c r="BB61" s="24">
        <f>Consulting!BB13</f>
        <v>-11664.58656</v>
      </c>
      <c r="BC61" s="24">
        <f>Consulting!BC13</f>
        <v>0</v>
      </c>
      <c r="BD61" s="24">
        <f>Consulting!BD13</f>
        <v>0</v>
      </c>
      <c r="BE61" s="24">
        <f>Consulting!BE13</f>
        <v>0</v>
      </c>
      <c r="BF61" s="26">
        <f t="shared" si="82"/>
        <v>-34993.75968</v>
      </c>
      <c r="BG61" s="14"/>
      <c r="BH61" s="24">
        <f>Consulting!BH13</f>
        <v>0</v>
      </c>
      <c r="BI61" s="24">
        <f>Consulting!BI13</f>
        <v>0</v>
      </c>
      <c r="BJ61" s="24">
        <f>Consulting!BJ13</f>
        <v>-24518.96095</v>
      </c>
      <c r="BK61" s="24">
        <f>Consulting!BK13</f>
        <v>0</v>
      </c>
      <c r="BL61" s="24">
        <f>Consulting!BL13</f>
        <v>0</v>
      </c>
      <c r="BM61" s="24">
        <f>Consulting!BM13</f>
        <v>0</v>
      </c>
      <c r="BN61" s="24">
        <f>Consulting!BN13</f>
        <v>0</v>
      </c>
      <c r="BO61" s="24">
        <f>Consulting!BO13</f>
        <v>0</v>
      </c>
      <c r="BP61" s="24">
        <f>Consulting!BP13</f>
        <v>-12259.48047</v>
      </c>
      <c r="BQ61" s="24">
        <f>Consulting!BQ13</f>
        <v>0</v>
      </c>
      <c r="BR61" s="24">
        <f>Consulting!BR13</f>
        <v>0</v>
      </c>
      <c r="BS61" s="24">
        <f>Consulting!BS13</f>
        <v>0</v>
      </c>
      <c r="BT61" s="26">
        <f t="shared" si="83"/>
        <v>-36778.44142</v>
      </c>
      <c r="BU61" s="14"/>
      <c r="BV61" s="24">
        <f>Consulting!BV13</f>
        <v>0</v>
      </c>
      <c r="BW61" s="24">
        <f>Consulting!BW13</f>
        <v>0</v>
      </c>
      <c r="BX61" s="24">
        <f>Consulting!BX13</f>
        <v>-25769.42796</v>
      </c>
      <c r="BY61" s="24">
        <f>Consulting!BY13</f>
        <v>0</v>
      </c>
      <c r="BZ61" s="24">
        <f>Consulting!BZ13</f>
        <v>0</v>
      </c>
      <c r="CA61" s="24">
        <f>Consulting!CA13</f>
        <v>0</v>
      </c>
      <c r="CB61" s="24">
        <f>Consulting!CB13</f>
        <v>0</v>
      </c>
      <c r="CC61" s="24">
        <f>Consulting!CC13</f>
        <v>0</v>
      </c>
      <c r="CD61" s="24">
        <f>Consulting!CD13</f>
        <v>-12884.71398</v>
      </c>
      <c r="CE61" s="24">
        <f>Consulting!CE13</f>
        <v>0</v>
      </c>
      <c r="CF61" s="24">
        <f>Consulting!CF13</f>
        <v>0</v>
      </c>
      <c r="CG61" s="24">
        <f>Consulting!CG13</f>
        <v>0</v>
      </c>
      <c r="CH61" s="26">
        <f t="shared" si="84"/>
        <v>-38654.14194</v>
      </c>
      <c r="CI61" s="14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</row>
    <row r="62" ht="13.5" customHeight="1" outlineLevel="1">
      <c r="A62" s="27"/>
      <c r="B62" s="24" t="str">
        <f>Consulting!B14</f>
        <v>Accounting</v>
      </c>
      <c r="C62" s="24" t="str">
        <f>Consulting!C14</f>
        <v>C3</v>
      </c>
      <c r="D62" s="24">
        <f>Consulting!D14</f>
        <v>-128</v>
      </c>
      <c r="E62" s="24">
        <f>Consulting!E14</f>
        <v>-128</v>
      </c>
      <c r="F62" s="24">
        <f>Consulting!F14</f>
        <v>-128</v>
      </c>
      <c r="G62" s="24">
        <f>Consulting!G14</f>
        <v>-128</v>
      </c>
      <c r="H62" s="24">
        <f>Consulting!H14</f>
        <v>-128</v>
      </c>
      <c r="I62" s="24">
        <f>Consulting!I14</f>
        <v>-128</v>
      </c>
      <c r="J62" s="24">
        <f>Consulting!J14</f>
        <v>-200</v>
      </c>
      <c r="K62" s="24">
        <f>Consulting!K14</f>
        <v>-200</v>
      </c>
      <c r="L62" s="24">
        <f>Consulting!L14</f>
        <v>-200</v>
      </c>
      <c r="M62" s="24">
        <f>Consulting!M14</f>
        <v>-200</v>
      </c>
      <c r="N62" s="24">
        <f>Consulting!N14</f>
        <v>-200</v>
      </c>
      <c r="O62" s="24">
        <f>Consulting!O14</f>
        <v>-200</v>
      </c>
      <c r="P62" s="26">
        <f t="shared" si="79"/>
        <v>-1968</v>
      </c>
      <c r="Q62" s="14"/>
      <c r="R62" s="24">
        <f>Consulting!R14</f>
        <v>-211.2</v>
      </c>
      <c r="S62" s="24">
        <f>Consulting!S14</f>
        <v>-211.2</v>
      </c>
      <c r="T62" s="24">
        <f>Consulting!T14</f>
        <v>-211.2</v>
      </c>
      <c r="U62" s="24">
        <f>Consulting!U14</f>
        <v>-211.2</v>
      </c>
      <c r="V62" s="24">
        <f>Consulting!V14</f>
        <v>-135.168</v>
      </c>
      <c r="W62" s="24">
        <f>Consulting!W14</f>
        <v>-135.168</v>
      </c>
      <c r="X62" s="24">
        <f>Consulting!X14</f>
        <v>-211.2</v>
      </c>
      <c r="Y62" s="24">
        <f>Consulting!Y14</f>
        <v>-211.2</v>
      </c>
      <c r="Z62" s="24">
        <f>Consulting!Z14</f>
        <v>-211.2</v>
      </c>
      <c r="AA62" s="24">
        <f>Consulting!AA14</f>
        <v>-211.2</v>
      </c>
      <c r="AB62" s="24">
        <f>Consulting!AB14</f>
        <v>-211.2</v>
      </c>
      <c r="AC62" s="24">
        <f>Consulting!AC14</f>
        <v>-211.2</v>
      </c>
      <c r="AD62" s="26">
        <f t="shared" si="80"/>
        <v>-2382.336</v>
      </c>
      <c r="AE62" s="14"/>
      <c r="AF62" s="24">
        <f>Consulting!AF14</f>
        <v>-221.9712</v>
      </c>
      <c r="AG62" s="24">
        <f>Consulting!AG14</f>
        <v>-221.9712</v>
      </c>
      <c r="AH62" s="24">
        <f>Consulting!AH14</f>
        <v>-221.9712</v>
      </c>
      <c r="AI62" s="24">
        <f>Consulting!AI14</f>
        <v>-221.9712</v>
      </c>
      <c r="AJ62" s="24">
        <f>Consulting!AJ14</f>
        <v>-142.061568</v>
      </c>
      <c r="AK62" s="24">
        <f>Consulting!AK14</f>
        <v>-142.061568</v>
      </c>
      <c r="AL62" s="24">
        <f>Consulting!AL14</f>
        <v>-221.9712</v>
      </c>
      <c r="AM62" s="24">
        <f>Consulting!AM14</f>
        <v>-221.9712</v>
      </c>
      <c r="AN62" s="24">
        <f>Consulting!AN14</f>
        <v>-221.9712</v>
      </c>
      <c r="AO62" s="24">
        <f>Consulting!AO14</f>
        <v>-221.9712</v>
      </c>
      <c r="AP62" s="24">
        <f>Consulting!AP14</f>
        <v>-221.9712</v>
      </c>
      <c r="AQ62" s="24">
        <f>Consulting!AQ14</f>
        <v>-221.9712</v>
      </c>
      <c r="AR62" s="26">
        <f t="shared" si="81"/>
        <v>-2503.835136</v>
      </c>
      <c r="AS62" s="14"/>
      <c r="AT62" s="24">
        <f>Consulting!AT14</f>
        <v>-233.2917312</v>
      </c>
      <c r="AU62" s="24">
        <f>Consulting!AU14</f>
        <v>-233.2917312</v>
      </c>
      <c r="AV62" s="24">
        <f>Consulting!AV14</f>
        <v>-233.2917312</v>
      </c>
      <c r="AW62" s="24">
        <f>Consulting!AW14</f>
        <v>-233.2917312</v>
      </c>
      <c r="AX62" s="24">
        <f>Consulting!AX14</f>
        <v>-149.306708</v>
      </c>
      <c r="AY62" s="24">
        <f>Consulting!AY14</f>
        <v>-149.306708</v>
      </c>
      <c r="AZ62" s="24">
        <f>Consulting!AZ14</f>
        <v>-233.2917312</v>
      </c>
      <c r="BA62" s="24">
        <f>Consulting!BA14</f>
        <v>-233.2917312</v>
      </c>
      <c r="BB62" s="24">
        <f>Consulting!BB14</f>
        <v>-233.2917312</v>
      </c>
      <c r="BC62" s="24">
        <f>Consulting!BC14</f>
        <v>-233.2917312</v>
      </c>
      <c r="BD62" s="24">
        <f>Consulting!BD14</f>
        <v>-233.2917312</v>
      </c>
      <c r="BE62" s="24">
        <f>Consulting!BE14</f>
        <v>-233.2917312</v>
      </c>
      <c r="BF62" s="26">
        <f t="shared" si="82"/>
        <v>-2631.530728</v>
      </c>
      <c r="BG62" s="14"/>
      <c r="BH62" s="24">
        <f>Consulting!BH14</f>
        <v>-245.1896095</v>
      </c>
      <c r="BI62" s="24">
        <f>Consulting!BI14</f>
        <v>-245.1896095</v>
      </c>
      <c r="BJ62" s="24">
        <f>Consulting!BJ14</f>
        <v>-245.1896095</v>
      </c>
      <c r="BK62" s="24">
        <f>Consulting!BK14</f>
        <v>-245.1896095</v>
      </c>
      <c r="BL62" s="24">
        <f>Consulting!BL14</f>
        <v>-156.9213501</v>
      </c>
      <c r="BM62" s="24">
        <f>Consulting!BM14</f>
        <v>-156.9213501</v>
      </c>
      <c r="BN62" s="24">
        <f>Consulting!BN14</f>
        <v>-245.1896095</v>
      </c>
      <c r="BO62" s="24">
        <f>Consulting!BO14</f>
        <v>-245.1896095</v>
      </c>
      <c r="BP62" s="24">
        <f>Consulting!BP14</f>
        <v>-245.1896095</v>
      </c>
      <c r="BQ62" s="24">
        <f>Consulting!BQ14</f>
        <v>-245.1896095</v>
      </c>
      <c r="BR62" s="24">
        <f>Consulting!BR14</f>
        <v>-245.1896095</v>
      </c>
      <c r="BS62" s="24">
        <f>Consulting!BS14</f>
        <v>-245.1896095</v>
      </c>
      <c r="BT62" s="26">
        <f t="shared" si="83"/>
        <v>-2765.738795</v>
      </c>
      <c r="BU62" s="14"/>
      <c r="BV62" s="24"/>
      <c r="BW62" s="24">
        <f>Consulting!BW14</f>
        <v>-257.6942796</v>
      </c>
      <c r="BX62" s="24">
        <f>Consulting!BX14</f>
        <v>-257.6942796</v>
      </c>
      <c r="BY62" s="24">
        <f>Consulting!BY14</f>
        <v>-257.6942796</v>
      </c>
      <c r="BZ62" s="24">
        <f>Consulting!BZ14</f>
        <v>-164.9243389</v>
      </c>
      <c r="CA62" s="24">
        <f>Consulting!CA14</f>
        <v>-164.9243389</v>
      </c>
      <c r="CB62" s="24">
        <f>Consulting!CB14</f>
        <v>-257.6942796</v>
      </c>
      <c r="CC62" s="24">
        <f>Consulting!CC14</f>
        <v>-257.6942796</v>
      </c>
      <c r="CD62" s="24">
        <f>Consulting!CD14</f>
        <v>-257.6942796</v>
      </c>
      <c r="CE62" s="24">
        <f>Consulting!CE14</f>
        <v>-257.6942796</v>
      </c>
      <c r="CF62" s="24">
        <f>Consulting!CF14</f>
        <v>-257.6942796</v>
      </c>
      <c r="CG62" s="24">
        <f>Consulting!CG14</f>
        <v>-257.6942796</v>
      </c>
      <c r="CH62" s="26">
        <f t="shared" si="84"/>
        <v>-2649.097194</v>
      </c>
      <c r="CI62" s="14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</row>
    <row r="63" ht="13.5" customHeight="1" outlineLevel="1">
      <c r="A63" s="27"/>
      <c r="B63" s="24" t="str">
        <f>Consulting!B15</f>
        <v>Tax Advisory Fees</v>
      </c>
      <c r="C63" s="24" t="str">
        <f>Consulting!C15</f>
        <v>C4</v>
      </c>
      <c r="D63" s="24">
        <f>Consulting!D15</f>
        <v>0</v>
      </c>
      <c r="E63" s="24">
        <f>Consulting!E15</f>
        <v>0</v>
      </c>
      <c r="F63" s="24">
        <f>Consulting!F15</f>
        <v>0</v>
      </c>
      <c r="G63" s="24">
        <f>Consulting!G15</f>
        <v>0</v>
      </c>
      <c r="H63" s="24">
        <f>Consulting!H15</f>
        <v>0</v>
      </c>
      <c r="I63" s="24">
        <f>Consulting!I15</f>
        <v>0</v>
      </c>
      <c r="J63" s="24">
        <f>Consulting!J15</f>
        <v>0</v>
      </c>
      <c r="K63" s="24">
        <f>Consulting!K15</f>
        <v>0</v>
      </c>
      <c r="L63" s="24">
        <f>Consulting!L15</f>
        <v>-3000</v>
      </c>
      <c r="M63" s="24">
        <f>Consulting!M15</f>
        <v>0</v>
      </c>
      <c r="N63" s="24">
        <f>Consulting!N15</f>
        <v>0</v>
      </c>
      <c r="O63" s="24">
        <f>Consulting!O15</f>
        <v>-3000</v>
      </c>
      <c r="P63" s="26">
        <f t="shared" si="79"/>
        <v>-6000</v>
      </c>
      <c r="Q63" s="14"/>
      <c r="R63" s="24">
        <f>Consulting!R15</f>
        <v>0</v>
      </c>
      <c r="S63" s="24">
        <f>Consulting!S15</f>
        <v>0</v>
      </c>
      <c r="T63" s="24">
        <f>Consulting!T15</f>
        <v>0</v>
      </c>
      <c r="U63" s="24">
        <f>Consulting!U15</f>
        <v>0</v>
      </c>
      <c r="V63" s="24">
        <f>Consulting!V15</f>
        <v>0</v>
      </c>
      <c r="W63" s="24">
        <f>Consulting!W15</f>
        <v>0</v>
      </c>
      <c r="X63" s="24">
        <f>Consulting!X15</f>
        <v>0</v>
      </c>
      <c r="Y63" s="24">
        <f>Consulting!Y15</f>
        <v>0</v>
      </c>
      <c r="Z63" s="24">
        <f>Consulting!Z15</f>
        <v>-3168</v>
      </c>
      <c r="AA63" s="24">
        <f>Consulting!AA15</f>
        <v>0</v>
      </c>
      <c r="AB63" s="24">
        <f>Consulting!AB15</f>
        <v>0</v>
      </c>
      <c r="AC63" s="24">
        <f>Consulting!AC15</f>
        <v>-3168</v>
      </c>
      <c r="AD63" s="26">
        <f t="shared" si="80"/>
        <v>-6336</v>
      </c>
      <c r="AE63" s="14"/>
      <c r="AF63" s="24">
        <f>Consulting!AF15</f>
        <v>0</v>
      </c>
      <c r="AG63" s="24">
        <f>Consulting!AG15</f>
        <v>0</v>
      </c>
      <c r="AH63" s="24">
        <f>Consulting!AH15</f>
        <v>0</v>
      </c>
      <c r="AI63" s="24">
        <f>Consulting!AI15</f>
        <v>0</v>
      </c>
      <c r="AJ63" s="24">
        <f>Consulting!AJ15</f>
        <v>0</v>
      </c>
      <c r="AK63" s="24">
        <f>Consulting!AK15</f>
        <v>0</v>
      </c>
      <c r="AL63" s="24">
        <f>Consulting!AL15</f>
        <v>0</v>
      </c>
      <c r="AM63" s="24">
        <f>Consulting!AM15</f>
        <v>0</v>
      </c>
      <c r="AN63" s="24">
        <f>Consulting!AN15</f>
        <v>-3329.568</v>
      </c>
      <c r="AO63" s="24">
        <f>Consulting!AO15</f>
        <v>0</v>
      </c>
      <c r="AP63" s="24">
        <f>Consulting!AP15</f>
        <v>0</v>
      </c>
      <c r="AQ63" s="24">
        <f>Consulting!AQ15</f>
        <v>-3329.568</v>
      </c>
      <c r="AR63" s="26">
        <f t="shared" si="81"/>
        <v>-6659.136</v>
      </c>
      <c r="AS63" s="14"/>
      <c r="AT63" s="24">
        <f>Consulting!AT15</f>
        <v>0</v>
      </c>
      <c r="AU63" s="24">
        <f>Consulting!AU15</f>
        <v>0</v>
      </c>
      <c r="AV63" s="24">
        <f>Consulting!AV15</f>
        <v>0</v>
      </c>
      <c r="AW63" s="24">
        <f>Consulting!AW15</f>
        <v>0</v>
      </c>
      <c r="AX63" s="24">
        <f>Consulting!AX15</f>
        <v>0</v>
      </c>
      <c r="AY63" s="24">
        <f>Consulting!AY15</f>
        <v>0</v>
      </c>
      <c r="AZ63" s="24">
        <f>Consulting!AZ15</f>
        <v>0</v>
      </c>
      <c r="BA63" s="24">
        <f>Consulting!BA15</f>
        <v>0</v>
      </c>
      <c r="BB63" s="24">
        <f>Consulting!BB15</f>
        <v>-3499.375968</v>
      </c>
      <c r="BC63" s="24">
        <f>Consulting!BC15</f>
        <v>0</v>
      </c>
      <c r="BD63" s="24">
        <f>Consulting!BD15</f>
        <v>0</v>
      </c>
      <c r="BE63" s="24">
        <f>Consulting!BE15</f>
        <v>-3499.375968</v>
      </c>
      <c r="BF63" s="26">
        <f t="shared" si="82"/>
        <v>-6998.751936</v>
      </c>
      <c r="BG63" s="14"/>
      <c r="BH63" s="24">
        <f>Consulting!BH15</f>
        <v>0</v>
      </c>
      <c r="BI63" s="24">
        <f>Consulting!BI15</f>
        <v>0</v>
      </c>
      <c r="BJ63" s="24">
        <f>Consulting!BJ15</f>
        <v>0</v>
      </c>
      <c r="BK63" s="24">
        <f>Consulting!BK15</f>
        <v>0</v>
      </c>
      <c r="BL63" s="24">
        <f>Consulting!BL15</f>
        <v>0</v>
      </c>
      <c r="BM63" s="24">
        <f>Consulting!BM15</f>
        <v>0</v>
      </c>
      <c r="BN63" s="24">
        <f>Consulting!BN15</f>
        <v>0</v>
      </c>
      <c r="BO63" s="24">
        <f>Consulting!BO15</f>
        <v>0</v>
      </c>
      <c r="BP63" s="24">
        <f>Consulting!BP15</f>
        <v>-3677.844142</v>
      </c>
      <c r="BQ63" s="24">
        <f>Consulting!BQ15</f>
        <v>0</v>
      </c>
      <c r="BR63" s="24">
        <f>Consulting!BR15</f>
        <v>0</v>
      </c>
      <c r="BS63" s="24">
        <f>Consulting!BS15</f>
        <v>-3677.844142</v>
      </c>
      <c r="BT63" s="26">
        <f t="shared" si="83"/>
        <v>-7355.688285</v>
      </c>
      <c r="BU63" s="14"/>
      <c r="BV63" s="24">
        <f>Consulting!BV15</f>
        <v>0</v>
      </c>
      <c r="BW63" s="24">
        <f>Consulting!BW15</f>
        <v>0</v>
      </c>
      <c r="BX63" s="24">
        <f>Consulting!BX15</f>
        <v>0</v>
      </c>
      <c r="BY63" s="24">
        <f>Consulting!BY15</f>
        <v>0</v>
      </c>
      <c r="BZ63" s="24">
        <f>Consulting!BZ15</f>
        <v>0</v>
      </c>
      <c r="CA63" s="24">
        <f>Consulting!CA15</f>
        <v>0</v>
      </c>
      <c r="CB63" s="24">
        <f>Consulting!CB15</f>
        <v>0</v>
      </c>
      <c r="CC63" s="24">
        <f>Consulting!CC15</f>
        <v>0</v>
      </c>
      <c r="CD63" s="24">
        <f>Consulting!CD15</f>
        <v>-3865.414194</v>
      </c>
      <c r="CE63" s="24">
        <f>Consulting!CE15</f>
        <v>0</v>
      </c>
      <c r="CF63" s="24">
        <f>Consulting!CF15</f>
        <v>0</v>
      </c>
      <c r="CG63" s="24">
        <f>Consulting!CG15</f>
        <v>-3865.414194</v>
      </c>
      <c r="CH63" s="26">
        <f t="shared" si="84"/>
        <v>-7730.828387</v>
      </c>
      <c r="CI63" s="14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</row>
    <row r="64" ht="13.5" customHeight="1" outlineLevel="1">
      <c r="A64" s="27"/>
      <c r="B64" s="24" t="str">
        <f>Consulting!B16</f>
        <v>Web / IT / E-Commerce</v>
      </c>
      <c r="C64" s="24" t="str">
        <f>Consulting!C16</f>
        <v>C5</v>
      </c>
      <c r="D64" s="24">
        <f>Consulting!D16</f>
        <v>0</v>
      </c>
      <c r="E64" s="24">
        <f>Consulting!E16</f>
        <v>0</v>
      </c>
      <c r="F64" s="24">
        <f>Consulting!F16</f>
        <v>0</v>
      </c>
      <c r="G64" s="24">
        <f>Consulting!G16</f>
        <v>0</v>
      </c>
      <c r="H64" s="24">
        <f>Consulting!H16</f>
        <v>0</v>
      </c>
      <c r="I64" s="24">
        <f>Consulting!I16</f>
        <v>-500</v>
      </c>
      <c r="J64" s="24">
        <f>Consulting!J16</f>
        <v>-500</v>
      </c>
      <c r="K64" s="24">
        <f>Consulting!K16</f>
        <v>-635</v>
      </c>
      <c r="L64" s="24">
        <f>Consulting!L16</f>
        <v>-635</v>
      </c>
      <c r="M64" s="24">
        <f>Consulting!M16</f>
        <v>-635</v>
      </c>
      <c r="N64" s="24">
        <f>Consulting!N16</f>
        <v>-635</v>
      </c>
      <c r="O64" s="24">
        <f>Consulting!O16</f>
        <v>-635</v>
      </c>
      <c r="P64" s="26">
        <f t="shared" si="79"/>
        <v>-4175</v>
      </c>
      <c r="Q64" s="14"/>
      <c r="R64" s="24">
        <f>Consulting!R16</f>
        <v>0</v>
      </c>
      <c r="S64" s="24">
        <f>Consulting!S16</f>
        <v>0</v>
      </c>
      <c r="T64" s="24">
        <f>Consulting!T16</f>
        <v>0</v>
      </c>
      <c r="U64" s="24">
        <f>Consulting!U16</f>
        <v>0</v>
      </c>
      <c r="V64" s="24">
        <f>Consulting!V16</f>
        <v>0</v>
      </c>
      <c r="W64" s="24">
        <f>Consulting!W16</f>
        <v>-528</v>
      </c>
      <c r="X64" s="24">
        <f>Consulting!X16</f>
        <v>-528</v>
      </c>
      <c r="Y64" s="24">
        <f>Consulting!Y16</f>
        <v>-670.56</v>
      </c>
      <c r="Z64" s="24">
        <f>Consulting!Z16</f>
        <v>-670.56</v>
      </c>
      <c r="AA64" s="24">
        <f>Consulting!AA16</f>
        <v>-670.56</v>
      </c>
      <c r="AB64" s="24">
        <f>Consulting!AB16</f>
        <v>-670.56</v>
      </c>
      <c r="AC64" s="24">
        <f>Consulting!AC16</f>
        <v>-670.56</v>
      </c>
      <c r="AD64" s="26">
        <f t="shared" si="80"/>
        <v>-4408.8</v>
      </c>
      <c r="AE64" s="14"/>
      <c r="AF64" s="24">
        <f>Consulting!AF16</f>
        <v>0</v>
      </c>
      <c r="AG64" s="24">
        <f>Consulting!AG16</f>
        <v>0</v>
      </c>
      <c r="AH64" s="24">
        <f>Consulting!AH16</f>
        <v>0</v>
      </c>
      <c r="AI64" s="24">
        <f>Consulting!AI16</f>
        <v>0</v>
      </c>
      <c r="AJ64" s="24">
        <f>Consulting!AJ16</f>
        <v>0</v>
      </c>
      <c r="AK64" s="24">
        <f>Consulting!AK16</f>
        <v>-554.928</v>
      </c>
      <c r="AL64" s="24">
        <f>Consulting!AL16</f>
        <v>-554.928</v>
      </c>
      <c r="AM64" s="24">
        <f>Consulting!AM16</f>
        <v>-704.75856</v>
      </c>
      <c r="AN64" s="24">
        <f>Consulting!AN16</f>
        <v>-704.75856</v>
      </c>
      <c r="AO64" s="24">
        <f>Consulting!AO16</f>
        <v>-704.75856</v>
      </c>
      <c r="AP64" s="24">
        <f>Consulting!AP16</f>
        <v>-704.75856</v>
      </c>
      <c r="AQ64" s="24">
        <f>Consulting!AQ16</f>
        <v>-704.75856</v>
      </c>
      <c r="AR64" s="26">
        <f t="shared" si="81"/>
        <v>-4633.6488</v>
      </c>
      <c r="AS64" s="14"/>
      <c r="AT64" s="24">
        <f>Consulting!AT16</f>
        <v>0</v>
      </c>
      <c r="AU64" s="24">
        <f>Consulting!AU16</f>
        <v>0</v>
      </c>
      <c r="AV64" s="24">
        <f>Consulting!AV16</f>
        <v>0</v>
      </c>
      <c r="AW64" s="24">
        <f>Consulting!AW16</f>
        <v>0</v>
      </c>
      <c r="AX64" s="24">
        <f>Consulting!AX16</f>
        <v>0</v>
      </c>
      <c r="AY64" s="24">
        <f>Consulting!AY16</f>
        <v>-583.229328</v>
      </c>
      <c r="AZ64" s="24">
        <f>Consulting!AZ16</f>
        <v>-583.229328</v>
      </c>
      <c r="BA64" s="24">
        <f>Consulting!BA16</f>
        <v>-740.7012466</v>
      </c>
      <c r="BB64" s="24">
        <f>Consulting!BB16</f>
        <v>-740.7012466</v>
      </c>
      <c r="BC64" s="24">
        <f>Consulting!BC16</f>
        <v>-740.7012466</v>
      </c>
      <c r="BD64" s="24">
        <f>Consulting!BD16</f>
        <v>-740.7012466</v>
      </c>
      <c r="BE64" s="24">
        <f>Consulting!BE16</f>
        <v>-740.7012466</v>
      </c>
      <c r="BF64" s="26">
        <f t="shared" si="82"/>
        <v>-4869.964889</v>
      </c>
      <c r="BG64" s="14"/>
      <c r="BH64" s="24">
        <f>Consulting!BH16</f>
        <v>0</v>
      </c>
      <c r="BI64" s="24">
        <f>Consulting!BI16</f>
        <v>0</v>
      </c>
      <c r="BJ64" s="24">
        <f>Consulting!BJ16</f>
        <v>0</v>
      </c>
      <c r="BK64" s="24">
        <f>Consulting!BK16</f>
        <v>0</v>
      </c>
      <c r="BL64" s="24">
        <f>Consulting!BL16</f>
        <v>0</v>
      </c>
      <c r="BM64" s="24">
        <f>Consulting!BM16</f>
        <v>-612.9740237</v>
      </c>
      <c r="BN64" s="24">
        <f>Consulting!BN16</f>
        <v>-612.9740237</v>
      </c>
      <c r="BO64" s="24">
        <f>Consulting!BO16</f>
        <v>-778.4770101</v>
      </c>
      <c r="BP64" s="24">
        <f>Consulting!BP16</f>
        <v>-778.4770101</v>
      </c>
      <c r="BQ64" s="24">
        <f>Consulting!BQ16</f>
        <v>-778.4770101</v>
      </c>
      <c r="BR64" s="24">
        <f>Consulting!BR16</f>
        <v>-778.4770101</v>
      </c>
      <c r="BS64" s="24">
        <f>Consulting!BS16</f>
        <v>-778.4770101</v>
      </c>
      <c r="BT64" s="26">
        <f t="shared" si="83"/>
        <v>-5118.333098</v>
      </c>
      <c r="BU64" s="14"/>
      <c r="BV64" s="24">
        <f>Consulting!BV16</f>
        <v>0</v>
      </c>
      <c r="BW64" s="24">
        <f>Consulting!BW16</f>
        <v>0</v>
      </c>
      <c r="BX64" s="24">
        <f>Consulting!BX16</f>
        <v>0</v>
      </c>
      <c r="BY64" s="24">
        <f>Consulting!BY16</f>
        <v>0</v>
      </c>
      <c r="BZ64" s="24">
        <f>Consulting!BZ16</f>
        <v>0</v>
      </c>
      <c r="CA64" s="24">
        <f>Consulting!CA16</f>
        <v>-644.2356989</v>
      </c>
      <c r="CB64" s="24">
        <f>Consulting!CB16</f>
        <v>-644.2356989</v>
      </c>
      <c r="CC64" s="24">
        <f>Consulting!CC16</f>
        <v>-818.1793377</v>
      </c>
      <c r="CD64" s="24">
        <f>Consulting!CD16</f>
        <v>-818.1793377</v>
      </c>
      <c r="CE64" s="24">
        <f>Consulting!CE16</f>
        <v>-818.1793377</v>
      </c>
      <c r="CF64" s="24">
        <f>Consulting!CF16</f>
        <v>-818.1793377</v>
      </c>
      <c r="CG64" s="24">
        <f>Consulting!CG16</f>
        <v>-818.1793377</v>
      </c>
      <c r="CH64" s="26">
        <f t="shared" si="84"/>
        <v>-5379.368086</v>
      </c>
      <c r="CI64" s="14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</row>
    <row r="65" ht="13.5" customHeight="1" outlineLevel="1">
      <c r="A65" s="27"/>
      <c r="B65" s="24" t="str">
        <f>Consulting!B17</f>
        <v>Architect</v>
      </c>
      <c r="C65" s="24" t="str">
        <f>Consulting!C17</f>
        <v>C6</v>
      </c>
      <c r="D65" s="24">
        <f>Consulting!D17</f>
        <v>0</v>
      </c>
      <c r="E65" s="24">
        <f>Consulting!E17</f>
        <v>0</v>
      </c>
      <c r="F65" s="24">
        <f>Consulting!F17</f>
        <v>0</v>
      </c>
      <c r="G65" s="24">
        <f>Consulting!G17</f>
        <v>0</v>
      </c>
      <c r="H65" s="24">
        <f>Consulting!H17</f>
        <v>0</v>
      </c>
      <c r="I65" s="24">
        <f>Consulting!I17</f>
        <v>-2100</v>
      </c>
      <c r="J65" s="24">
        <f>Consulting!J17</f>
        <v>-2100</v>
      </c>
      <c r="K65" s="24">
        <f>Consulting!K17</f>
        <v>-2100</v>
      </c>
      <c r="L65" s="24">
        <f>Consulting!L17</f>
        <v>0</v>
      </c>
      <c r="M65" s="24">
        <f>Consulting!M17</f>
        <v>0</v>
      </c>
      <c r="N65" s="24">
        <f>Consulting!N17</f>
        <v>0</v>
      </c>
      <c r="O65" s="24">
        <f>Consulting!O17</f>
        <v>0</v>
      </c>
      <c r="P65" s="26">
        <f t="shared" si="79"/>
        <v>-6300</v>
      </c>
      <c r="Q65" s="14"/>
      <c r="R65" s="24">
        <f>Consulting!R17</f>
        <v>0</v>
      </c>
      <c r="S65" s="24">
        <f>Consulting!S17</f>
        <v>0</v>
      </c>
      <c r="T65" s="24">
        <f>Consulting!T17</f>
        <v>0</v>
      </c>
      <c r="U65" s="24">
        <f>Consulting!U17</f>
        <v>0</v>
      </c>
      <c r="V65" s="24">
        <f>Consulting!V17</f>
        <v>0</v>
      </c>
      <c r="W65" s="24">
        <f>Consulting!W17</f>
        <v>-2217.6</v>
      </c>
      <c r="X65" s="24">
        <f>Consulting!X17</f>
        <v>-2217.6</v>
      </c>
      <c r="Y65" s="24">
        <f>Consulting!Y17</f>
        <v>-2217.6</v>
      </c>
      <c r="Z65" s="24">
        <f>Consulting!Z17</f>
        <v>0</v>
      </c>
      <c r="AA65" s="24">
        <f>Consulting!AA17</f>
        <v>0</v>
      </c>
      <c r="AB65" s="24">
        <f>Consulting!AB17</f>
        <v>0</v>
      </c>
      <c r="AC65" s="24">
        <f>Consulting!AC17</f>
        <v>0</v>
      </c>
      <c r="AD65" s="26">
        <f t="shared" si="80"/>
        <v>-6652.8</v>
      </c>
      <c r="AE65" s="14"/>
      <c r="AF65" s="24">
        <f>Consulting!AF17</f>
        <v>0</v>
      </c>
      <c r="AG65" s="24">
        <f>Consulting!AG17</f>
        <v>0</v>
      </c>
      <c r="AH65" s="24">
        <f>Consulting!AH17</f>
        <v>0</v>
      </c>
      <c r="AI65" s="24">
        <f>Consulting!AI17</f>
        <v>0</v>
      </c>
      <c r="AJ65" s="24">
        <f>Consulting!AJ17</f>
        <v>0</v>
      </c>
      <c r="AK65" s="24">
        <f>Consulting!AK17</f>
        <v>-2330.6976</v>
      </c>
      <c r="AL65" s="24">
        <f>Consulting!AL17</f>
        <v>-2330.6976</v>
      </c>
      <c r="AM65" s="24">
        <f>Consulting!AM17</f>
        <v>-2330.6976</v>
      </c>
      <c r="AN65" s="24">
        <f>Consulting!AN17</f>
        <v>0</v>
      </c>
      <c r="AO65" s="24">
        <f>Consulting!AO17</f>
        <v>0</v>
      </c>
      <c r="AP65" s="24">
        <f>Consulting!AP17</f>
        <v>0</v>
      </c>
      <c r="AQ65" s="24">
        <f>Consulting!AQ17</f>
        <v>0</v>
      </c>
      <c r="AR65" s="26">
        <f t="shared" si="81"/>
        <v>-6992.0928</v>
      </c>
      <c r="AS65" s="14"/>
      <c r="AT65" s="24">
        <f>Consulting!AT17</f>
        <v>0</v>
      </c>
      <c r="AU65" s="24">
        <f>Consulting!AU17</f>
        <v>0</v>
      </c>
      <c r="AV65" s="24">
        <f>Consulting!AV17</f>
        <v>0</v>
      </c>
      <c r="AW65" s="24">
        <f>Consulting!AW17</f>
        <v>0</v>
      </c>
      <c r="AX65" s="24">
        <f>Consulting!AX17</f>
        <v>0</v>
      </c>
      <c r="AY65" s="24">
        <f>Consulting!AY17</f>
        <v>-2449.563178</v>
      </c>
      <c r="AZ65" s="24">
        <f>Consulting!AZ17</f>
        <v>-2449.563178</v>
      </c>
      <c r="BA65" s="24">
        <f>Consulting!BA17</f>
        <v>-2449.563178</v>
      </c>
      <c r="BB65" s="24">
        <f>Consulting!BB17</f>
        <v>0</v>
      </c>
      <c r="BC65" s="24">
        <f>Consulting!BC17</f>
        <v>0</v>
      </c>
      <c r="BD65" s="24">
        <f>Consulting!BD17</f>
        <v>0</v>
      </c>
      <c r="BE65" s="24">
        <f>Consulting!BE17</f>
        <v>0</v>
      </c>
      <c r="BF65" s="26">
        <f t="shared" si="82"/>
        <v>-7348.689533</v>
      </c>
      <c r="BG65" s="14"/>
      <c r="BH65" s="24">
        <f>Consulting!BH17</f>
        <v>0</v>
      </c>
      <c r="BI65" s="24">
        <f>Consulting!BI17</f>
        <v>0</v>
      </c>
      <c r="BJ65" s="24">
        <f>Consulting!BJ17</f>
        <v>0</v>
      </c>
      <c r="BK65" s="24">
        <f>Consulting!BK17</f>
        <v>0</v>
      </c>
      <c r="BL65" s="24">
        <f>Consulting!BL17</f>
        <v>0</v>
      </c>
      <c r="BM65" s="24">
        <f>Consulting!BM17</f>
        <v>-2574.4909</v>
      </c>
      <c r="BN65" s="24">
        <f>Consulting!BN17</f>
        <v>-2574.4909</v>
      </c>
      <c r="BO65" s="24">
        <f>Consulting!BO17</f>
        <v>-2574.4909</v>
      </c>
      <c r="BP65" s="24">
        <f>Consulting!BP17</f>
        <v>0</v>
      </c>
      <c r="BQ65" s="24">
        <f>Consulting!BQ17</f>
        <v>0</v>
      </c>
      <c r="BR65" s="24">
        <f>Consulting!BR17</f>
        <v>0</v>
      </c>
      <c r="BS65" s="24">
        <f>Consulting!BS17</f>
        <v>0</v>
      </c>
      <c r="BT65" s="26">
        <f t="shared" si="83"/>
        <v>-7723.472699</v>
      </c>
      <c r="BU65" s="14"/>
      <c r="BV65" s="24">
        <f>Consulting!BV17</f>
        <v>0</v>
      </c>
      <c r="BW65" s="24">
        <f>Consulting!BW17</f>
        <v>0</v>
      </c>
      <c r="BX65" s="24">
        <f>Consulting!BX17</f>
        <v>0</v>
      </c>
      <c r="BY65" s="24">
        <f>Consulting!BY17</f>
        <v>0</v>
      </c>
      <c r="BZ65" s="24">
        <f>Consulting!BZ17</f>
        <v>0</v>
      </c>
      <c r="CA65" s="24">
        <f>Consulting!CA17</f>
        <v>-2705.789936</v>
      </c>
      <c r="CB65" s="24">
        <f>Consulting!CB17</f>
        <v>-2705.789936</v>
      </c>
      <c r="CC65" s="24">
        <f>Consulting!CC17</f>
        <v>-2705.789936</v>
      </c>
      <c r="CD65" s="24">
        <f>Consulting!CD17</f>
        <v>0</v>
      </c>
      <c r="CE65" s="24">
        <f>Consulting!CE17</f>
        <v>0</v>
      </c>
      <c r="CF65" s="24">
        <f>Consulting!CF17</f>
        <v>0</v>
      </c>
      <c r="CG65" s="24">
        <f>Consulting!CG17</f>
        <v>0</v>
      </c>
      <c r="CH65" s="26">
        <f t="shared" si="84"/>
        <v>-8117.369807</v>
      </c>
      <c r="CI65" s="14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</row>
    <row r="66" ht="13.5" customHeight="1" outlineLevel="1">
      <c r="A66" s="27"/>
      <c r="B66" s="24" t="str">
        <f>Consulting!B18</f>
        <v>Refurbishment</v>
      </c>
      <c r="C66" s="24" t="str">
        <f>Consulting!C18</f>
        <v>C7</v>
      </c>
      <c r="D66" s="24">
        <f>Consulting!D18</f>
        <v>0</v>
      </c>
      <c r="E66" s="24">
        <f>Consulting!E18</f>
        <v>0</v>
      </c>
      <c r="F66" s="24">
        <f>Consulting!F18</f>
        <v>0</v>
      </c>
      <c r="G66" s="24">
        <f>Consulting!G18</f>
        <v>0</v>
      </c>
      <c r="H66" s="24">
        <f>Consulting!H18</f>
        <v>0</v>
      </c>
      <c r="I66" s="24">
        <f>Consulting!I18</f>
        <v>0</v>
      </c>
      <c r="J66" s="24">
        <f>Consulting!J18</f>
        <v>-7000</v>
      </c>
      <c r="K66" s="24">
        <f>Consulting!K18</f>
        <v>-7000</v>
      </c>
      <c r="L66" s="24">
        <f>Consulting!L18</f>
        <v>-7000</v>
      </c>
      <c r="M66" s="24">
        <f>Consulting!M18</f>
        <v>0</v>
      </c>
      <c r="N66" s="24">
        <f>Consulting!N18</f>
        <v>0</v>
      </c>
      <c r="O66" s="24">
        <f>Consulting!O18</f>
        <v>0</v>
      </c>
      <c r="P66" s="26">
        <f t="shared" si="79"/>
        <v>-21000</v>
      </c>
      <c r="Q66" s="14"/>
      <c r="R66" s="24">
        <f>Consulting!R18</f>
        <v>0</v>
      </c>
      <c r="S66" s="24">
        <f>Consulting!S18</f>
        <v>0</v>
      </c>
      <c r="T66" s="24">
        <f>Consulting!T18</f>
        <v>0</v>
      </c>
      <c r="U66" s="24">
        <f>Consulting!U18</f>
        <v>0</v>
      </c>
      <c r="V66" s="24">
        <f>Consulting!V18</f>
        <v>0</v>
      </c>
      <c r="W66" s="24">
        <f>Consulting!W18</f>
        <v>0</v>
      </c>
      <c r="X66" s="24">
        <f>Consulting!X18</f>
        <v>-7392</v>
      </c>
      <c r="Y66" s="24">
        <f>Consulting!Y18</f>
        <v>-7392</v>
      </c>
      <c r="Z66" s="24">
        <f>Consulting!Z18</f>
        <v>-7392</v>
      </c>
      <c r="AA66" s="24">
        <f>Consulting!AA18</f>
        <v>0</v>
      </c>
      <c r="AB66" s="24">
        <f>Consulting!AB18</f>
        <v>0</v>
      </c>
      <c r="AC66" s="24">
        <f>Consulting!AC18</f>
        <v>0</v>
      </c>
      <c r="AD66" s="26">
        <f t="shared" si="80"/>
        <v>-22176</v>
      </c>
      <c r="AE66" s="14"/>
      <c r="AF66" s="24">
        <f>Consulting!AF18</f>
        <v>0</v>
      </c>
      <c r="AG66" s="24">
        <f>Consulting!AG18</f>
        <v>0</v>
      </c>
      <c r="AH66" s="24">
        <f>Consulting!AH18</f>
        <v>0</v>
      </c>
      <c r="AI66" s="24">
        <f>Consulting!AI18</f>
        <v>0</v>
      </c>
      <c r="AJ66" s="24">
        <f>Consulting!AJ18</f>
        <v>0</v>
      </c>
      <c r="AK66" s="24">
        <f>Consulting!AK18</f>
        <v>0</v>
      </c>
      <c r="AL66" s="24">
        <f>Consulting!AL18</f>
        <v>-7768.992</v>
      </c>
      <c r="AM66" s="24">
        <f>Consulting!AM18</f>
        <v>-7768.992</v>
      </c>
      <c r="AN66" s="24">
        <f>Consulting!AN18</f>
        <v>-7768.992</v>
      </c>
      <c r="AO66" s="24">
        <f>Consulting!AO18</f>
        <v>0</v>
      </c>
      <c r="AP66" s="24">
        <f>Consulting!AP18</f>
        <v>0</v>
      </c>
      <c r="AQ66" s="24">
        <f>Consulting!AQ18</f>
        <v>0</v>
      </c>
      <c r="AR66" s="26">
        <f t="shared" si="81"/>
        <v>-23306.976</v>
      </c>
      <c r="AS66" s="14"/>
      <c r="AT66" s="24">
        <f>Consulting!AT18</f>
        <v>0</v>
      </c>
      <c r="AU66" s="24">
        <f>Consulting!AU18</f>
        <v>0</v>
      </c>
      <c r="AV66" s="24">
        <f>Consulting!AV18</f>
        <v>0</v>
      </c>
      <c r="AW66" s="24">
        <f>Consulting!AW18</f>
        <v>0</v>
      </c>
      <c r="AX66" s="24">
        <f>Consulting!AX18</f>
        <v>0</v>
      </c>
      <c r="AY66" s="24">
        <f>Consulting!AY18</f>
        <v>0</v>
      </c>
      <c r="AZ66" s="24">
        <f>Consulting!AZ18</f>
        <v>-8165.210592</v>
      </c>
      <c r="BA66" s="24">
        <f>Consulting!BA18</f>
        <v>-8165.210592</v>
      </c>
      <c r="BB66" s="24">
        <f>Consulting!BB18</f>
        <v>-8165.210592</v>
      </c>
      <c r="BC66" s="24">
        <f>Consulting!BC18</f>
        <v>0</v>
      </c>
      <c r="BD66" s="24">
        <f>Consulting!BD18</f>
        <v>0</v>
      </c>
      <c r="BE66" s="24">
        <f>Consulting!BE18</f>
        <v>0</v>
      </c>
      <c r="BF66" s="26">
        <f t="shared" si="82"/>
        <v>-24495.63178</v>
      </c>
      <c r="BG66" s="14"/>
      <c r="BH66" s="24">
        <f>Consulting!BH18</f>
        <v>0</v>
      </c>
      <c r="BI66" s="24">
        <f>Consulting!BI18</f>
        <v>0</v>
      </c>
      <c r="BJ66" s="24">
        <f>Consulting!BJ18</f>
        <v>0</v>
      </c>
      <c r="BK66" s="24">
        <f>Consulting!BK18</f>
        <v>0</v>
      </c>
      <c r="BL66" s="24">
        <f>Consulting!BL18</f>
        <v>0</v>
      </c>
      <c r="BM66" s="24">
        <f>Consulting!BM18</f>
        <v>0</v>
      </c>
      <c r="BN66" s="24">
        <f>Consulting!BN18</f>
        <v>-8581.636332</v>
      </c>
      <c r="BO66" s="24">
        <f>Consulting!BO18</f>
        <v>-8581.636332</v>
      </c>
      <c r="BP66" s="24">
        <f>Consulting!BP18</f>
        <v>-8581.636332</v>
      </c>
      <c r="BQ66" s="24">
        <f>Consulting!BQ18</f>
        <v>0</v>
      </c>
      <c r="BR66" s="24">
        <f>Consulting!BR18</f>
        <v>0</v>
      </c>
      <c r="BS66" s="24">
        <f>Consulting!BS18</f>
        <v>0</v>
      </c>
      <c r="BT66" s="26">
        <f t="shared" si="83"/>
        <v>-25744.909</v>
      </c>
      <c r="BU66" s="14"/>
      <c r="BV66" s="24">
        <f>Consulting!BV18</f>
        <v>0</v>
      </c>
      <c r="BW66" s="24">
        <f>Consulting!BW18</f>
        <v>0</v>
      </c>
      <c r="BX66" s="24">
        <f>Consulting!BX18</f>
        <v>0</v>
      </c>
      <c r="BY66" s="24">
        <f>Consulting!BY18</f>
        <v>0</v>
      </c>
      <c r="BZ66" s="24">
        <f>Consulting!BZ18</f>
        <v>0</v>
      </c>
      <c r="CA66" s="24">
        <f>Consulting!CA18</f>
        <v>0</v>
      </c>
      <c r="CB66" s="24">
        <f>Consulting!CB18</f>
        <v>-9019.299785</v>
      </c>
      <c r="CC66" s="24">
        <f>Consulting!CC18</f>
        <v>-9019.299785</v>
      </c>
      <c r="CD66" s="24">
        <f>Consulting!CD18</f>
        <v>-9019.299785</v>
      </c>
      <c r="CE66" s="24">
        <f>Consulting!CE18</f>
        <v>0</v>
      </c>
      <c r="CF66" s="24">
        <f>Consulting!CF18</f>
        <v>0</v>
      </c>
      <c r="CG66" s="24">
        <f>Consulting!CG18</f>
        <v>0</v>
      </c>
      <c r="CH66" s="26">
        <f t="shared" si="84"/>
        <v>-27057.89936</v>
      </c>
      <c r="CI66" s="14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</row>
    <row r="67" ht="13.5" customHeight="1">
      <c r="A67" s="27"/>
      <c r="B67" s="28" t="s">
        <v>43</v>
      </c>
      <c r="C67" s="28"/>
      <c r="D67" s="28">
        <f t="shared" ref="D67:O67" si="85">SUM(D60:D66)</f>
        <v>-128</v>
      </c>
      <c r="E67" s="28">
        <f t="shared" si="85"/>
        <v>-128</v>
      </c>
      <c r="F67" s="28">
        <f t="shared" si="85"/>
        <v>-20128</v>
      </c>
      <c r="G67" s="28">
        <f t="shared" si="85"/>
        <v>-128</v>
      </c>
      <c r="H67" s="28">
        <f t="shared" si="85"/>
        <v>-1628</v>
      </c>
      <c r="I67" s="28">
        <f t="shared" si="85"/>
        <v>-4228</v>
      </c>
      <c r="J67" s="28">
        <f t="shared" si="85"/>
        <v>-11300</v>
      </c>
      <c r="K67" s="28">
        <f t="shared" si="85"/>
        <v>-11435</v>
      </c>
      <c r="L67" s="28">
        <f t="shared" si="85"/>
        <v>-22335</v>
      </c>
      <c r="M67" s="28">
        <f t="shared" si="85"/>
        <v>-2335</v>
      </c>
      <c r="N67" s="28">
        <f t="shared" si="85"/>
        <v>-2335</v>
      </c>
      <c r="O67" s="28">
        <f t="shared" si="85"/>
        <v>-5335</v>
      </c>
      <c r="P67" s="29">
        <f t="shared" si="79"/>
        <v>-81443</v>
      </c>
      <c r="Q67" s="14"/>
      <c r="R67" s="28">
        <f t="shared" ref="R67:AC67" si="86">SUM(R60:R66)</f>
        <v>-1711.2</v>
      </c>
      <c r="S67" s="28">
        <f t="shared" si="86"/>
        <v>-1711.2</v>
      </c>
      <c r="T67" s="28">
        <f t="shared" si="86"/>
        <v>-22831.2</v>
      </c>
      <c r="U67" s="28">
        <f t="shared" si="86"/>
        <v>-1711.2</v>
      </c>
      <c r="V67" s="28">
        <f t="shared" si="86"/>
        <v>-1135.168</v>
      </c>
      <c r="W67" s="28">
        <f t="shared" si="86"/>
        <v>-3880.768</v>
      </c>
      <c r="X67" s="28">
        <f t="shared" si="86"/>
        <v>-11348.8</v>
      </c>
      <c r="Y67" s="28">
        <f t="shared" si="86"/>
        <v>-11491.36</v>
      </c>
      <c r="Z67" s="28">
        <f t="shared" si="86"/>
        <v>-23001.76</v>
      </c>
      <c r="AA67" s="28">
        <f t="shared" si="86"/>
        <v>-1881.76</v>
      </c>
      <c r="AB67" s="28">
        <f t="shared" si="86"/>
        <v>-1881.76</v>
      </c>
      <c r="AC67" s="28">
        <f t="shared" si="86"/>
        <v>-5049.76</v>
      </c>
      <c r="AD67" s="29">
        <f t="shared" si="80"/>
        <v>-87635.936</v>
      </c>
      <c r="AE67" s="14"/>
      <c r="AF67" s="28">
        <f t="shared" ref="AF67:AQ67" si="87">SUM(AF60:AF66)</f>
        <v>-1272.9712</v>
      </c>
      <c r="AG67" s="28">
        <f t="shared" si="87"/>
        <v>-1272.9712</v>
      </c>
      <c r="AH67" s="28">
        <f t="shared" si="87"/>
        <v>-23470.0912</v>
      </c>
      <c r="AI67" s="28">
        <f t="shared" si="87"/>
        <v>-1272.9712</v>
      </c>
      <c r="AJ67" s="28">
        <f t="shared" si="87"/>
        <v>-1193.061568</v>
      </c>
      <c r="AK67" s="28">
        <f t="shared" si="87"/>
        <v>-4078.687168</v>
      </c>
      <c r="AL67" s="28">
        <f t="shared" si="87"/>
        <v>-11927.5888</v>
      </c>
      <c r="AM67" s="28">
        <f t="shared" si="87"/>
        <v>-12077.41936</v>
      </c>
      <c r="AN67" s="28">
        <f t="shared" si="87"/>
        <v>-24174.84976</v>
      </c>
      <c r="AO67" s="28">
        <f t="shared" si="87"/>
        <v>-1977.72976</v>
      </c>
      <c r="AP67" s="28">
        <f t="shared" si="87"/>
        <v>-1977.72976</v>
      </c>
      <c r="AQ67" s="28">
        <f t="shared" si="87"/>
        <v>-5307.29776</v>
      </c>
      <c r="AR67" s="29">
        <f t="shared" si="81"/>
        <v>-90003.36874</v>
      </c>
      <c r="AS67" s="14"/>
      <c r="AT67" s="28">
        <f t="shared" ref="AT67:BE67" si="88">SUM(AT60:AT66)</f>
        <v>-1337.892731</v>
      </c>
      <c r="AU67" s="28">
        <f t="shared" si="88"/>
        <v>-1337.892731</v>
      </c>
      <c r="AV67" s="28">
        <f t="shared" si="88"/>
        <v>-24667.06585</v>
      </c>
      <c r="AW67" s="28">
        <f t="shared" si="88"/>
        <v>-1337.892731</v>
      </c>
      <c r="AX67" s="28">
        <f t="shared" si="88"/>
        <v>-1253.907708</v>
      </c>
      <c r="AY67" s="28">
        <f t="shared" si="88"/>
        <v>-4286.700214</v>
      </c>
      <c r="AZ67" s="28">
        <f t="shared" si="88"/>
        <v>-12535.89583</v>
      </c>
      <c r="BA67" s="28">
        <f t="shared" si="88"/>
        <v>-12693.36775</v>
      </c>
      <c r="BB67" s="28">
        <f t="shared" si="88"/>
        <v>-25407.7671</v>
      </c>
      <c r="BC67" s="28">
        <f t="shared" si="88"/>
        <v>-2078.593978</v>
      </c>
      <c r="BD67" s="28">
        <f t="shared" si="88"/>
        <v>-2078.593978</v>
      </c>
      <c r="BE67" s="28">
        <f t="shared" si="88"/>
        <v>-5577.969946</v>
      </c>
      <c r="BF67" s="29">
        <f t="shared" si="82"/>
        <v>-94593.54054</v>
      </c>
      <c r="BG67" s="14"/>
      <c r="BH67" s="28">
        <f t="shared" ref="BH67:BS67" si="89">SUM(BH60:BH66)</f>
        <v>-1406.12526</v>
      </c>
      <c r="BI67" s="28">
        <f t="shared" si="89"/>
        <v>-1406.12526</v>
      </c>
      <c r="BJ67" s="28">
        <f t="shared" si="89"/>
        <v>-25925.08621</v>
      </c>
      <c r="BK67" s="28">
        <f t="shared" si="89"/>
        <v>-1406.12526</v>
      </c>
      <c r="BL67" s="28">
        <f t="shared" si="89"/>
        <v>-1317.857001</v>
      </c>
      <c r="BM67" s="28">
        <f t="shared" si="89"/>
        <v>-4505.321924</v>
      </c>
      <c r="BN67" s="28">
        <f t="shared" si="89"/>
        <v>-13175.22652</v>
      </c>
      <c r="BO67" s="28">
        <f t="shared" si="89"/>
        <v>-13340.7295</v>
      </c>
      <c r="BP67" s="28">
        <f t="shared" si="89"/>
        <v>-26703.56322</v>
      </c>
      <c r="BQ67" s="28">
        <f t="shared" si="89"/>
        <v>-2184.602271</v>
      </c>
      <c r="BR67" s="28">
        <f t="shared" si="89"/>
        <v>-2184.602271</v>
      </c>
      <c r="BS67" s="28">
        <f t="shared" si="89"/>
        <v>-5862.446413</v>
      </c>
      <c r="BT67" s="29">
        <f t="shared" si="83"/>
        <v>-99417.81111</v>
      </c>
      <c r="BU67" s="14"/>
      <c r="BV67" s="28">
        <f t="shared" ref="BV67:CG67" si="90">SUM(BV60:BV66)</f>
        <v>-1220.143369</v>
      </c>
      <c r="BW67" s="28">
        <f t="shared" si="90"/>
        <v>-1477.837649</v>
      </c>
      <c r="BX67" s="28">
        <f t="shared" si="90"/>
        <v>-27247.26561</v>
      </c>
      <c r="BY67" s="28">
        <f t="shared" si="90"/>
        <v>-1477.837649</v>
      </c>
      <c r="BZ67" s="28">
        <f t="shared" si="90"/>
        <v>-1385.067708</v>
      </c>
      <c r="CA67" s="28">
        <f t="shared" si="90"/>
        <v>-4735.093343</v>
      </c>
      <c r="CB67" s="28">
        <f t="shared" si="90"/>
        <v>-13847.16307</v>
      </c>
      <c r="CC67" s="28">
        <f t="shared" si="90"/>
        <v>-14021.10671</v>
      </c>
      <c r="CD67" s="28">
        <f t="shared" si="90"/>
        <v>-28065.44494</v>
      </c>
      <c r="CE67" s="28">
        <f t="shared" si="90"/>
        <v>-2296.016986</v>
      </c>
      <c r="CF67" s="28">
        <f t="shared" si="90"/>
        <v>-2296.016986</v>
      </c>
      <c r="CG67" s="28">
        <f t="shared" si="90"/>
        <v>-6161.43118</v>
      </c>
      <c r="CH67" s="29">
        <f t="shared" si="84"/>
        <v>-104230.4252</v>
      </c>
      <c r="CI67" s="14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</row>
    <row r="68" ht="4.5" customHeight="1">
      <c r="A68" s="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36"/>
      <c r="Q68" s="14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8"/>
      <c r="AE68" s="14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8"/>
      <c r="AS68" s="14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8"/>
      <c r="BG68" s="14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8"/>
      <c r="BU68" s="14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8"/>
      <c r="CI68" s="14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ht="4.5" customHeight="1">
      <c r="A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36"/>
      <c r="Q69" s="14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8"/>
      <c r="AE69" s="14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8"/>
      <c r="AS69" s="14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8"/>
      <c r="BG69" s="14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8"/>
      <c r="BU69" s="14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8"/>
      <c r="CI69" s="14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ht="13.5" customHeight="1">
      <c r="A70" s="44"/>
      <c r="B70" s="45" t="s">
        <v>44</v>
      </c>
      <c r="C70" s="45"/>
      <c r="D70" s="45">
        <f t="shared" ref="D70:P70" si="91">D33+D42+D49+D58+D67</f>
        <v>-128</v>
      </c>
      <c r="E70" s="45">
        <f t="shared" si="91"/>
        <v>-128</v>
      </c>
      <c r="F70" s="45">
        <f t="shared" si="91"/>
        <v>-37378</v>
      </c>
      <c r="G70" s="45">
        <f t="shared" si="91"/>
        <v>-128</v>
      </c>
      <c r="H70" s="45">
        <f t="shared" si="91"/>
        <v>-1628</v>
      </c>
      <c r="I70" s="45">
        <f t="shared" si="91"/>
        <v>-21478</v>
      </c>
      <c r="J70" s="45">
        <f t="shared" si="91"/>
        <v>-15760.56368</v>
      </c>
      <c r="K70" s="45">
        <f t="shared" si="91"/>
        <v>-26145.56368</v>
      </c>
      <c r="L70" s="45">
        <f t="shared" si="91"/>
        <v>-54295.56368</v>
      </c>
      <c r="M70" s="45">
        <f t="shared" si="91"/>
        <v>-24545.56368</v>
      </c>
      <c r="N70" s="45">
        <f t="shared" si="91"/>
        <v>-22350.84552</v>
      </c>
      <c r="O70" s="45">
        <f t="shared" si="91"/>
        <v>-50100.84552</v>
      </c>
      <c r="P70" s="46">
        <f t="shared" si="91"/>
        <v>-254066.9458</v>
      </c>
      <c r="Q70" s="47"/>
      <c r="R70" s="45">
        <f t="shared" ref="R70:AD70" si="92">R33+R42+R49+R58+R67</f>
        <v>-17245.55525</v>
      </c>
      <c r="S70" s="45">
        <f t="shared" si="92"/>
        <v>-12245.55525</v>
      </c>
      <c r="T70" s="45">
        <f t="shared" si="92"/>
        <v>-64081.55525</v>
      </c>
      <c r="U70" s="45">
        <f t="shared" si="92"/>
        <v>-17245.55525</v>
      </c>
      <c r="V70" s="45">
        <f t="shared" si="92"/>
        <v>-16669.52325</v>
      </c>
      <c r="W70" s="45">
        <f t="shared" si="92"/>
        <v>-42631.12325</v>
      </c>
      <c r="X70" s="45">
        <f t="shared" si="92"/>
        <v>-16059.15525</v>
      </c>
      <c r="Y70" s="45">
        <f t="shared" si="92"/>
        <v>-27025.71525</v>
      </c>
      <c r="Z70" s="45">
        <f t="shared" si="92"/>
        <v>-56752.11525</v>
      </c>
      <c r="AA70" s="45">
        <f t="shared" si="92"/>
        <v>-25336.11525</v>
      </c>
      <c r="AB70" s="45">
        <f t="shared" si="92"/>
        <v>-23018.49287</v>
      </c>
      <c r="AC70" s="45">
        <f t="shared" si="92"/>
        <v>-52322.49287</v>
      </c>
      <c r="AD70" s="46">
        <f t="shared" si="92"/>
        <v>-370632.9542</v>
      </c>
      <c r="AE70" s="47"/>
      <c r="AF70" s="45">
        <f t="shared" ref="AF70:AR70" si="93">AF33+AF42+AF49+AF58+AF67</f>
        <v>-17599.57856</v>
      </c>
      <c r="AG70" s="45">
        <f t="shared" si="93"/>
        <v>-12344.57856</v>
      </c>
      <c r="AH70" s="45">
        <f t="shared" si="93"/>
        <v>-66824.21456</v>
      </c>
      <c r="AI70" s="45">
        <f t="shared" si="93"/>
        <v>-17599.57856</v>
      </c>
      <c r="AJ70" s="45">
        <f t="shared" si="93"/>
        <v>-17519.66893</v>
      </c>
      <c r="AK70" s="45">
        <f t="shared" si="93"/>
        <v>-44805.31053</v>
      </c>
      <c r="AL70" s="45">
        <f t="shared" si="93"/>
        <v>-16878.17216</v>
      </c>
      <c r="AM70" s="45">
        <f t="shared" si="93"/>
        <v>-28404.02672</v>
      </c>
      <c r="AN70" s="45">
        <f t="shared" si="93"/>
        <v>-59646.47312</v>
      </c>
      <c r="AO70" s="45">
        <f t="shared" si="93"/>
        <v>-26628.25712</v>
      </c>
      <c r="AP70" s="45">
        <f t="shared" si="93"/>
        <v>-24192.43601</v>
      </c>
      <c r="AQ70" s="45">
        <f t="shared" si="93"/>
        <v>-54990.94001</v>
      </c>
      <c r="AR70" s="46">
        <f t="shared" si="93"/>
        <v>-387433.2349</v>
      </c>
      <c r="AS70" s="47"/>
      <c r="AT70" s="45">
        <f t="shared" ref="AT70:BF70" si="94">AT33+AT42+AT49+AT58+AT67</f>
        <v>-18497.15707</v>
      </c>
      <c r="AU70" s="45">
        <f t="shared" si="94"/>
        <v>-12974.15207</v>
      </c>
      <c r="AV70" s="45">
        <f t="shared" si="94"/>
        <v>-70232.24951</v>
      </c>
      <c r="AW70" s="45">
        <f t="shared" si="94"/>
        <v>-18497.15707</v>
      </c>
      <c r="AX70" s="45">
        <f t="shared" si="94"/>
        <v>-18413.17205</v>
      </c>
      <c r="AY70" s="45">
        <f t="shared" si="94"/>
        <v>-47090.38137</v>
      </c>
      <c r="AZ70" s="45">
        <f t="shared" si="94"/>
        <v>-17738.95894</v>
      </c>
      <c r="BA70" s="45">
        <f t="shared" si="94"/>
        <v>-29852.63209</v>
      </c>
      <c r="BB70" s="45">
        <f t="shared" si="94"/>
        <v>-62688.44325</v>
      </c>
      <c r="BC70" s="45">
        <f t="shared" si="94"/>
        <v>-27986.29824</v>
      </c>
      <c r="BD70" s="45">
        <f t="shared" si="94"/>
        <v>-25426.25024</v>
      </c>
      <c r="BE70" s="45">
        <f t="shared" si="94"/>
        <v>-57795.47795</v>
      </c>
      <c r="BF70" s="46">
        <f t="shared" si="94"/>
        <v>-407192.3298</v>
      </c>
      <c r="BG70" s="47"/>
      <c r="BH70" s="45">
        <f t="shared" ref="BH70:BT70" si="95">BH33+BH42+BH49+BH58+BH67</f>
        <v>-19440.51208</v>
      </c>
      <c r="BI70" s="45">
        <f t="shared" si="95"/>
        <v>-13635.83383</v>
      </c>
      <c r="BJ70" s="45">
        <f t="shared" si="95"/>
        <v>-73814.09423</v>
      </c>
      <c r="BK70" s="45">
        <f t="shared" si="95"/>
        <v>-19440.51208</v>
      </c>
      <c r="BL70" s="45">
        <f t="shared" si="95"/>
        <v>-19352.24382</v>
      </c>
      <c r="BM70" s="45">
        <f t="shared" si="95"/>
        <v>-49491.99082</v>
      </c>
      <c r="BN70" s="45">
        <f t="shared" si="95"/>
        <v>-18643.64585</v>
      </c>
      <c r="BO70" s="45">
        <f t="shared" si="95"/>
        <v>-31375.11632</v>
      </c>
      <c r="BP70" s="45">
        <f t="shared" si="95"/>
        <v>-65885.55386</v>
      </c>
      <c r="BQ70" s="45">
        <f t="shared" si="95"/>
        <v>-29413.59945</v>
      </c>
      <c r="BR70" s="45">
        <f t="shared" si="95"/>
        <v>-26722.989</v>
      </c>
      <c r="BS70" s="45">
        <f t="shared" si="95"/>
        <v>-60743.04732</v>
      </c>
      <c r="BT70" s="46">
        <f t="shared" si="95"/>
        <v>-427959.1387</v>
      </c>
      <c r="BU70" s="47"/>
      <c r="BV70" s="45">
        <f t="shared" ref="BV70:CH70" si="96">BV33+BV42+BV49+BV58+BV67</f>
        <v>-20174.28392</v>
      </c>
      <c r="BW70" s="45">
        <f t="shared" si="96"/>
        <v>-14331.26135</v>
      </c>
      <c r="BX70" s="45">
        <f t="shared" si="96"/>
        <v>-77578.61304</v>
      </c>
      <c r="BY70" s="45">
        <f t="shared" si="96"/>
        <v>-20431.9782</v>
      </c>
      <c r="BZ70" s="45">
        <f t="shared" si="96"/>
        <v>-20339.20826</v>
      </c>
      <c r="CA70" s="45">
        <f t="shared" si="96"/>
        <v>-52016.08235</v>
      </c>
      <c r="CB70" s="45">
        <f t="shared" si="96"/>
        <v>-19594.47179</v>
      </c>
      <c r="CC70" s="45">
        <f t="shared" si="96"/>
        <v>-32975.24726</v>
      </c>
      <c r="CD70" s="45">
        <f t="shared" si="96"/>
        <v>-69245.71711</v>
      </c>
      <c r="CE70" s="45">
        <f t="shared" si="96"/>
        <v>-30913.69302</v>
      </c>
      <c r="CF70" s="45">
        <f t="shared" si="96"/>
        <v>-28085.86144</v>
      </c>
      <c r="CG70" s="45">
        <f t="shared" si="96"/>
        <v>-63840.94273</v>
      </c>
      <c r="CH70" s="46">
        <f t="shared" si="96"/>
        <v>-449527.3605</v>
      </c>
      <c r="CI70" s="47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</row>
    <row r="71" ht="4.5" customHeight="1">
      <c r="A71" s="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36"/>
      <c r="Q71" s="14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36"/>
      <c r="AE71" s="14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36"/>
      <c r="AS71" s="14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36"/>
      <c r="BG71" s="14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36"/>
      <c r="BU71" s="14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36"/>
      <c r="CI71" s="14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ht="23.25" customHeight="1">
      <c r="A72" s="48"/>
      <c r="B72" s="49" t="s">
        <v>45</v>
      </c>
      <c r="C72" s="49"/>
      <c r="D72" s="49">
        <f t="shared" ref="D72:P72" si="97">SUM(D70,D24)</f>
        <v>-128</v>
      </c>
      <c r="E72" s="49">
        <f t="shared" si="97"/>
        <v>-128</v>
      </c>
      <c r="F72" s="49">
        <f t="shared" si="97"/>
        <v>-37378</v>
      </c>
      <c r="G72" s="49">
        <f t="shared" si="97"/>
        <v>-128</v>
      </c>
      <c r="H72" s="49">
        <f t="shared" si="97"/>
        <v>-1628</v>
      </c>
      <c r="I72" s="49">
        <f t="shared" si="97"/>
        <v>-21478</v>
      </c>
      <c r="J72" s="49">
        <f t="shared" si="97"/>
        <v>-15760.56368</v>
      </c>
      <c r="K72" s="49">
        <f t="shared" si="97"/>
        <v>-26145.56368</v>
      </c>
      <c r="L72" s="49">
        <f t="shared" si="97"/>
        <v>-52720.56368</v>
      </c>
      <c r="M72" s="49">
        <f t="shared" si="97"/>
        <v>-22466.56368</v>
      </c>
      <c r="N72" s="49">
        <f t="shared" si="97"/>
        <v>-17783.34552</v>
      </c>
      <c r="O72" s="49">
        <f t="shared" si="97"/>
        <v>-43863.84552</v>
      </c>
      <c r="P72" s="49">
        <f t="shared" si="97"/>
        <v>-239608.4458</v>
      </c>
      <c r="Q72" s="31"/>
      <c r="R72" s="49">
        <f t="shared" ref="R72:AD72" si="98">SUM(R70,R24)</f>
        <v>-9685.555246</v>
      </c>
      <c r="S72" s="49">
        <f t="shared" si="98"/>
        <v>-2795.555246</v>
      </c>
      <c r="T72" s="49">
        <f t="shared" si="98"/>
        <v>-49906.55525</v>
      </c>
      <c r="U72" s="49">
        <f t="shared" si="98"/>
        <v>79.44475392</v>
      </c>
      <c r="V72" s="49">
        <f t="shared" si="98"/>
        <v>5380.476754</v>
      </c>
      <c r="W72" s="49">
        <f t="shared" si="98"/>
        <v>-13777.12325</v>
      </c>
      <c r="X72" s="49">
        <f t="shared" si="98"/>
        <v>21740.84475</v>
      </c>
      <c r="Y72" s="49">
        <f t="shared" si="98"/>
        <v>20224.28475</v>
      </c>
      <c r="Z72" s="49">
        <f t="shared" si="98"/>
        <v>-9502.115246</v>
      </c>
      <c r="AA72" s="49">
        <f t="shared" si="98"/>
        <v>21913.88475</v>
      </c>
      <c r="AB72" s="49">
        <f t="shared" si="98"/>
        <v>24231.50713</v>
      </c>
      <c r="AC72" s="49">
        <f t="shared" si="98"/>
        <v>-5072.492869</v>
      </c>
      <c r="AD72" s="49">
        <f t="shared" si="98"/>
        <v>2831.045801</v>
      </c>
      <c r="AE72" s="48"/>
      <c r="AF72" s="49">
        <f t="shared" ref="AF72:AR72" si="99">SUM(AF70,AF24)</f>
        <v>32060.17144</v>
      </c>
      <c r="AG72" s="49">
        <f t="shared" si="99"/>
        <v>37315.17144</v>
      </c>
      <c r="AH72" s="49">
        <f t="shared" si="99"/>
        <v>-17164.46456</v>
      </c>
      <c r="AI72" s="49">
        <f t="shared" si="99"/>
        <v>32060.17144</v>
      </c>
      <c r="AJ72" s="49">
        <f t="shared" si="99"/>
        <v>32140.08107</v>
      </c>
      <c r="AK72" s="49">
        <f t="shared" si="99"/>
        <v>4854.439468</v>
      </c>
      <c r="AL72" s="49">
        <f t="shared" si="99"/>
        <v>32781.57784</v>
      </c>
      <c r="AM72" s="49">
        <f t="shared" si="99"/>
        <v>21255.72328</v>
      </c>
      <c r="AN72" s="49">
        <f t="shared" si="99"/>
        <v>-9986.723124</v>
      </c>
      <c r="AO72" s="49">
        <f t="shared" si="99"/>
        <v>23031.49288</v>
      </c>
      <c r="AP72" s="49">
        <f t="shared" si="99"/>
        <v>25467.31399</v>
      </c>
      <c r="AQ72" s="49">
        <f t="shared" si="99"/>
        <v>-5331.190005</v>
      </c>
      <c r="AR72" s="49">
        <f t="shared" si="99"/>
        <v>208483.7651</v>
      </c>
      <c r="AS72" s="48"/>
      <c r="AT72" s="49">
        <f t="shared" ref="AT72:BF72" si="100">SUM(AT70,AT24)</f>
        <v>32950.34393</v>
      </c>
      <c r="AU72" s="49">
        <f t="shared" si="100"/>
        <v>38473.34893</v>
      </c>
      <c r="AV72" s="49">
        <f t="shared" si="100"/>
        <v>-18784.74851</v>
      </c>
      <c r="AW72" s="49">
        <f t="shared" si="100"/>
        <v>32950.34393</v>
      </c>
      <c r="AX72" s="49">
        <f t="shared" si="100"/>
        <v>33034.32895</v>
      </c>
      <c r="AY72" s="49">
        <f t="shared" si="100"/>
        <v>4357.119631</v>
      </c>
      <c r="AZ72" s="49">
        <f t="shared" si="100"/>
        <v>33708.54206</v>
      </c>
      <c r="BA72" s="49">
        <f t="shared" si="100"/>
        <v>21594.86891</v>
      </c>
      <c r="BB72" s="49">
        <f t="shared" si="100"/>
        <v>-11240.94225</v>
      </c>
      <c r="BC72" s="49">
        <f t="shared" si="100"/>
        <v>23461.20276</v>
      </c>
      <c r="BD72" s="49">
        <f t="shared" si="100"/>
        <v>26021.25076</v>
      </c>
      <c r="BE72" s="49">
        <f t="shared" si="100"/>
        <v>-6347.976946</v>
      </c>
      <c r="BF72" s="49">
        <f t="shared" si="100"/>
        <v>210177.6822</v>
      </c>
      <c r="BG72" s="31"/>
      <c r="BH72" s="49">
        <f t="shared" ref="BH72:BT72" si="101">SUM(BH70,BH24)</f>
        <v>33807.65145</v>
      </c>
      <c r="BI72" s="49">
        <f t="shared" si="101"/>
        <v>39612.32971</v>
      </c>
      <c r="BJ72" s="49">
        <f t="shared" si="101"/>
        <v>-20565.9307</v>
      </c>
      <c r="BK72" s="49">
        <f t="shared" si="101"/>
        <v>33807.65145</v>
      </c>
      <c r="BL72" s="49">
        <f t="shared" si="101"/>
        <v>33895.91971</v>
      </c>
      <c r="BM72" s="49">
        <f t="shared" si="101"/>
        <v>3756.172716</v>
      </c>
      <c r="BN72" s="49">
        <f t="shared" si="101"/>
        <v>34604.51768</v>
      </c>
      <c r="BO72" s="49">
        <f t="shared" si="101"/>
        <v>21873.04721</v>
      </c>
      <c r="BP72" s="49">
        <f t="shared" si="101"/>
        <v>-12637.39032</v>
      </c>
      <c r="BQ72" s="49">
        <f t="shared" si="101"/>
        <v>23834.56409</v>
      </c>
      <c r="BR72" s="49">
        <f t="shared" si="101"/>
        <v>26525.17453</v>
      </c>
      <c r="BS72" s="49">
        <f t="shared" si="101"/>
        <v>-7494.883786</v>
      </c>
      <c r="BT72" s="49">
        <f t="shared" si="101"/>
        <v>211018.8238</v>
      </c>
      <c r="BU72" s="31"/>
      <c r="BV72" s="49">
        <f t="shared" ref="BV72:CH72" si="102">SUM(BV70,BV24)</f>
        <v>34937.56534</v>
      </c>
      <c r="BW72" s="49">
        <f t="shared" si="102"/>
        <v>40780.58791</v>
      </c>
      <c r="BX72" s="49">
        <f t="shared" si="102"/>
        <v>-22466.76378</v>
      </c>
      <c r="BY72" s="49">
        <f t="shared" si="102"/>
        <v>34679.87106</v>
      </c>
      <c r="BZ72" s="49">
        <f t="shared" si="102"/>
        <v>34772.641</v>
      </c>
      <c r="CA72" s="49">
        <f t="shared" si="102"/>
        <v>3095.766908</v>
      </c>
      <c r="CB72" s="49">
        <f t="shared" si="102"/>
        <v>35517.37747</v>
      </c>
      <c r="CC72" s="49">
        <f t="shared" si="102"/>
        <v>22136.602</v>
      </c>
      <c r="CD72" s="49">
        <f t="shared" si="102"/>
        <v>-14133.86785</v>
      </c>
      <c r="CE72" s="49">
        <f t="shared" si="102"/>
        <v>24198.15624</v>
      </c>
      <c r="CF72" s="49">
        <f t="shared" si="102"/>
        <v>27025.98782</v>
      </c>
      <c r="CG72" s="49">
        <f t="shared" si="102"/>
        <v>-8729.093476</v>
      </c>
      <c r="CH72" s="49">
        <f t="shared" si="102"/>
        <v>211814.8306</v>
      </c>
      <c r="CI72" s="34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</row>
    <row r="73" ht="4.5" customHeight="1">
      <c r="A73" s="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36"/>
      <c r="Q73" s="14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8"/>
      <c r="AE73" s="14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8"/>
      <c r="AS73" s="14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8"/>
      <c r="BG73" s="14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8"/>
      <c r="BU73" s="14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8"/>
      <c r="CI73" s="14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ht="13.5" customHeight="1" outlineLevel="1">
      <c r="A74" s="27"/>
      <c r="B74" s="24" t="s">
        <v>46</v>
      </c>
      <c r="C74" s="24" t="s">
        <v>47</v>
      </c>
      <c r="D74" s="24">
        <v>0.0</v>
      </c>
      <c r="E74" s="24">
        <v>0.0</v>
      </c>
      <c r="F74" s="24">
        <v>0.0</v>
      </c>
      <c r="G74" s="24">
        <v>0.0</v>
      </c>
      <c r="H74" s="24">
        <v>0.0</v>
      </c>
      <c r="I74" s="24">
        <v>0.0</v>
      </c>
      <c r="J74" s="24">
        <v>0.0</v>
      </c>
      <c r="K74" s="24">
        <v>0.0</v>
      </c>
      <c r="L74" s="24">
        <v>0.0</v>
      </c>
      <c r="M74" s="24">
        <v>0.0</v>
      </c>
      <c r="N74" s="24">
        <v>0.0</v>
      </c>
      <c r="O74" s="24">
        <v>0.0</v>
      </c>
      <c r="P74" s="26">
        <f t="shared" ref="P74:P75" si="103">SUM(D74:O74)</f>
        <v>0</v>
      </c>
      <c r="Q74" s="14"/>
      <c r="R74" s="24">
        <v>0.0</v>
      </c>
      <c r="S74" s="24">
        <v>0.0</v>
      </c>
      <c r="T74" s="24">
        <v>0.0</v>
      </c>
      <c r="U74" s="24">
        <v>0.0</v>
      </c>
      <c r="V74" s="24">
        <v>0.0</v>
      </c>
      <c r="W74" s="24">
        <v>0.0</v>
      </c>
      <c r="X74" s="24">
        <v>0.0</v>
      </c>
      <c r="Y74" s="24">
        <v>0.0</v>
      </c>
      <c r="Z74" s="24">
        <v>0.0</v>
      </c>
      <c r="AA74" s="24">
        <v>0.0</v>
      </c>
      <c r="AB74" s="24">
        <v>0.0</v>
      </c>
      <c r="AC74" s="24">
        <v>0.0</v>
      </c>
      <c r="AD74" s="26">
        <f t="shared" ref="AD74:AD75" si="104">SUM(R74:AC74)</f>
        <v>0</v>
      </c>
      <c r="AE74" s="14"/>
      <c r="AF74" s="24">
        <v>0.0</v>
      </c>
      <c r="AG74" s="24">
        <v>0.0</v>
      </c>
      <c r="AH74" s="24">
        <v>0.0</v>
      </c>
      <c r="AI74" s="24">
        <v>0.0</v>
      </c>
      <c r="AJ74" s="24">
        <v>0.0</v>
      </c>
      <c r="AK74" s="24">
        <v>0.0</v>
      </c>
      <c r="AL74" s="24">
        <v>0.0</v>
      </c>
      <c r="AM74" s="24">
        <v>0.0</v>
      </c>
      <c r="AN74" s="24">
        <v>0.0</v>
      </c>
      <c r="AO74" s="24">
        <v>0.0</v>
      </c>
      <c r="AP74" s="24">
        <v>0.0</v>
      </c>
      <c r="AQ74" s="24">
        <v>0.0</v>
      </c>
      <c r="AR74" s="26">
        <f t="shared" ref="AR74:AR75" si="105">SUM(AF74:AQ74)</f>
        <v>0</v>
      </c>
      <c r="AS74" s="14"/>
      <c r="AT74" s="24">
        <v>0.0</v>
      </c>
      <c r="AU74" s="24">
        <v>0.0</v>
      </c>
      <c r="AV74" s="24">
        <v>0.0</v>
      </c>
      <c r="AW74" s="24">
        <v>0.0</v>
      </c>
      <c r="AX74" s="24">
        <v>0.0</v>
      </c>
      <c r="AY74" s="24">
        <v>0.0</v>
      </c>
      <c r="AZ74" s="24">
        <v>0.0</v>
      </c>
      <c r="BA74" s="24">
        <v>0.0</v>
      </c>
      <c r="BB74" s="24">
        <v>0.0</v>
      </c>
      <c r="BC74" s="24">
        <v>0.0</v>
      </c>
      <c r="BD74" s="24">
        <v>0.0</v>
      </c>
      <c r="BE74" s="24">
        <v>0.0</v>
      </c>
      <c r="BF74" s="26">
        <f t="shared" ref="BF74:BF75" si="106">SUM(AT74:BE74)</f>
        <v>0</v>
      </c>
      <c r="BG74" s="14"/>
      <c r="BH74" s="24">
        <v>0.0</v>
      </c>
      <c r="BI74" s="24">
        <v>0.0</v>
      </c>
      <c r="BJ74" s="24">
        <v>0.0</v>
      </c>
      <c r="BK74" s="24">
        <v>0.0</v>
      </c>
      <c r="BL74" s="24">
        <v>0.0</v>
      </c>
      <c r="BM74" s="24">
        <v>0.0</v>
      </c>
      <c r="BN74" s="24">
        <v>0.0</v>
      </c>
      <c r="BO74" s="24">
        <v>0.0</v>
      </c>
      <c r="BP74" s="24">
        <v>0.0</v>
      </c>
      <c r="BQ74" s="24">
        <v>0.0</v>
      </c>
      <c r="BR74" s="24">
        <v>0.0</v>
      </c>
      <c r="BS74" s="24">
        <v>0.0</v>
      </c>
      <c r="BT74" s="26">
        <f t="shared" ref="BT74:BT75" si="107">SUM(BH74:BS74)</f>
        <v>0</v>
      </c>
      <c r="BU74" s="14"/>
      <c r="BV74" s="24">
        <v>0.0</v>
      </c>
      <c r="BW74" s="24">
        <v>0.0</v>
      </c>
      <c r="BX74" s="24">
        <v>0.0</v>
      </c>
      <c r="BY74" s="24">
        <v>0.0</v>
      </c>
      <c r="BZ74" s="24">
        <v>0.0</v>
      </c>
      <c r="CA74" s="24">
        <v>0.0</v>
      </c>
      <c r="CB74" s="24">
        <v>0.0</v>
      </c>
      <c r="CC74" s="24">
        <v>0.0</v>
      </c>
      <c r="CD74" s="24">
        <v>0.0</v>
      </c>
      <c r="CE74" s="24">
        <v>0.0</v>
      </c>
      <c r="CF74" s="24">
        <v>0.0</v>
      </c>
      <c r="CG74" s="24">
        <v>0.0</v>
      </c>
      <c r="CH74" s="26">
        <f t="shared" ref="CH74:CH75" si="108">SUM(BV74:CG74)</f>
        <v>0</v>
      </c>
      <c r="CI74" s="14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</row>
    <row r="75" ht="13.5" customHeight="1" outlineLevel="1">
      <c r="A75" s="27"/>
      <c r="B75" s="24" t="s">
        <v>48</v>
      </c>
      <c r="C75" s="24" t="s">
        <v>49</v>
      </c>
      <c r="D75" s="24">
        <v>0.0</v>
      </c>
      <c r="E75" s="24">
        <v>0.0</v>
      </c>
      <c r="F75" s="24">
        <v>0.0</v>
      </c>
      <c r="G75" s="24">
        <v>0.0</v>
      </c>
      <c r="H75" s="24">
        <v>0.0</v>
      </c>
      <c r="I75" s="24">
        <v>0.0</v>
      </c>
      <c r="J75" s="24">
        <v>0.0</v>
      </c>
      <c r="K75" s="24">
        <v>0.0</v>
      </c>
      <c r="L75" s="24">
        <v>0.0</v>
      </c>
      <c r="M75" s="24">
        <v>0.0</v>
      </c>
      <c r="N75" s="24">
        <v>0.0</v>
      </c>
      <c r="O75" s="24">
        <v>0.0</v>
      </c>
      <c r="P75" s="26">
        <f t="shared" si="103"/>
        <v>0</v>
      </c>
      <c r="Q75" s="14"/>
      <c r="R75" s="24">
        <v>0.0</v>
      </c>
      <c r="S75" s="24">
        <v>0.0</v>
      </c>
      <c r="T75" s="24">
        <v>0.0</v>
      </c>
      <c r="U75" s="24">
        <v>0.0</v>
      </c>
      <c r="V75" s="24">
        <v>0.0</v>
      </c>
      <c r="W75" s="24">
        <v>0.0</v>
      </c>
      <c r="X75" s="24">
        <v>0.0</v>
      </c>
      <c r="Y75" s="24">
        <v>0.0</v>
      </c>
      <c r="Z75" s="24">
        <v>0.0</v>
      </c>
      <c r="AA75" s="24">
        <v>0.0</v>
      </c>
      <c r="AB75" s="24">
        <v>0.0</v>
      </c>
      <c r="AC75" s="24">
        <v>0.0</v>
      </c>
      <c r="AD75" s="26">
        <f t="shared" si="104"/>
        <v>0</v>
      </c>
      <c r="AE75" s="14"/>
      <c r="AF75" s="24">
        <v>0.0</v>
      </c>
      <c r="AG75" s="24">
        <v>0.0</v>
      </c>
      <c r="AH75" s="24">
        <v>0.0</v>
      </c>
      <c r="AI75" s="24">
        <v>0.0</v>
      </c>
      <c r="AJ75" s="24">
        <v>0.0</v>
      </c>
      <c r="AK75" s="24">
        <v>0.0</v>
      </c>
      <c r="AL75" s="24">
        <v>0.0</v>
      </c>
      <c r="AM75" s="24">
        <v>0.0</v>
      </c>
      <c r="AN75" s="24">
        <v>0.0</v>
      </c>
      <c r="AO75" s="24">
        <v>0.0</v>
      </c>
      <c r="AP75" s="24">
        <v>0.0</v>
      </c>
      <c r="AQ75" s="24">
        <v>0.0</v>
      </c>
      <c r="AR75" s="26">
        <f t="shared" si="105"/>
        <v>0</v>
      </c>
      <c r="AS75" s="14"/>
      <c r="AT75" s="24">
        <v>0.0</v>
      </c>
      <c r="AU75" s="24">
        <v>0.0</v>
      </c>
      <c r="AV75" s="24">
        <v>0.0</v>
      </c>
      <c r="AW75" s="24">
        <v>0.0</v>
      </c>
      <c r="AX75" s="24">
        <v>0.0</v>
      </c>
      <c r="AY75" s="24">
        <v>0.0</v>
      </c>
      <c r="AZ75" s="24">
        <v>0.0</v>
      </c>
      <c r="BA75" s="24">
        <v>0.0</v>
      </c>
      <c r="BB75" s="24">
        <v>0.0</v>
      </c>
      <c r="BC75" s="24">
        <v>0.0</v>
      </c>
      <c r="BD75" s="24">
        <v>0.0</v>
      </c>
      <c r="BE75" s="24">
        <v>0.0</v>
      </c>
      <c r="BF75" s="26">
        <f t="shared" si="106"/>
        <v>0</v>
      </c>
      <c r="BG75" s="14"/>
      <c r="BH75" s="24">
        <v>0.0</v>
      </c>
      <c r="BI75" s="24">
        <v>0.0</v>
      </c>
      <c r="BJ75" s="24">
        <v>0.0</v>
      </c>
      <c r="BK75" s="24">
        <v>0.0</v>
      </c>
      <c r="BL75" s="24">
        <v>0.0</v>
      </c>
      <c r="BM75" s="24">
        <v>0.0</v>
      </c>
      <c r="BN75" s="24">
        <v>0.0</v>
      </c>
      <c r="BO75" s="24">
        <v>0.0</v>
      </c>
      <c r="BP75" s="24">
        <v>0.0</v>
      </c>
      <c r="BQ75" s="24">
        <v>0.0</v>
      </c>
      <c r="BR75" s="24">
        <v>0.0</v>
      </c>
      <c r="BS75" s="24">
        <v>0.0</v>
      </c>
      <c r="BT75" s="26">
        <f t="shared" si="107"/>
        <v>0</v>
      </c>
      <c r="BU75" s="14"/>
      <c r="BV75" s="24">
        <v>0.0</v>
      </c>
      <c r="BW75" s="24">
        <v>0.0</v>
      </c>
      <c r="BX75" s="24">
        <v>0.0</v>
      </c>
      <c r="BY75" s="24">
        <v>0.0</v>
      </c>
      <c r="BZ75" s="24">
        <v>0.0</v>
      </c>
      <c r="CA75" s="24">
        <v>0.0</v>
      </c>
      <c r="CB75" s="24">
        <v>0.0</v>
      </c>
      <c r="CC75" s="24">
        <v>0.0</v>
      </c>
      <c r="CD75" s="24">
        <v>0.0</v>
      </c>
      <c r="CE75" s="24">
        <v>0.0</v>
      </c>
      <c r="CF75" s="24">
        <v>0.0</v>
      </c>
      <c r="CG75" s="24">
        <v>0.0</v>
      </c>
      <c r="CH75" s="26">
        <f t="shared" si="108"/>
        <v>0</v>
      </c>
      <c r="CI75" s="14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</row>
    <row r="76" ht="13.5" customHeight="1">
      <c r="A76" s="27"/>
      <c r="B76" s="28" t="s">
        <v>50</v>
      </c>
      <c r="C76" s="28"/>
      <c r="D76" s="28">
        <f t="shared" ref="D76:P76" si="109">SUM(D74:D75)</f>
        <v>0</v>
      </c>
      <c r="E76" s="28">
        <f t="shared" si="109"/>
        <v>0</v>
      </c>
      <c r="F76" s="28">
        <f t="shared" si="109"/>
        <v>0</v>
      </c>
      <c r="G76" s="28">
        <f t="shared" si="109"/>
        <v>0</v>
      </c>
      <c r="H76" s="28">
        <f t="shared" si="109"/>
        <v>0</v>
      </c>
      <c r="I76" s="28">
        <f t="shared" si="109"/>
        <v>0</v>
      </c>
      <c r="J76" s="28">
        <f t="shared" si="109"/>
        <v>0</v>
      </c>
      <c r="K76" s="28">
        <f t="shared" si="109"/>
        <v>0</v>
      </c>
      <c r="L76" s="28">
        <f t="shared" si="109"/>
        <v>0</v>
      </c>
      <c r="M76" s="28">
        <f t="shared" si="109"/>
        <v>0</v>
      </c>
      <c r="N76" s="28">
        <f t="shared" si="109"/>
        <v>0</v>
      </c>
      <c r="O76" s="28">
        <f t="shared" si="109"/>
        <v>0</v>
      </c>
      <c r="P76" s="29">
        <f t="shared" si="109"/>
        <v>0</v>
      </c>
      <c r="Q76" s="14"/>
      <c r="R76" s="28">
        <f t="shared" ref="R76:AD76" si="110">SUM(R74:R75)</f>
        <v>0</v>
      </c>
      <c r="S76" s="28">
        <f t="shared" si="110"/>
        <v>0</v>
      </c>
      <c r="T76" s="28">
        <f t="shared" si="110"/>
        <v>0</v>
      </c>
      <c r="U76" s="28">
        <f t="shared" si="110"/>
        <v>0</v>
      </c>
      <c r="V76" s="28">
        <f t="shared" si="110"/>
        <v>0</v>
      </c>
      <c r="W76" s="28">
        <f t="shared" si="110"/>
        <v>0</v>
      </c>
      <c r="X76" s="28">
        <f t="shared" si="110"/>
        <v>0</v>
      </c>
      <c r="Y76" s="28">
        <f t="shared" si="110"/>
        <v>0</v>
      </c>
      <c r="Z76" s="28">
        <f t="shared" si="110"/>
        <v>0</v>
      </c>
      <c r="AA76" s="28">
        <f t="shared" si="110"/>
        <v>0</v>
      </c>
      <c r="AB76" s="28">
        <f t="shared" si="110"/>
        <v>0</v>
      </c>
      <c r="AC76" s="28">
        <f t="shared" si="110"/>
        <v>0</v>
      </c>
      <c r="AD76" s="29">
        <f t="shared" si="110"/>
        <v>0</v>
      </c>
      <c r="AE76" s="14"/>
      <c r="AF76" s="28">
        <f t="shared" ref="AF76:AR76" si="111">SUM(AF74:AF75)</f>
        <v>0</v>
      </c>
      <c r="AG76" s="28">
        <f t="shared" si="111"/>
        <v>0</v>
      </c>
      <c r="AH76" s="28">
        <f t="shared" si="111"/>
        <v>0</v>
      </c>
      <c r="AI76" s="28">
        <f t="shared" si="111"/>
        <v>0</v>
      </c>
      <c r="AJ76" s="28">
        <f t="shared" si="111"/>
        <v>0</v>
      </c>
      <c r="AK76" s="28">
        <f t="shared" si="111"/>
        <v>0</v>
      </c>
      <c r="AL76" s="28">
        <f t="shared" si="111"/>
        <v>0</v>
      </c>
      <c r="AM76" s="28">
        <f t="shared" si="111"/>
        <v>0</v>
      </c>
      <c r="AN76" s="28">
        <f t="shared" si="111"/>
        <v>0</v>
      </c>
      <c r="AO76" s="28">
        <f t="shared" si="111"/>
        <v>0</v>
      </c>
      <c r="AP76" s="28">
        <f t="shared" si="111"/>
        <v>0</v>
      </c>
      <c r="AQ76" s="28">
        <f t="shared" si="111"/>
        <v>0</v>
      </c>
      <c r="AR76" s="29">
        <f t="shared" si="111"/>
        <v>0</v>
      </c>
      <c r="AS76" s="14"/>
      <c r="AT76" s="28">
        <f t="shared" ref="AT76:BF76" si="112">SUM(AT74:AT75)</f>
        <v>0</v>
      </c>
      <c r="AU76" s="28">
        <f t="shared" si="112"/>
        <v>0</v>
      </c>
      <c r="AV76" s="28">
        <f t="shared" si="112"/>
        <v>0</v>
      </c>
      <c r="AW76" s="28">
        <f t="shared" si="112"/>
        <v>0</v>
      </c>
      <c r="AX76" s="28">
        <f t="shared" si="112"/>
        <v>0</v>
      </c>
      <c r="AY76" s="28">
        <f t="shared" si="112"/>
        <v>0</v>
      </c>
      <c r="AZ76" s="28">
        <f t="shared" si="112"/>
        <v>0</v>
      </c>
      <c r="BA76" s="28">
        <f t="shared" si="112"/>
        <v>0</v>
      </c>
      <c r="BB76" s="28">
        <f t="shared" si="112"/>
        <v>0</v>
      </c>
      <c r="BC76" s="28">
        <f t="shared" si="112"/>
        <v>0</v>
      </c>
      <c r="BD76" s="28">
        <f t="shared" si="112"/>
        <v>0</v>
      </c>
      <c r="BE76" s="28">
        <f t="shared" si="112"/>
        <v>0</v>
      </c>
      <c r="BF76" s="29">
        <f t="shared" si="112"/>
        <v>0</v>
      </c>
      <c r="BG76" s="14"/>
      <c r="BH76" s="28">
        <f t="shared" ref="BH76:BT76" si="113">SUM(BH74:BH75)</f>
        <v>0</v>
      </c>
      <c r="BI76" s="28">
        <f t="shared" si="113"/>
        <v>0</v>
      </c>
      <c r="BJ76" s="28">
        <f t="shared" si="113"/>
        <v>0</v>
      </c>
      <c r="BK76" s="28">
        <f t="shared" si="113"/>
        <v>0</v>
      </c>
      <c r="BL76" s="28">
        <f t="shared" si="113"/>
        <v>0</v>
      </c>
      <c r="BM76" s="28">
        <f t="shared" si="113"/>
        <v>0</v>
      </c>
      <c r="BN76" s="28">
        <f t="shared" si="113"/>
        <v>0</v>
      </c>
      <c r="BO76" s="28">
        <f t="shared" si="113"/>
        <v>0</v>
      </c>
      <c r="BP76" s="28">
        <f t="shared" si="113"/>
        <v>0</v>
      </c>
      <c r="BQ76" s="28">
        <f t="shared" si="113"/>
        <v>0</v>
      </c>
      <c r="BR76" s="28">
        <f t="shared" si="113"/>
        <v>0</v>
      </c>
      <c r="BS76" s="28">
        <f t="shared" si="113"/>
        <v>0</v>
      </c>
      <c r="BT76" s="29">
        <f t="shared" si="113"/>
        <v>0</v>
      </c>
      <c r="BU76" s="14"/>
      <c r="BV76" s="28">
        <f t="shared" ref="BV76:CH76" si="114">SUM(BV74:BV75)</f>
        <v>0</v>
      </c>
      <c r="BW76" s="28">
        <f t="shared" si="114"/>
        <v>0</v>
      </c>
      <c r="BX76" s="28">
        <f t="shared" si="114"/>
        <v>0</v>
      </c>
      <c r="BY76" s="28">
        <f t="shared" si="114"/>
        <v>0</v>
      </c>
      <c r="BZ76" s="28">
        <f t="shared" si="114"/>
        <v>0</v>
      </c>
      <c r="CA76" s="28">
        <f t="shared" si="114"/>
        <v>0</v>
      </c>
      <c r="CB76" s="28">
        <f t="shared" si="114"/>
        <v>0</v>
      </c>
      <c r="CC76" s="28">
        <f t="shared" si="114"/>
        <v>0</v>
      </c>
      <c r="CD76" s="28">
        <f t="shared" si="114"/>
        <v>0</v>
      </c>
      <c r="CE76" s="28">
        <f t="shared" si="114"/>
        <v>0</v>
      </c>
      <c r="CF76" s="28">
        <f t="shared" si="114"/>
        <v>0</v>
      </c>
      <c r="CG76" s="28">
        <f t="shared" si="114"/>
        <v>0</v>
      </c>
      <c r="CH76" s="29">
        <f t="shared" si="114"/>
        <v>0</v>
      </c>
      <c r="CI76" s="14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</row>
    <row r="77" ht="4.5" customHeight="1">
      <c r="A77" s="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36"/>
      <c r="Q77" s="14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8"/>
      <c r="AE77" s="14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8"/>
      <c r="AS77" s="14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8"/>
      <c r="BG77" s="14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8"/>
      <c r="BU77" s="14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8"/>
      <c r="CI77" s="14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ht="13.5" customHeight="1">
      <c r="A78" s="50"/>
      <c r="B78" s="51" t="s">
        <v>51</v>
      </c>
      <c r="C78" s="51"/>
      <c r="D78" s="51">
        <f t="shared" ref="D78:P78" si="115">SUM(D72,D76)</f>
        <v>-128</v>
      </c>
      <c r="E78" s="51">
        <f t="shared" si="115"/>
        <v>-128</v>
      </c>
      <c r="F78" s="51">
        <f t="shared" si="115"/>
        <v>-37378</v>
      </c>
      <c r="G78" s="51">
        <f t="shared" si="115"/>
        <v>-128</v>
      </c>
      <c r="H78" s="51">
        <f t="shared" si="115"/>
        <v>-1628</v>
      </c>
      <c r="I78" s="51">
        <f t="shared" si="115"/>
        <v>-21478</v>
      </c>
      <c r="J78" s="51">
        <f t="shared" si="115"/>
        <v>-15760.56368</v>
      </c>
      <c r="K78" s="51">
        <f t="shared" si="115"/>
        <v>-26145.56368</v>
      </c>
      <c r="L78" s="51">
        <f t="shared" si="115"/>
        <v>-52720.56368</v>
      </c>
      <c r="M78" s="51">
        <f t="shared" si="115"/>
        <v>-22466.56368</v>
      </c>
      <c r="N78" s="51">
        <f t="shared" si="115"/>
        <v>-17783.34552</v>
      </c>
      <c r="O78" s="51">
        <f t="shared" si="115"/>
        <v>-43863.84552</v>
      </c>
      <c r="P78" s="51">
        <f t="shared" si="115"/>
        <v>-239608.4458</v>
      </c>
      <c r="Q78" s="44"/>
      <c r="R78" s="52">
        <f t="shared" ref="R78:AD78" si="116">SUM(R72,R76)</f>
        <v>-9685.555246</v>
      </c>
      <c r="S78" s="52">
        <f t="shared" si="116"/>
        <v>-2795.555246</v>
      </c>
      <c r="T78" s="52">
        <f t="shared" si="116"/>
        <v>-49906.55525</v>
      </c>
      <c r="U78" s="52">
        <f t="shared" si="116"/>
        <v>79.44475392</v>
      </c>
      <c r="V78" s="52">
        <f t="shared" si="116"/>
        <v>5380.476754</v>
      </c>
      <c r="W78" s="52">
        <f t="shared" si="116"/>
        <v>-13777.12325</v>
      </c>
      <c r="X78" s="52">
        <f t="shared" si="116"/>
        <v>21740.84475</v>
      </c>
      <c r="Y78" s="52">
        <f t="shared" si="116"/>
        <v>20224.28475</v>
      </c>
      <c r="Z78" s="52">
        <f t="shared" si="116"/>
        <v>-9502.115246</v>
      </c>
      <c r="AA78" s="52">
        <f t="shared" si="116"/>
        <v>21913.88475</v>
      </c>
      <c r="AB78" s="52">
        <f t="shared" si="116"/>
        <v>24231.50713</v>
      </c>
      <c r="AC78" s="52">
        <f t="shared" si="116"/>
        <v>-5072.492869</v>
      </c>
      <c r="AD78" s="51">
        <f t="shared" si="116"/>
        <v>2831.045801</v>
      </c>
      <c r="AE78" s="50"/>
      <c r="AF78" s="51">
        <f t="shared" ref="AF78:AR78" si="117">SUM(AF72,AF76)</f>
        <v>32060.17144</v>
      </c>
      <c r="AG78" s="51">
        <f t="shared" si="117"/>
        <v>37315.17144</v>
      </c>
      <c r="AH78" s="51">
        <f t="shared" si="117"/>
        <v>-17164.46456</v>
      </c>
      <c r="AI78" s="51">
        <f t="shared" si="117"/>
        <v>32060.17144</v>
      </c>
      <c r="AJ78" s="51">
        <f t="shared" si="117"/>
        <v>32140.08107</v>
      </c>
      <c r="AK78" s="51">
        <f t="shared" si="117"/>
        <v>4854.439468</v>
      </c>
      <c r="AL78" s="51">
        <f t="shared" si="117"/>
        <v>32781.57784</v>
      </c>
      <c r="AM78" s="51">
        <f t="shared" si="117"/>
        <v>21255.72328</v>
      </c>
      <c r="AN78" s="51">
        <f t="shared" si="117"/>
        <v>-9986.723124</v>
      </c>
      <c r="AO78" s="51">
        <f t="shared" si="117"/>
        <v>23031.49288</v>
      </c>
      <c r="AP78" s="51">
        <f t="shared" si="117"/>
        <v>25467.31399</v>
      </c>
      <c r="AQ78" s="51">
        <f t="shared" si="117"/>
        <v>-5331.190005</v>
      </c>
      <c r="AR78" s="51">
        <f t="shared" si="117"/>
        <v>208483.7651</v>
      </c>
      <c r="AS78" s="50"/>
      <c r="AT78" s="51">
        <f t="shared" ref="AT78:BF78" si="118">SUM(AT72,AT76)</f>
        <v>32950.34393</v>
      </c>
      <c r="AU78" s="51">
        <f t="shared" si="118"/>
        <v>38473.34893</v>
      </c>
      <c r="AV78" s="51">
        <f t="shared" si="118"/>
        <v>-18784.74851</v>
      </c>
      <c r="AW78" s="51">
        <f t="shared" si="118"/>
        <v>32950.34393</v>
      </c>
      <c r="AX78" s="51">
        <f t="shared" si="118"/>
        <v>33034.32895</v>
      </c>
      <c r="AY78" s="51">
        <f t="shared" si="118"/>
        <v>4357.119631</v>
      </c>
      <c r="AZ78" s="51">
        <f t="shared" si="118"/>
        <v>33708.54206</v>
      </c>
      <c r="BA78" s="51">
        <f t="shared" si="118"/>
        <v>21594.86891</v>
      </c>
      <c r="BB78" s="51">
        <f t="shared" si="118"/>
        <v>-11240.94225</v>
      </c>
      <c r="BC78" s="51">
        <f t="shared" si="118"/>
        <v>23461.20276</v>
      </c>
      <c r="BD78" s="51">
        <f t="shared" si="118"/>
        <v>26021.25076</v>
      </c>
      <c r="BE78" s="51">
        <f t="shared" si="118"/>
        <v>-6347.976946</v>
      </c>
      <c r="BF78" s="51">
        <f t="shared" si="118"/>
        <v>210177.6822</v>
      </c>
      <c r="BG78" s="44"/>
      <c r="BH78" s="52">
        <f t="shared" ref="BH78:BT78" si="119">SUM(BH72,BH76)</f>
        <v>33807.65145</v>
      </c>
      <c r="BI78" s="52">
        <f t="shared" si="119"/>
        <v>39612.32971</v>
      </c>
      <c r="BJ78" s="52">
        <f t="shared" si="119"/>
        <v>-20565.9307</v>
      </c>
      <c r="BK78" s="52">
        <f t="shared" si="119"/>
        <v>33807.65145</v>
      </c>
      <c r="BL78" s="52">
        <f t="shared" si="119"/>
        <v>33895.91971</v>
      </c>
      <c r="BM78" s="52">
        <f t="shared" si="119"/>
        <v>3756.172716</v>
      </c>
      <c r="BN78" s="52">
        <f t="shared" si="119"/>
        <v>34604.51768</v>
      </c>
      <c r="BO78" s="52">
        <f t="shared" si="119"/>
        <v>21873.04721</v>
      </c>
      <c r="BP78" s="52">
        <f t="shared" si="119"/>
        <v>-12637.39032</v>
      </c>
      <c r="BQ78" s="52">
        <f t="shared" si="119"/>
        <v>23834.56409</v>
      </c>
      <c r="BR78" s="52">
        <f t="shared" si="119"/>
        <v>26525.17453</v>
      </c>
      <c r="BS78" s="52">
        <f t="shared" si="119"/>
        <v>-7494.883786</v>
      </c>
      <c r="BT78" s="51">
        <f t="shared" si="119"/>
        <v>211018.8238</v>
      </c>
      <c r="BU78" s="44"/>
      <c r="BV78" s="52">
        <f t="shared" ref="BV78:CH78" si="120">SUM(BV72,BV76)</f>
        <v>34937.56534</v>
      </c>
      <c r="BW78" s="52">
        <f t="shared" si="120"/>
        <v>40780.58791</v>
      </c>
      <c r="BX78" s="52">
        <f t="shared" si="120"/>
        <v>-22466.76378</v>
      </c>
      <c r="BY78" s="52">
        <f t="shared" si="120"/>
        <v>34679.87106</v>
      </c>
      <c r="BZ78" s="52">
        <f t="shared" si="120"/>
        <v>34772.641</v>
      </c>
      <c r="CA78" s="52">
        <f t="shared" si="120"/>
        <v>3095.766908</v>
      </c>
      <c r="CB78" s="52">
        <f t="shared" si="120"/>
        <v>35517.37747</v>
      </c>
      <c r="CC78" s="52">
        <f t="shared" si="120"/>
        <v>22136.602</v>
      </c>
      <c r="CD78" s="52">
        <f t="shared" si="120"/>
        <v>-14133.86785</v>
      </c>
      <c r="CE78" s="52">
        <f t="shared" si="120"/>
        <v>24198.15624</v>
      </c>
      <c r="CF78" s="52">
        <f t="shared" si="120"/>
        <v>27025.98782</v>
      </c>
      <c r="CG78" s="52">
        <f t="shared" si="120"/>
        <v>-8729.093476</v>
      </c>
      <c r="CH78" s="51">
        <f t="shared" si="120"/>
        <v>211814.8306</v>
      </c>
      <c r="CI78" s="47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</row>
    <row r="79" ht="4.5" customHeight="1">
      <c r="A79" s="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36"/>
      <c r="Q79" s="14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8"/>
      <c r="AE79" s="14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8"/>
      <c r="AS79" s="14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8"/>
      <c r="BG79" s="14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8"/>
      <c r="BU79" s="14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8"/>
      <c r="CI79" s="14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ht="13.5" customHeight="1">
      <c r="A80" s="53"/>
      <c r="B80" s="28" t="s">
        <v>52</v>
      </c>
      <c r="C80" s="54"/>
      <c r="D80" s="28">
        <v>0.0</v>
      </c>
      <c r="E80" s="28">
        <v>0.0</v>
      </c>
      <c r="F80" s="28">
        <v>0.0</v>
      </c>
      <c r="G80" s="28">
        <v>0.0</v>
      </c>
      <c r="H80" s="28">
        <v>0.0</v>
      </c>
      <c r="I80" s="28">
        <v>0.0</v>
      </c>
      <c r="J80" s="28">
        <v>0.0</v>
      </c>
      <c r="K80" s="28">
        <v>0.0</v>
      </c>
      <c r="L80" s="28">
        <v>0.0</v>
      </c>
      <c r="M80" s="28">
        <v>0.0</v>
      </c>
      <c r="N80" s="28">
        <v>0.0</v>
      </c>
      <c r="O80" s="28">
        <f t="shared" ref="O80:P80" si="121">IF(P78&gt;0,P78*0.25,0)</f>
        <v>0</v>
      </c>
      <c r="P80" s="28">
        <f t="shared" si="121"/>
        <v>0</v>
      </c>
      <c r="Q80" s="53"/>
      <c r="R80" s="28">
        <v>0.0</v>
      </c>
      <c r="S80" s="28">
        <v>0.0</v>
      </c>
      <c r="T80" s="28">
        <v>0.0</v>
      </c>
      <c r="U80" s="28">
        <v>0.0</v>
      </c>
      <c r="V80" s="28">
        <v>0.0</v>
      </c>
      <c r="W80" s="28">
        <v>0.0</v>
      </c>
      <c r="X80" s="28">
        <v>0.0</v>
      </c>
      <c r="Y80" s="28">
        <v>0.0</v>
      </c>
      <c r="Z80" s="28">
        <v>0.0</v>
      </c>
      <c r="AA80" s="28">
        <v>0.0</v>
      </c>
      <c r="AB80" s="28">
        <v>0.0</v>
      </c>
      <c r="AC80" s="28">
        <v>0.0</v>
      </c>
      <c r="AD80" s="28">
        <v>0.0</v>
      </c>
      <c r="AE80" s="53"/>
      <c r="AF80" s="28">
        <v>0.0</v>
      </c>
      <c r="AG80" s="28">
        <v>0.0</v>
      </c>
      <c r="AH80" s="28">
        <v>0.0</v>
      </c>
      <c r="AI80" s="28">
        <v>0.0</v>
      </c>
      <c r="AJ80" s="28">
        <v>0.0</v>
      </c>
      <c r="AK80" s="28">
        <v>0.0</v>
      </c>
      <c r="AL80" s="28">
        <v>0.0</v>
      </c>
      <c r="AM80" s="28">
        <v>0.0</v>
      </c>
      <c r="AN80" s="28">
        <v>0.0</v>
      </c>
      <c r="AO80" s="28">
        <v>0.0</v>
      </c>
      <c r="AP80" s="28">
        <v>0.0</v>
      </c>
      <c r="AQ80" s="28">
        <v>0.0</v>
      </c>
      <c r="AR80" s="28">
        <v>0.0</v>
      </c>
      <c r="AS80" s="53"/>
      <c r="AT80" s="28">
        <v>0.0</v>
      </c>
      <c r="AU80" s="28">
        <v>0.0</v>
      </c>
      <c r="AV80" s="28">
        <v>0.0</v>
      </c>
      <c r="AW80" s="28">
        <v>0.0</v>
      </c>
      <c r="AX80" s="28">
        <v>0.0</v>
      </c>
      <c r="AY80" s="28">
        <v>0.0</v>
      </c>
      <c r="AZ80" s="28">
        <v>0.0</v>
      </c>
      <c r="BA80" s="28">
        <v>0.0</v>
      </c>
      <c r="BB80" s="28">
        <v>0.0</v>
      </c>
      <c r="BC80" s="28">
        <v>0.0</v>
      </c>
      <c r="BD80" s="28">
        <v>0.0</v>
      </c>
      <c r="BE80" s="28">
        <v>0.0</v>
      </c>
      <c r="BF80" s="28">
        <v>0.0</v>
      </c>
      <c r="BG80" s="53"/>
      <c r="BH80" s="28">
        <v>0.0</v>
      </c>
      <c r="BI80" s="28">
        <v>0.0</v>
      </c>
      <c r="BJ80" s="28">
        <v>0.0</v>
      </c>
      <c r="BK80" s="28">
        <v>0.0</v>
      </c>
      <c r="BL80" s="28">
        <v>0.0</v>
      </c>
      <c r="BM80" s="28">
        <v>0.0</v>
      </c>
      <c r="BN80" s="28">
        <v>0.0</v>
      </c>
      <c r="BO80" s="28">
        <v>0.0</v>
      </c>
      <c r="BP80" s="28">
        <v>0.0</v>
      </c>
      <c r="BQ80" s="28">
        <v>0.0</v>
      </c>
      <c r="BR80" s="28">
        <v>0.0</v>
      </c>
      <c r="BS80" s="28">
        <v>0.0</v>
      </c>
      <c r="BT80" s="28">
        <v>0.0</v>
      </c>
      <c r="BU80" s="53"/>
      <c r="BV80" s="28">
        <v>0.0</v>
      </c>
      <c r="BW80" s="28">
        <v>0.0</v>
      </c>
      <c r="BX80" s="28">
        <v>0.0</v>
      </c>
      <c r="BY80" s="28">
        <v>0.0</v>
      </c>
      <c r="BZ80" s="28">
        <v>0.0</v>
      </c>
      <c r="CA80" s="28">
        <v>0.0</v>
      </c>
      <c r="CB80" s="28">
        <v>0.0</v>
      </c>
      <c r="CC80" s="28">
        <v>0.0</v>
      </c>
      <c r="CD80" s="28">
        <v>0.0</v>
      </c>
      <c r="CE80" s="28">
        <v>0.0</v>
      </c>
      <c r="CF80" s="28">
        <v>0.0</v>
      </c>
      <c r="CG80" s="28">
        <v>0.0</v>
      </c>
      <c r="CH80" s="28">
        <v>0.0</v>
      </c>
      <c r="CI80" s="55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</row>
    <row r="81" ht="4.5" customHeight="1">
      <c r="A81" s="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56"/>
      <c r="Q81" s="2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8"/>
      <c r="AE81" s="27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58"/>
      <c r="AS81" s="27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58"/>
      <c r="BG81" s="27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58"/>
      <c r="BU81" s="27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58"/>
      <c r="CI81" s="14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ht="54.75" customHeight="1">
      <c r="A82" s="48"/>
      <c r="B82" s="59" t="s">
        <v>53</v>
      </c>
      <c r="C82" s="59"/>
      <c r="D82" s="59">
        <f t="shared" ref="D82:P82" si="122">SUM(D80,D78)</f>
        <v>-128</v>
      </c>
      <c r="E82" s="59">
        <f t="shared" si="122"/>
        <v>-128</v>
      </c>
      <c r="F82" s="59">
        <f t="shared" si="122"/>
        <v>-37378</v>
      </c>
      <c r="G82" s="59">
        <f t="shared" si="122"/>
        <v>-128</v>
      </c>
      <c r="H82" s="59">
        <f t="shared" si="122"/>
        <v>-1628</v>
      </c>
      <c r="I82" s="59">
        <f t="shared" si="122"/>
        <v>-21478</v>
      </c>
      <c r="J82" s="59">
        <f t="shared" si="122"/>
        <v>-15760.56368</v>
      </c>
      <c r="K82" s="59">
        <f t="shared" si="122"/>
        <v>-26145.56368</v>
      </c>
      <c r="L82" s="59">
        <f t="shared" si="122"/>
        <v>-52720.56368</v>
      </c>
      <c r="M82" s="59">
        <f t="shared" si="122"/>
        <v>-22466.56368</v>
      </c>
      <c r="N82" s="59">
        <f t="shared" si="122"/>
        <v>-17783.34552</v>
      </c>
      <c r="O82" s="59">
        <f t="shared" si="122"/>
        <v>-43863.84552</v>
      </c>
      <c r="P82" s="59">
        <f t="shared" si="122"/>
        <v>-239608.4458</v>
      </c>
      <c r="Q82" s="48"/>
      <c r="R82" s="59">
        <f t="shared" ref="R82:AD82" si="123">SUM(R80,R78)</f>
        <v>-9685.555246</v>
      </c>
      <c r="S82" s="59">
        <f t="shared" si="123"/>
        <v>-2795.555246</v>
      </c>
      <c r="T82" s="59">
        <f t="shared" si="123"/>
        <v>-49906.55525</v>
      </c>
      <c r="U82" s="59">
        <f t="shared" si="123"/>
        <v>79.44475392</v>
      </c>
      <c r="V82" s="59">
        <f t="shared" si="123"/>
        <v>5380.476754</v>
      </c>
      <c r="W82" s="59">
        <f t="shared" si="123"/>
        <v>-13777.12325</v>
      </c>
      <c r="X82" s="59">
        <f t="shared" si="123"/>
        <v>21740.84475</v>
      </c>
      <c r="Y82" s="59">
        <f t="shared" si="123"/>
        <v>20224.28475</v>
      </c>
      <c r="Z82" s="59">
        <f t="shared" si="123"/>
        <v>-9502.115246</v>
      </c>
      <c r="AA82" s="59">
        <f t="shared" si="123"/>
        <v>21913.88475</v>
      </c>
      <c r="AB82" s="59">
        <f t="shared" si="123"/>
        <v>24231.50713</v>
      </c>
      <c r="AC82" s="59">
        <f t="shared" si="123"/>
        <v>-5072.492869</v>
      </c>
      <c r="AD82" s="59">
        <f t="shared" si="123"/>
        <v>2831.045801</v>
      </c>
      <c r="AE82" s="48"/>
      <c r="AF82" s="59">
        <f t="shared" ref="AF82:AR82" si="124">SUM(AF80,AF78)</f>
        <v>32060.17144</v>
      </c>
      <c r="AG82" s="59">
        <f t="shared" si="124"/>
        <v>37315.17144</v>
      </c>
      <c r="AH82" s="59">
        <f t="shared" si="124"/>
        <v>-17164.46456</v>
      </c>
      <c r="AI82" s="59">
        <f t="shared" si="124"/>
        <v>32060.17144</v>
      </c>
      <c r="AJ82" s="59">
        <f t="shared" si="124"/>
        <v>32140.08107</v>
      </c>
      <c r="AK82" s="59">
        <f t="shared" si="124"/>
        <v>4854.439468</v>
      </c>
      <c r="AL82" s="59">
        <f t="shared" si="124"/>
        <v>32781.57784</v>
      </c>
      <c r="AM82" s="59">
        <f t="shared" si="124"/>
        <v>21255.72328</v>
      </c>
      <c r="AN82" s="59">
        <f t="shared" si="124"/>
        <v>-9986.723124</v>
      </c>
      <c r="AO82" s="59">
        <f t="shared" si="124"/>
        <v>23031.49288</v>
      </c>
      <c r="AP82" s="59">
        <f t="shared" si="124"/>
        <v>25467.31399</v>
      </c>
      <c r="AQ82" s="59">
        <f t="shared" si="124"/>
        <v>-5331.190005</v>
      </c>
      <c r="AR82" s="59">
        <f t="shared" si="124"/>
        <v>208483.7651</v>
      </c>
      <c r="AS82" s="48"/>
      <c r="AT82" s="59">
        <f t="shared" ref="AT82:BF82" si="125">SUM(AT80,AT78)</f>
        <v>32950.34393</v>
      </c>
      <c r="AU82" s="59">
        <f t="shared" si="125"/>
        <v>38473.34893</v>
      </c>
      <c r="AV82" s="59">
        <f t="shared" si="125"/>
        <v>-18784.74851</v>
      </c>
      <c r="AW82" s="59">
        <f t="shared" si="125"/>
        <v>32950.34393</v>
      </c>
      <c r="AX82" s="59">
        <f t="shared" si="125"/>
        <v>33034.32895</v>
      </c>
      <c r="AY82" s="59">
        <f t="shared" si="125"/>
        <v>4357.119631</v>
      </c>
      <c r="AZ82" s="59">
        <f t="shared" si="125"/>
        <v>33708.54206</v>
      </c>
      <c r="BA82" s="59">
        <f t="shared" si="125"/>
        <v>21594.86891</v>
      </c>
      <c r="BB82" s="59">
        <f t="shared" si="125"/>
        <v>-11240.94225</v>
      </c>
      <c r="BC82" s="59">
        <f t="shared" si="125"/>
        <v>23461.20276</v>
      </c>
      <c r="BD82" s="59">
        <f t="shared" si="125"/>
        <v>26021.25076</v>
      </c>
      <c r="BE82" s="59">
        <f t="shared" si="125"/>
        <v>-6347.976946</v>
      </c>
      <c r="BF82" s="59">
        <f t="shared" si="125"/>
        <v>210177.6822</v>
      </c>
      <c r="BG82" s="48"/>
      <c r="BH82" s="59">
        <f t="shared" ref="BH82:BT82" si="126">SUM(BH80,BH78)</f>
        <v>33807.65145</v>
      </c>
      <c r="BI82" s="59">
        <f t="shared" si="126"/>
        <v>39612.32971</v>
      </c>
      <c r="BJ82" s="59">
        <f t="shared" si="126"/>
        <v>-20565.9307</v>
      </c>
      <c r="BK82" s="59">
        <f t="shared" si="126"/>
        <v>33807.65145</v>
      </c>
      <c r="BL82" s="59">
        <f t="shared" si="126"/>
        <v>33895.91971</v>
      </c>
      <c r="BM82" s="59">
        <f t="shared" si="126"/>
        <v>3756.172716</v>
      </c>
      <c r="BN82" s="59">
        <f t="shared" si="126"/>
        <v>34604.51768</v>
      </c>
      <c r="BO82" s="59">
        <f t="shared" si="126"/>
        <v>21873.04721</v>
      </c>
      <c r="BP82" s="59">
        <f t="shared" si="126"/>
        <v>-12637.39032</v>
      </c>
      <c r="BQ82" s="59">
        <f t="shared" si="126"/>
        <v>23834.56409</v>
      </c>
      <c r="BR82" s="59">
        <f t="shared" si="126"/>
        <v>26525.17453</v>
      </c>
      <c r="BS82" s="59">
        <f t="shared" si="126"/>
        <v>-7494.883786</v>
      </c>
      <c r="BT82" s="59">
        <f t="shared" si="126"/>
        <v>211018.8238</v>
      </c>
      <c r="BU82" s="48"/>
      <c r="BV82" s="59">
        <f t="shared" ref="BV82:CH82" si="127">SUM(BV80,BV78)</f>
        <v>34937.56534</v>
      </c>
      <c r="BW82" s="59">
        <f t="shared" si="127"/>
        <v>40780.58791</v>
      </c>
      <c r="BX82" s="59">
        <f t="shared" si="127"/>
        <v>-22466.76378</v>
      </c>
      <c r="BY82" s="59">
        <f t="shared" si="127"/>
        <v>34679.87106</v>
      </c>
      <c r="BZ82" s="59">
        <f t="shared" si="127"/>
        <v>34772.641</v>
      </c>
      <c r="CA82" s="59">
        <f t="shared" si="127"/>
        <v>3095.766908</v>
      </c>
      <c r="CB82" s="59">
        <f t="shared" si="127"/>
        <v>35517.37747</v>
      </c>
      <c r="CC82" s="59">
        <f t="shared" si="127"/>
        <v>22136.602</v>
      </c>
      <c r="CD82" s="59">
        <f t="shared" si="127"/>
        <v>-14133.86785</v>
      </c>
      <c r="CE82" s="59">
        <f t="shared" si="127"/>
        <v>24198.15624</v>
      </c>
      <c r="CF82" s="59">
        <f t="shared" si="127"/>
        <v>27025.98782</v>
      </c>
      <c r="CG82" s="59">
        <f t="shared" si="127"/>
        <v>-8729.093476</v>
      </c>
      <c r="CH82" s="59">
        <f t="shared" si="127"/>
        <v>211814.8306</v>
      </c>
      <c r="CI82" s="60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</row>
    <row r="83" ht="4.5" customHeight="1">
      <c r="A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36"/>
      <c r="Q83" s="14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8"/>
      <c r="AE83" s="14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8"/>
      <c r="AS83" s="14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8"/>
      <c r="BG83" s="14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8"/>
      <c r="BU83" s="14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8"/>
      <c r="CI83" s="14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ht="13.5" customHeight="1">
      <c r="A84" s="1"/>
      <c r="P84" s="61"/>
      <c r="Q84" s="14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61"/>
      <c r="AE84" s="14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61"/>
      <c r="AS84" s="14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61"/>
      <c r="BG84" s="14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61"/>
      <c r="BU84" s="14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61"/>
      <c r="CI84" s="14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ht="13.5" customHeight="1">
      <c r="A85" s="1"/>
      <c r="P85" s="6"/>
      <c r="Q85" s="1"/>
      <c r="AD85" s="6"/>
      <c r="AE85" s="1"/>
      <c r="AR85" s="6"/>
      <c r="AS85" s="1"/>
      <c r="BF85" s="6"/>
      <c r="BG85" s="1"/>
      <c r="BT85" s="6"/>
      <c r="BU85" s="1"/>
      <c r="CH85" s="6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ht="13.5" customHeight="1">
      <c r="A86" s="1"/>
      <c r="P86" s="6"/>
      <c r="Q86" s="1"/>
      <c r="AD86" s="6"/>
      <c r="AE86" s="1"/>
      <c r="AR86" s="6"/>
      <c r="AS86" s="1"/>
      <c r="BF86" s="6"/>
      <c r="BG86" s="1"/>
      <c r="BT86" s="6"/>
      <c r="BU86" s="1"/>
      <c r="CH86" s="6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ht="13.5" customHeight="1">
      <c r="A87" s="1"/>
      <c r="P87" s="6"/>
      <c r="Q87" s="1"/>
      <c r="AD87" s="6"/>
      <c r="AE87" s="1"/>
      <c r="AR87" s="6"/>
      <c r="AS87" s="1"/>
      <c r="BF87" s="6"/>
      <c r="BG87" s="1"/>
      <c r="BT87" s="6"/>
      <c r="BU87" s="1"/>
      <c r="CH87" s="6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ht="13.5" customHeight="1">
      <c r="A88" s="1"/>
      <c r="P88" s="6"/>
      <c r="Q88" s="1"/>
      <c r="AD88" s="6"/>
      <c r="AE88" s="1"/>
      <c r="AR88" s="6"/>
      <c r="AS88" s="1"/>
      <c r="BF88" s="6"/>
      <c r="BG88" s="1"/>
      <c r="BT88" s="6"/>
      <c r="BU88" s="1"/>
      <c r="CH88" s="6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ht="13.5" customHeight="1">
      <c r="A89" s="1"/>
      <c r="P89" s="6"/>
      <c r="Q89" s="1"/>
      <c r="AD89" s="6"/>
      <c r="AE89" s="1"/>
      <c r="AR89" s="6"/>
      <c r="AS89" s="1"/>
      <c r="BF89" s="6"/>
      <c r="BG89" s="1"/>
      <c r="BT89" s="6"/>
      <c r="BU89" s="1"/>
      <c r="CH89" s="6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ht="13.5" customHeight="1">
      <c r="A90" s="1"/>
      <c r="P90" s="6"/>
      <c r="Q90" s="1"/>
      <c r="AD90" s="6"/>
      <c r="AE90" s="1"/>
      <c r="AR90" s="6"/>
      <c r="AS90" s="1"/>
      <c r="BF90" s="6"/>
      <c r="BG90" s="1"/>
      <c r="BT90" s="6"/>
      <c r="BU90" s="1"/>
      <c r="CH90" s="6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ht="13.5" customHeight="1">
      <c r="A91" s="1"/>
      <c r="P91" s="6"/>
      <c r="Q91" s="1"/>
      <c r="AD91" s="6"/>
      <c r="AE91" s="1"/>
      <c r="AR91" s="6"/>
      <c r="AS91" s="1"/>
      <c r="BF91" s="6"/>
      <c r="BG91" s="1"/>
      <c r="BT91" s="6"/>
      <c r="BU91" s="1"/>
      <c r="CH91" s="6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ht="13.5" customHeight="1">
      <c r="A92" s="1"/>
      <c r="P92" s="6"/>
      <c r="Q92" s="1"/>
      <c r="AD92" s="6"/>
      <c r="AE92" s="1"/>
      <c r="AR92" s="6"/>
      <c r="AS92" s="1"/>
      <c r="BF92" s="6"/>
      <c r="BG92" s="1"/>
      <c r="BT92" s="6"/>
      <c r="BU92" s="1"/>
      <c r="CH92" s="6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ht="13.5" customHeight="1">
      <c r="A93" s="1"/>
      <c r="P93" s="6"/>
      <c r="Q93" s="1"/>
      <c r="AD93" s="6"/>
      <c r="AE93" s="1"/>
      <c r="AR93" s="6"/>
      <c r="AS93" s="1"/>
      <c r="BF93" s="6"/>
      <c r="BG93" s="1"/>
      <c r="BT93" s="6"/>
      <c r="BU93" s="1"/>
      <c r="CH93" s="6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ht="13.5" customHeight="1">
      <c r="A94" s="1"/>
      <c r="P94" s="6"/>
      <c r="Q94" s="1"/>
      <c r="AD94" s="6"/>
      <c r="AE94" s="1"/>
      <c r="AR94" s="6"/>
      <c r="AS94" s="1"/>
      <c r="BF94" s="6"/>
      <c r="BG94" s="1"/>
      <c r="BT94" s="6"/>
      <c r="BU94" s="1"/>
      <c r="CH94" s="6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ht="13.5" customHeight="1">
      <c r="A95" s="1"/>
      <c r="P95" s="6"/>
      <c r="Q95" s="1"/>
      <c r="AD95" s="6"/>
      <c r="AE95" s="1"/>
      <c r="AR95" s="6"/>
      <c r="AS95" s="1"/>
      <c r="BF95" s="6"/>
      <c r="BG95" s="1"/>
      <c r="BT95" s="6"/>
      <c r="BU95" s="1"/>
      <c r="CH95" s="6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ht="13.5" customHeight="1">
      <c r="A96" s="1"/>
      <c r="P96" s="6"/>
      <c r="Q96" s="1"/>
      <c r="AD96" s="6"/>
      <c r="AE96" s="1"/>
      <c r="AR96" s="6"/>
      <c r="AS96" s="1"/>
      <c r="BF96" s="6"/>
      <c r="BG96" s="1"/>
      <c r="BT96" s="6"/>
      <c r="BU96" s="1"/>
      <c r="CH96" s="6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ht="13.5" customHeight="1">
      <c r="A97" s="1"/>
      <c r="P97" s="6"/>
      <c r="Q97" s="1"/>
      <c r="AD97" s="6"/>
      <c r="AE97" s="1"/>
      <c r="AR97" s="6"/>
      <c r="AS97" s="1"/>
      <c r="BF97" s="6"/>
      <c r="BG97" s="1"/>
      <c r="BT97" s="6"/>
      <c r="BU97" s="1"/>
      <c r="CH97" s="6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ht="13.5" customHeight="1">
      <c r="A98" s="1"/>
      <c r="P98" s="6"/>
      <c r="Q98" s="1"/>
      <c r="AD98" s="6"/>
      <c r="AE98" s="1"/>
      <c r="AR98" s="6"/>
      <c r="AS98" s="1"/>
      <c r="BF98" s="6"/>
      <c r="BG98" s="1"/>
      <c r="BT98" s="6"/>
      <c r="BU98" s="1"/>
      <c r="CH98" s="6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ht="13.5" customHeight="1">
      <c r="A99" s="1"/>
      <c r="P99" s="6"/>
      <c r="Q99" s="1"/>
      <c r="AD99" s="6"/>
      <c r="AE99" s="1"/>
      <c r="AR99" s="6"/>
      <c r="AS99" s="1"/>
      <c r="BF99" s="6"/>
      <c r="BG99" s="1"/>
      <c r="BT99" s="6"/>
      <c r="BU99" s="1"/>
      <c r="CH99" s="6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ht="13.5" customHeight="1">
      <c r="A100" s="1"/>
      <c r="P100" s="6"/>
      <c r="Q100" s="1"/>
      <c r="AD100" s="6"/>
      <c r="AE100" s="1"/>
      <c r="AR100" s="6"/>
      <c r="AS100" s="1"/>
      <c r="BF100" s="6"/>
      <c r="BG100" s="1"/>
      <c r="BT100" s="6"/>
      <c r="BU100" s="1"/>
      <c r="CH100" s="6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ht="13.5" customHeight="1">
      <c r="A101" s="1"/>
      <c r="P101" s="6"/>
      <c r="Q101" s="1"/>
      <c r="AD101" s="6"/>
      <c r="AE101" s="1"/>
      <c r="AR101" s="6"/>
      <c r="AS101" s="1"/>
      <c r="BF101" s="6"/>
      <c r="BG101" s="1"/>
      <c r="BT101" s="6"/>
      <c r="BU101" s="1"/>
      <c r="CH101" s="6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ht="13.5" customHeight="1">
      <c r="A102" s="1"/>
      <c r="P102" s="6"/>
      <c r="Q102" s="1"/>
      <c r="AD102" s="6"/>
      <c r="AE102" s="1"/>
      <c r="AR102" s="6"/>
      <c r="AS102" s="1"/>
      <c r="BF102" s="6"/>
      <c r="BG102" s="1"/>
      <c r="BT102" s="6"/>
      <c r="BU102" s="1"/>
      <c r="CH102" s="6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ht="13.5" customHeight="1">
      <c r="A103" s="1"/>
      <c r="P103" s="6"/>
      <c r="Q103" s="1"/>
      <c r="AD103" s="6"/>
      <c r="AE103" s="1"/>
      <c r="AR103" s="6"/>
      <c r="AS103" s="1"/>
      <c r="BF103" s="6"/>
      <c r="BG103" s="1"/>
      <c r="BT103" s="6"/>
      <c r="BU103" s="1"/>
      <c r="CH103" s="6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ht="13.5" customHeight="1">
      <c r="A104" s="1"/>
      <c r="P104" s="6"/>
      <c r="Q104" s="1"/>
      <c r="AD104" s="6"/>
      <c r="AE104" s="1"/>
      <c r="AR104" s="6"/>
      <c r="AS104" s="1"/>
      <c r="BF104" s="6"/>
      <c r="BG104" s="1"/>
      <c r="BT104" s="6"/>
      <c r="BU104" s="1"/>
      <c r="CH104" s="6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ht="13.5" customHeight="1">
      <c r="A105" s="1"/>
      <c r="P105" s="6"/>
      <c r="Q105" s="1"/>
      <c r="AD105" s="6"/>
      <c r="AE105" s="1"/>
      <c r="AR105" s="6"/>
      <c r="AS105" s="1"/>
      <c r="BF105" s="6"/>
      <c r="BG105" s="1"/>
      <c r="BT105" s="6"/>
      <c r="BU105" s="1"/>
      <c r="CH105" s="6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ht="13.5" customHeight="1">
      <c r="A106" s="1"/>
      <c r="P106" s="6"/>
      <c r="Q106" s="1"/>
      <c r="AD106" s="6"/>
      <c r="AE106" s="1"/>
      <c r="AR106" s="6"/>
      <c r="AS106" s="1"/>
      <c r="BF106" s="6"/>
      <c r="BG106" s="1"/>
      <c r="BT106" s="6"/>
      <c r="BU106" s="1"/>
      <c r="CH106" s="6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ht="13.5" customHeight="1">
      <c r="A107" s="1"/>
      <c r="P107" s="6"/>
      <c r="Q107" s="1"/>
      <c r="AD107" s="6"/>
      <c r="AE107" s="1"/>
      <c r="AR107" s="6"/>
      <c r="AS107" s="1"/>
      <c r="BF107" s="6"/>
      <c r="BG107" s="1"/>
      <c r="BT107" s="6"/>
      <c r="BU107" s="1"/>
      <c r="CH107" s="6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ht="13.5" customHeight="1">
      <c r="A108" s="1"/>
      <c r="P108" s="6"/>
      <c r="Q108" s="1"/>
      <c r="AD108" s="6"/>
      <c r="AE108" s="1"/>
      <c r="AR108" s="6"/>
      <c r="AS108" s="1"/>
      <c r="BF108" s="6"/>
      <c r="BG108" s="1"/>
      <c r="BT108" s="6"/>
      <c r="BU108" s="1"/>
      <c r="CH108" s="6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ht="13.5" customHeight="1">
      <c r="A109" s="1"/>
      <c r="P109" s="6"/>
      <c r="Q109" s="1"/>
      <c r="AD109" s="6"/>
      <c r="AE109" s="1"/>
      <c r="AR109" s="6"/>
      <c r="AS109" s="1"/>
      <c r="BF109" s="6"/>
      <c r="BG109" s="1"/>
      <c r="BT109" s="6"/>
      <c r="BU109" s="1"/>
      <c r="CH109" s="6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ht="13.5" customHeight="1">
      <c r="A110" s="1"/>
      <c r="P110" s="6"/>
      <c r="Q110" s="1"/>
      <c r="AD110" s="6"/>
      <c r="AE110" s="1"/>
      <c r="AR110" s="6"/>
      <c r="AS110" s="1"/>
      <c r="BF110" s="6"/>
      <c r="BG110" s="1"/>
      <c r="BT110" s="6"/>
      <c r="BU110" s="1"/>
      <c r="CH110" s="6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ht="13.5" customHeight="1">
      <c r="A111" s="1"/>
      <c r="P111" s="6"/>
      <c r="Q111" s="1"/>
      <c r="AD111" s="6"/>
      <c r="AE111" s="1"/>
      <c r="AR111" s="6"/>
      <c r="AS111" s="1"/>
      <c r="BF111" s="6"/>
      <c r="BG111" s="1"/>
      <c r="BT111" s="6"/>
      <c r="BU111" s="1"/>
      <c r="CH111" s="6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ht="13.5" customHeight="1">
      <c r="A112" s="1"/>
      <c r="P112" s="6"/>
      <c r="Q112" s="1"/>
      <c r="AD112" s="6"/>
      <c r="AE112" s="1"/>
      <c r="AR112" s="6"/>
      <c r="AS112" s="1"/>
      <c r="BF112" s="6"/>
      <c r="BG112" s="1"/>
      <c r="BT112" s="6"/>
      <c r="BU112" s="1"/>
      <c r="CH112" s="6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ht="13.5" customHeight="1">
      <c r="A113" s="1"/>
      <c r="P113" s="6"/>
      <c r="Q113" s="1"/>
      <c r="AD113" s="6"/>
      <c r="AE113" s="1"/>
      <c r="AR113" s="6"/>
      <c r="AS113" s="1"/>
      <c r="BF113" s="6"/>
      <c r="BG113" s="1"/>
      <c r="BT113" s="6"/>
      <c r="BU113" s="1"/>
      <c r="CH113" s="6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ht="13.5" customHeight="1">
      <c r="A114" s="1"/>
      <c r="P114" s="6"/>
      <c r="Q114" s="1"/>
      <c r="AD114" s="6"/>
      <c r="AE114" s="1"/>
      <c r="AR114" s="6"/>
      <c r="AS114" s="1"/>
      <c r="BF114" s="6"/>
      <c r="BG114" s="1"/>
      <c r="BT114" s="6"/>
      <c r="BU114" s="1"/>
      <c r="CH114" s="6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ht="13.5" customHeight="1">
      <c r="A115" s="1"/>
      <c r="P115" s="6"/>
      <c r="Q115" s="1"/>
      <c r="AD115" s="6"/>
      <c r="AE115" s="1"/>
      <c r="AR115" s="6"/>
      <c r="AS115" s="1"/>
      <c r="BF115" s="6"/>
      <c r="BG115" s="1"/>
      <c r="BT115" s="6"/>
      <c r="BU115" s="1"/>
      <c r="CH115" s="6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ht="13.5" customHeight="1">
      <c r="A116" s="1"/>
      <c r="P116" s="6"/>
      <c r="Q116" s="1"/>
      <c r="AD116" s="6"/>
      <c r="AE116" s="1"/>
      <c r="AR116" s="6"/>
      <c r="AS116" s="1"/>
      <c r="BF116" s="6"/>
      <c r="BG116" s="1"/>
      <c r="BT116" s="6"/>
      <c r="BU116" s="1"/>
      <c r="CH116" s="6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ht="13.5" customHeight="1">
      <c r="A117" s="1"/>
      <c r="P117" s="6"/>
      <c r="Q117" s="1"/>
      <c r="AD117" s="6"/>
      <c r="AE117" s="1"/>
      <c r="AR117" s="6"/>
      <c r="AS117" s="1"/>
      <c r="BF117" s="6"/>
      <c r="BG117" s="1"/>
      <c r="BT117" s="6"/>
      <c r="BU117" s="1"/>
      <c r="CH117" s="6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ht="13.5" customHeight="1">
      <c r="A118" s="1"/>
      <c r="P118" s="6"/>
      <c r="Q118" s="1"/>
      <c r="AD118" s="6"/>
      <c r="AE118" s="1"/>
      <c r="AR118" s="6"/>
      <c r="AS118" s="1"/>
      <c r="BF118" s="6"/>
      <c r="BG118" s="1"/>
      <c r="BT118" s="6"/>
      <c r="BU118" s="1"/>
      <c r="CH118" s="6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ht="13.5" customHeight="1">
      <c r="A119" s="1"/>
      <c r="P119" s="6"/>
      <c r="Q119" s="1"/>
      <c r="AD119" s="6"/>
      <c r="AE119" s="1"/>
      <c r="AR119" s="6"/>
      <c r="AS119" s="1"/>
      <c r="BF119" s="6"/>
      <c r="BG119" s="1"/>
      <c r="BT119" s="6"/>
      <c r="BU119" s="1"/>
      <c r="CH119" s="6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ht="13.5" customHeight="1">
      <c r="A120" s="1"/>
      <c r="P120" s="6"/>
      <c r="Q120" s="1"/>
      <c r="AD120" s="6"/>
      <c r="AE120" s="1"/>
      <c r="AR120" s="6"/>
      <c r="AS120" s="1"/>
      <c r="BF120" s="6"/>
      <c r="BG120" s="1"/>
      <c r="BT120" s="6"/>
      <c r="BU120" s="1"/>
      <c r="CH120" s="6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ht="13.5" customHeight="1">
      <c r="A121" s="1"/>
      <c r="P121" s="6"/>
      <c r="Q121" s="1"/>
      <c r="AD121" s="6"/>
      <c r="AE121" s="1"/>
      <c r="AR121" s="6"/>
      <c r="AS121" s="1"/>
      <c r="BF121" s="6"/>
      <c r="BG121" s="1"/>
      <c r="BT121" s="6"/>
      <c r="BU121" s="1"/>
      <c r="CH121" s="6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ht="13.5" customHeight="1">
      <c r="A122" s="1"/>
      <c r="P122" s="6"/>
      <c r="Q122" s="1"/>
      <c r="AD122" s="6"/>
      <c r="AE122" s="1"/>
      <c r="AR122" s="6"/>
      <c r="AS122" s="1"/>
      <c r="BF122" s="6"/>
      <c r="BG122" s="1"/>
      <c r="BT122" s="6"/>
      <c r="BU122" s="1"/>
      <c r="CH122" s="6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ht="13.5" customHeight="1">
      <c r="A123" s="1"/>
      <c r="P123" s="6"/>
      <c r="Q123" s="1"/>
      <c r="AD123" s="6"/>
      <c r="AE123" s="1"/>
      <c r="AR123" s="6"/>
      <c r="AS123" s="1"/>
      <c r="BF123" s="6"/>
      <c r="BG123" s="1"/>
      <c r="BT123" s="6"/>
      <c r="BU123" s="1"/>
      <c r="CH123" s="6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ht="13.5" customHeight="1">
      <c r="A124" s="1"/>
      <c r="P124" s="6"/>
      <c r="Q124" s="1"/>
      <c r="AD124" s="6"/>
      <c r="AE124" s="1"/>
      <c r="AR124" s="6"/>
      <c r="AS124" s="1"/>
      <c r="BF124" s="6"/>
      <c r="BG124" s="1"/>
      <c r="BT124" s="6"/>
      <c r="BU124" s="1"/>
      <c r="CH124" s="6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ht="13.5" customHeight="1">
      <c r="A125" s="1"/>
      <c r="P125" s="6"/>
      <c r="Q125" s="1"/>
      <c r="AD125" s="6"/>
      <c r="AE125" s="1"/>
      <c r="AR125" s="6"/>
      <c r="AS125" s="1"/>
      <c r="BF125" s="6"/>
      <c r="BG125" s="1"/>
      <c r="BT125" s="6"/>
      <c r="BU125" s="1"/>
      <c r="CH125" s="6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ht="13.5" customHeight="1">
      <c r="A126" s="1"/>
      <c r="P126" s="6"/>
      <c r="Q126" s="1"/>
      <c r="AD126" s="6"/>
      <c r="AE126" s="1"/>
      <c r="AR126" s="6"/>
      <c r="AS126" s="1"/>
      <c r="BF126" s="6"/>
      <c r="BG126" s="1"/>
      <c r="BT126" s="6"/>
      <c r="BU126" s="1"/>
      <c r="CH126" s="6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ht="13.5" customHeight="1">
      <c r="A127" s="1"/>
      <c r="P127" s="6"/>
      <c r="Q127" s="1"/>
      <c r="AD127" s="6"/>
      <c r="AE127" s="1"/>
      <c r="AR127" s="6"/>
      <c r="AS127" s="1"/>
      <c r="BF127" s="6"/>
      <c r="BG127" s="1"/>
      <c r="BT127" s="6"/>
      <c r="BU127" s="1"/>
      <c r="CH127" s="6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ht="13.5" customHeight="1">
      <c r="A128" s="1"/>
      <c r="P128" s="6"/>
      <c r="Q128" s="1"/>
      <c r="AD128" s="6"/>
      <c r="AE128" s="1"/>
      <c r="AR128" s="6"/>
      <c r="AS128" s="1"/>
      <c r="BF128" s="6"/>
      <c r="BG128" s="1"/>
      <c r="BT128" s="6"/>
      <c r="BU128" s="1"/>
      <c r="CH128" s="6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ht="13.5" customHeight="1">
      <c r="A129" s="1"/>
      <c r="P129" s="6"/>
      <c r="Q129" s="1"/>
      <c r="AD129" s="6"/>
      <c r="AE129" s="1"/>
      <c r="AR129" s="6"/>
      <c r="AS129" s="1"/>
      <c r="BF129" s="6"/>
      <c r="BG129" s="1"/>
      <c r="BT129" s="6"/>
      <c r="BU129" s="1"/>
      <c r="CH129" s="6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ht="13.5" customHeight="1">
      <c r="A130" s="1"/>
      <c r="P130" s="6"/>
      <c r="Q130" s="1"/>
      <c r="AD130" s="6"/>
      <c r="AE130" s="1"/>
      <c r="AR130" s="6"/>
      <c r="AS130" s="1"/>
      <c r="BF130" s="6"/>
      <c r="BG130" s="1"/>
      <c r="BT130" s="6"/>
      <c r="BU130" s="1"/>
      <c r="CH130" s="6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ht="13.5" customHeight="1">
      <c r="A131" s="1"/>
      <c r="P131" s="6"/>
      <c r="Q131" s="1"/>
      <c r="AD131" s="6"/>
      <c r="AE131" s="1"/>
      <c r="AR131" s="6"/>
      <c r="AS131" s="1"/>
      <c r="BF131" s="6"/>
      <c r="BG131" s="1"/>
      <c r="BT131" s="6"/>
      <c r="BU131" s="1"/>
      <c r="CH131" s="6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ht="13.5" customHeight="1">
      <c r="A132" s="1"/>
      <c r="P132" s="6"/>
      <c r="Q132" s="1"/>
      <c r="AD132" s="6"/>
      <c r="AE132" s="1"/>
      <c r="AR132" s="6"/>
      <c r="AS132" s="1"/>
      <c r="BF132" s="6"/>
      <c r="BG132" s="1"/>
      <c r="BT132" s="6"/>
      <c r="BU132" s="1"/>
      <c r="CH132" s="6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ht="13.5" customHeight="1">
      <c r="A133" s="1"/>
      <c r="P133" s="6"/>
      <c r="Q133" s="1"/>
      <c r="AD133" s="6"/>
      <c r="AE133" s="1"/>
      <c r="AR133" s="6"/>
      <c r="AS133" s="1"/>
      <c r="BF133" s="6"/>
      <c r="BG133" s="1"/>
      <c r="BT133" s="6"/>
      <c r="BU133" s="1"/>
      <c r="CH133" s="6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ht="13.5" customHeight="1">
      <c r="A134" s="1"/>
      <c r="P134" s="6"/>
      <c r="Q134" s="1"/>
      <c r="AD134" s="6"/>
      <c r="AE134" s="1"/>
      <c r="AR134" s="6"/>
      <c r="AS134" s="1"/>
      <c r="BF134" s="6"/>
      <c r="BG134" s="1"/>
      <c r="BT134" s="6"/>
      <c r="BU134" s="1"/>
      <c r="CH134" s="6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ht="13.5" customHeight="1">
      <c r="A135" s="1"/>
      <c r="P135" s="6"/>
      <c r="Q135" s="1"/>
      <c r="AD135" s="6"/>
      <c r="AE135" s="1"/>
      <c r="AR135" s="6"/>
      <c r="AS135" s="1"/>
      <c r="BF135" s="6"/>
      <c r="BG135" s="1"/>
      <c r="BT135" s="6"/>
      <c r="BU135" s="1"/>
      <c r="CH135" s="6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ht="13.5" customHeight="1">
      <c r="A136" s="1"/>
      <c r="P136" s="6"/>
      <c r="Q136" s="1"/>
      <c r="AD136" s="6"/>
      <c r="AE136" s="1"/>
      <c r="AR136" s="6"/>
      <c r="AS136" s="1"/>
      <c r="BF136" s="6"/>
      <c r="BG136" s="1"/>
      <c r="BT136" s="6"/>
      <c r="BU136" s="1"/>
      <c r="CH136" s="6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ht="13.5" customHeight="1">
      <c r="A137" s="1"/>
      <c r="P137" s="6"/>
      <c r="Q137" s="1"/>
      <c r="AD137" s="6"/>
      <c r="AE137" s="1"/>
      <c r="AR137" s="6"/>
      <c r="AS137" s="1"/>
      <c r="BF137" s="6"/>
      <c r="BG137" s="1"/>
      <c r="BT137" s="6"/>
      <c r="BU137" s="1"/>
      <c r="CH137" s="6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ht="13.5" customHeight="1">
      <c r="A138" s="1"/>
      <c r="P138" s="6"/>
      <c r="Q138" s="1"/>
      <c r="AD138" s="6"/>
      <c r="AE138" s="1"/>
      <c r="AR138" s="6"/>
      <c r="AS138" s="1"/>
      <c r="BF138" s="6"/>
      <c r="BG138" s="1"/>
      <c r="BT138" s="6"/>
      <c r="BU138" s="1"/>
      <c r="CH138" s="6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ht="13.5" customHeight="1">
      <c r="A139" s="1"/>
      <c r="P139" s="6"/>
      <c r="Q139" s="1"/>
      <c r="AD139" s="6"/>
      <c r="AE139" s="1"/>
      <c r="AR139" s="6"/>
      <c r="AS139" s="1"/>
      <c r="BF139" s="6"/>
      <c r="BG139" s="1"/>
      <c r="BT139" s="6"/>
      <c r="BU139" s="1"/>
      <c r="CH139" s="6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ht="13.5" customHeight="1">
      <c r="A140" s="1"/>
      <c r="P140" s="6"/>
      <c r="Q140" s="1"/>
      <c r="AD140" s="6"/>
      <c r="AE140" s="1"/>
      <c r="AR140" s="6"/>
      <c r="AS140" s="1"/>
      <c r="BF140" s="6"/>
      <c r="BG140" s="1"/>
      <c r="BT140" s="6"/>
      <c r="BU140" s="1"/>
      <c r="CH140" s="6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ht="13.5" customHeight="1">
      <c r="A141" s="1"/>
      <c r="P141" s="6"/>
      <c r="Q141" s="1"/>
      <c r="AD141" s="6"/>
      <c r="AE141" s="1"/>
      <c r="AR141" s="6"/>
      <c r="AS141" s="1"/>
      <c r="BF141" s="6"/>
      <c r="BG141" s="1"/>
      <c r="BT141" s="6"/>
      <c r="BU141" s="1"/>
      <c r="CH141" s="6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ht="13.5" customHeight="1">
      <c r="A142" s="1"/>
      <c r="P142" s="6"/>
      <c r="Q142" s="1"/>
      <c r="AD142" s="6"/>
      <c r="AE142" s="1"/>
      <c r="AR142" s="6"/>
      <c r="AS142" s="1"/>
      <c r="BF142" s="6"/>
      <c r="BG142" s="1"/>
      <c r="BT142" s="6"/>
      <c r="BU142" s="1"/>
      <c r="CH142" s="6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ht="13.5" customHeight="1">
      <c r="A143" s="1"/>
      <c r="P143" s="6"/>
      <c r="Q143" s="1"/>
      <c r="AD143" s="6"/>
      <c r="AE143" s="1"/>
      <c r="AR143" s="6"/>
      <c r="AS143" s="1"/>
      <c r="BF143" s="6"/>
      <c r="BG143" s="1"/>
      <c r="BT143" s="6"/>
      <c r="BU143" s="1"/>
      <c r="CH143" s="6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ht="13.5" customHeight="1">
      <c r="A144" s="1"/>
      <c r="P144" s="6"/>
      <c r="Q144" s="1"/>
      <c r="AD144" s="6"/>
      <c r="AE144" s="1"/>
      <c r="AR144" s="6"/>
      <c r="AS144" s="1"/>
      <c r="BF144" s="6"/>
      <c r="BG144" s="1"/>
      <c r="BT144" s="6"/>
      <c r="BU144" s="1"/>
      <c r="CH144" s="6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ht="13.5" customHeight="1">
      <c r="A145" s="1"/>
      <c r="P145" s="6"/>
      <c r="Q145" s="1"/>
      <c r="AD145" s="6"/>
      <c r="AE145" s="1"/>
      <c r="AR145" s="6"/>
      <c r="AS145" s="1"/>
      <c r="BF145" s="6"/>
      <c r="BG145" s="1"/>
      <c r="BT145" s="6"/>
      <c r="BU145" s="1"/>
      <c r="CH145" s="6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ht="13.5" customHeight="1">
      <c r="A146" s="1"/>
      <c r="P146" s="6"/>
      <c r="Q146" s="1"/>
      <c r="AD146" s="6"/>
      <c r="AE146" s="1"/>
      <c r="AR146" s="6"/>
      <c r="AS146" s="1"/>
      <c r="BF146" s="6"/>
      <c r="BG146" s="1"/>
      <c r="BT146" s="6"/>
      <c r="BU146" s="1"/>
      <c r="CH146" s="6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ht="13.5" customHeight="1">
      <c r="A147" s="1"/>
      <c r="P147" s="6"/>
      <c r="Q147" s="1"/>
      <c r="AD147" s="6"/>
      <c r="AE147" s="1"/>
      <c r="AR147" s="6"/>
      <c r="AS147" s="1"/>
      <c r="BF147" s="6"/>
      <c r="BG147" s="1"/>
      <c r="BT147" s="6"/>
      <c r="BU147" s="1"/>
      <c r="CH147" s="6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ht="13.5" customHeight="1">
      <c r="A148" s="1"/>
      <c r="P148" s="6"/>
      <c r="Q148" s="1"/>
      <c r="AD148" s="6"/>
      <c r="AE148" s="1"/>
      <c r="AR148" s="6"/>
      <c r="AS148" s="1"/>
      <c r="BF148" s="6"/>
      <c r="BG148" s="1"/>
      <c r="BT148" s="6"/>
      <c r="BU148" s="1"/>
      <c r="CH148" s="6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ht="13.5" customHeight="1">
      <c r="A149" s="1"/>
      <c r="P149" s="6"/>
      <c r="Q149" s="1"/>
      <c r="AD149" s="6"/>
      <c r="AE149" s="1"/>
      <c r="AR149" s="6"/>
      <c r="AS149" s="1"/>
      <c r="BF149" s="6"/>
      <c r="BG149" s="1"/>
      <c r="BT149" s="6"/>
      <c r="BU149" s="1"/>
      <c r="CH149" s="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ht="13.5" customHeight="1">
      <c r="A150" s="1"/>
      <c r="P150" s="6"/>
      <c r="Q150" s="1"/>
      <c r="AD150" s="6"/>
      <c r="AE150" s="1"/>
      <c r="AR150" s="6"/>
      <c r="AS150" s="1"/>
      <c r="BF150" s="6"/>
      <c r="BG150" s="1"/>
      <c r="BT150" s="6"/>
      <c r="BU150" s="1"/>
      <c r="CH150" s="6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ht="13.5" customHeight="1">
      <c r="A151" s="1"/>
      <c r="P151" s="6"/>
      <c r="Q151" s="1"/>
      <c r="AD151" s="6"/>
      <c r="AE151" s="1"/>
      <c r="AR151" s="6"/>
      <c r="AS151" s="1"/>
      <c r="BF151" s="6"/>
      <c r="BG151" s="1"/>
      <c r="BT151" s="6"/>
      <c r="BU151" s="1"/>
      <c r="CH151" s="6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ht="13.5" customHeight="1">
      <c r="A152" s="1"/>
      <c r="P152" s="6"/>
      <c r="Q152" s="1"/>
      <c r="AD152" s="6"/>
      <c r="AE152" s="1"/>
      <c r="AR152" s="6"/>
      <c r="AS152" s="1"/>
      <c r="BF152" s="6"/>
      <c r="BG152" s="1"/>
      <c r="BT152" s="6"/>
      <c r="BU152" s="1"/>
      <c r="CH152" s="6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ht="13.5" customHeight="1">
      <c r="A153" s="1"/>
      <c r="P153" s="6"/>
      <c r="Q153" s="1"/>
      <c r="AD153" s="6"/>
      <c r="AE153" s="1"/>
      <c r="AR153" s="6"/>
      <c r="AS153" s="1"/>
      <c r="BF153" s="6"/>
      <c r="BG153" s="1"/>
      <c r="BT153" s="6"/>
      <c r="BU153" s="1"/>
      <c r="CH153" s="6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ht="13.5" customHeight="1">
      <c r="A154" s="1"/>
      <c r="P154" s="6"/>
      <c r="Q154" s="1"/>
      <c r="AD154" s="6"/>
      <c r="AE154" s="1"/>
      <c r="AR154" s="6"/>
      <c r="AS154" s="1"/>
      <c r="BF154" s="6"/>
      <c r="BG154" s="1"/>
      <c r="BT154" s="6"/>
      <c r="BU154" s="1"/>
      <c r="CH154" s="6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ht="13.5" customHeight="1">
      <c r="A155" s="1"/>
      <c r="P155" s="6"/>
      <c r="Q155" s="1"/>
      <c r="AD155" s="6"/>
      <c r="AE155" s="1"/>
      <c r="AR155" s="6"/>
      <c r="AS155" s="1"/>
      <c r="BF155" s="6"/>
      <c r="BG155" s="1"/>
      <c r="BT155" s="6"/>
      <c r="BU155" s="1"/>
      <c r="CH155" s="6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ht="13.5" customHeight="1">
      <c r="A156" s="1"/>
      <c r="P156" s="6"/>
      <c r="Q156" s="1"/>
      <c r="AD156" s="6"/>
      <c r="AE156" s="1"/>
      <c r="AR156" s="6"/>
      <c r="AS156" s="1"/>
      <c r="BF156" s="6"/>
      <c r="BG156" s="1"/>
      <c r="BT156" s="6"/>
      <c r="BU156" s="1"/>
      <c r="CH156" s="6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ht="13.5" customHeight="1">
      <c r="A157" s="1"/>
      <c r="P157" s="6"/>
      <c r="Q157" s="1"/>
      <c r="AD157" s="6"/>
      <c r="AE157" s="1"/>
      <c r="AR157" s="6"/>
      <c r="AS157" s="1"/>
      <c r="BF157" s="6"/>
      <c r="BG157" s="1"/>
      <c r="BT157" s="6"/>
      <c r="BU157" s="1"/>
      <c r="CH157" s="6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ht="13.5" customHeight="1">
      <c r="A158" s="1"/>
      <c r="P158" s="6"/>
      <c r="Q158" s="1"/>
      <c r="AD158" s="6"/>
      <c r="AE158" s="1"/>
      <c r="AR158" s="6"/>
      <c r="AS158" s="1"/>
      <c r="BF158" s="6"/>
      <c r="BG158" s="1"/>
      <c r="BT158" s="6"/>
      <c r="BU158" s="1"/>
      <c r="CH158" s="6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ht="13.5" customHeight="1">
      <c r="A159" s="1"/>
      <c r="P159" s="6"/>
      <c r="Q159" s="1"/>
      <c r="AD159" s="6"/>
      <c r="AE159" s="1"/>
      <c r="AR159" s="6"/>
      <c r="AS159" s="1"/>
      <c r="BF159" s="6"/>
      <c r="BG159" s="1"/>
      <c r="BT159" s="6"/>
      <c r="BU159" s="1"/>
      <c r="CH159" s="6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ht="13.5" customHeight="1">
      <c r="A160" s="1"/>
      <c r="P160" s="6"/>
      <c r="Q160" s="1"/>
      <c r="AD160" s="6"/>
      <c r="AE160" s="1"/>
      <c r="AR160" s="6"/>
      <c r="AS160" s="1"/>
      <c r="BF160" s="6"/>
      <c r="BG160" s="1"/>
      <c r="BT160" s="6"/>
      <c r="BU160" s="1"/>
      <c r="CH160" s="6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ht="13.5" customHeight="1">
      <c r="A161" s="1"/>
      <c r="P161" s="6"/>
      <c r="Q161" s="1"/>
      <c r="AD161" s="6"/>
      <c r="AE161" s="1"/>
      <c r="AR161" s="6"/>
      <c r="AS161" s="1"/>
      <c r="BF161" s="6"/>
      <c r="BG161" s="1"/>
      <c r="BT161" s="6"/>
      <c r="BU161" s="1"/>
      <c r="CH161" s="6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ht="13.5" customHeight="1">
      <c r="A162" s="1"/>
      <c r="P162" s="6"/>
      <c r="Q162" s="1"/>
      <c r="AD162" s="6"/>
      <c r="AE162" s="1"/>
      <c r="AR162" s="6"/>
      <c r="AS162" s="1"/>
      <c r="BF162" s="6"/>
      <c r="BG162" s="1"/>
      <c r="BT162" s="6"/>
      <c r="BU162" s="1"/>
      <c r="CH162" s="6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ht="13.5" customHeight="1">
      <c r="A163" s="1"/>
      <c r="P163" s="6"/>
      <c r="Q163" s="1"/>
      <c r="AD163" s="6"/>
      <c r="AE163" s="1"/>
      <c r="AR163" s="6"/>
      <c r="AS163" s="1"/>
      <c r="BF163" s="6"/>
      <c r="BG163" s="1"/>
      <c r="BT163" s="6"/>
      <c r="BU163" s="1"/>
      <c r="CH163" s="6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ht="13.5" customHeight="1">
      <c r="A164" s="1"/>
      <c r="P164" s="6"/>
      <c r="Q164" s="1"/>
      <c r="AD164" s="6"/>
      <c r="AE164" s="1"/>
      <c r="AR164" s="6"/>
      <c r="AS164" s="1"/>
      <c r="BF164" s="6"/>
      <c r="BG164" s="1"/>
      <c r="BT164" s="6"/>
      <c r="BU164" s="1"/>
      <c r="CH164" s="6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ht="13.5" customHeight="1">
      <c r="A165" s="1"/>
      <c r="P165" s="6"/>
      <c r="Q165" s="1"/>
      <c r="AD165" s="6"/>
      <c r="AE165" s="1"/>
      <c r="AR165" s="6"/>
      <c r="AS165" s="1"/>
      <c r="BF165" s="6"/>
      <c r="BG165" s="1"/>
      <c r="BT165" s="6"/>
      <c r="BU165" s="1"/>
      <c r="CH165" s="6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ht="13.5" customHeight="1">
      <c r="A166" s="1"/>
      <c r="P166" s="6"/>
      <c r="Q166" s="1"/>
      <c r="AD166" s="6"/>
      <c r="AE166" s="1"/>
      <c r="AR166" s="6"/>
      <c r="AS166" s="1"/>
      <c r="BF166" s="6"/>
      <c r="BG166" s="1"/>
      <c r="BT166" s="6"/>
      <c r="BU166" s="1"/>
      <c r="CH166" s="6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ht="13.5" customHeight="1">
      <c r="A167" s="1"/>
      <c r="P167" s="6"/>
      <c r="Q167" s="1"/>
      <c r="AD167" s="6"/>
      <c r="AE167" s="1"/>
      <c r="AR167" s="6"/>
      <c r="AS167" s="1"/>
      <c r="BF167" s="6"/>
      <c r="BG167" s="1"/>
      <c r="BT167" s="6"/>
      <c r="BU167" s="1"/>
      <c r="CH167" s="6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ht="13.5" customHeight="1">
      <c r="A168" s="1"/>
      <c r="P168" s="6"/>
      <c r="Q168" s="1"/>
      <c r="AD168" s="6"/>
      <c r="AE168" s="1"/>
      <c r="AR168" s="6"/>
      <c r="AS168" s="1"/>
      <c r="BF168" s="6"/>
      <c r="BG168" s="1"/>
      <c r="BT168" s="6"/>
      <c r="BU168" s="1"/>
      <c r="CH168" s="6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ht="13.5" customHeight="1">
      <c r="A169" s="1"/>
      <c r="P169" s="6"/>
      <c r="Q169" s="1"/>
      <c r="AD169" s="6"/>
      <c r="AE169" s="1"/>
      <c r="AR169" s="6"/>
      <c r="AS169" s="1"/>
      <c r="BF169" s="6"/>
      <c r="BG169" s="1"/>
      <c r="BT169" s="6"/>
      <c r="BU169" s="1"/>
      <c r="CH169" s="6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ht="13.5" customHeight="1">
      <c r="A170" s="1"/>
      <c r="P170" s="6"/>
      <c r="Q170" s="1"/>
      <c r="AD170" s="6"/>
      <c r="AE170" s="1"/>
      <c r="AR170" s="6"/>
      <c r="AS170" s="1"/>
      <c r="BF170" s="6"/>
      <c r="BG170" s="1"/>
      <c r="BT170" s="6"/>
      <c r="BU170" s="1"/>
      <c r="CH170" s="6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ht="13.5" customHeight="1">
      <c r="A171" s="1"/>
      <c r="P171" s="6"/>
      <c r="Q171" s="1"/>
      <c r="AD171" s="6"/>
      <c r="AE171" s="1"/>
      <c r="AR171" s="6"/>
      <c r="AS171" s="1"/>
      <c r="BF171" s="6"/>
      <c r="BG171" s="1"/>
      <c r="BT171" s="6"/>
      <c r="BU171" s="1"/>
      <c r="CH171" s="6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ht="13.5" customHeight="1">
      <c r="A172" s="1"/>
      <c r="P172" s="6"/>
      <c r="Q172" s="1"/>
      <c r="AD172" s="6"/>
      <c r="AE172" s="1"/>
      <c r="AR172" s="6"/>
      <c r="AS172" s="1"/>
      <c r="BF172" s="6"/>
      <c r="BG172" s="1"/>
      <c r="BT172" s="6"/>
      <c r="BU172" s="1"/>
      <c r="CH172" s="6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ht="13.5" customHeight="1">
      <c r="A173" s="1"/>
      <c r="P173" s="6"/>
      <c r="Q173" s="1"/>
      <c r="AD173" s="6"/>
      <c r="AE173" s="1"/>
      <c r="AR173" s="6"/>
      <c r="AS173" s="1"/>
      <c r="BF173" s="6"/>
      <c r="BG173" s="1"/>
      <c r="BT173" s="6"/>
      <c r="BU173" s="1"/>
      <c r="CH173" s="6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ht="13.5" customHeight="1">
      <c r="A174" s="1"/>
      <c r="P174" s="6"/>
      <c r="Q174" s="1"/>
      <c r="AD174" s="6"/>
      <c r="AE174" s="1"/>
      <c r="AR174" s="6"/>
      <c r="AS174" s="1"/>
      <c r="BF174" s="6"/>
      <c r="BG174" s="1"/>
      <c r="BT174" s="6"/>
      <c r="BU174" s="1"/>
      <c r="CH174" s="6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ht="13.5" customHeight="1">
      <c r="A175" s="1"/>
      <c r="P175" s="6"/>
      <c r="Q175" s="1"/>
      <c r="AD175" s="6"/>
      <c r="AE175" s="1"/>
      <c r="AR175" s="6"/>
      <c r="AS175" s="1"/>
      <c r="BF175" s="6"/>
      <c r="BG175" s="1"/>
      <c r="BT175" s="6"/>
      <c r="BU175" s="1"/>
      <c r="CH175" s="6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ht="13.5" customHeight="1">
      <c r="A176" s="1"/>
      <c r="P176" s="6"/>
      <c r="Q176" s="1"/>
      <c r="AD176" s="6"/>
      <c r="AE176" s="1"/>
      <c r="AR176" s="6"/>
      <c r="AS176" s="1"/>
      <c r="BF176" s="6"/>
      <c r="BG176" s="1"/>
      <c r="BT176" s="6"/>
      <c r="BU176" s="1"/>
      <c r="CH176" s="6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ht="13.5" customHeight="1">
      <c r="A177" s="1"/>
      <c r="P177" s="6"/>
      <c r="Q177" s="1"/>
      <c r="AD177" s="6"/>
      <c r="AE177" s="1"/>
      <c r="AR177" s="6"/>
      <c r="AS177" s="1"/>
      <c r="BF177" s="6"/>
      <c r="BG177" s="1"/>
      <c r="BT177" s="6"/>
      <c r="BU177" s="1"/>
      <c r="CH177" s="6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ht="13.5" customHeight="1">
      <c r="A178" s="1"/>
      <c r="P178" s="6"/>
      <c r="Q178" s="1"/>
      <c r="AD178" s="6"/>
      <c r="AE178" s="1"/>
      <c r="AR178" s="6"/>
      <c r="AS178" s="1"/>
      <c r="BF178" s="6"/>
      <c r="BG178" s="1"/>
      <c r="BT178" s="6"/>
      <c r="BU178" s="1"/>
      <c r="CH178" s="6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ht="13.5" customHeight="1">
      <c r="A179" s="1"/>
      <c r="P179" s="6"/>
      <c r="Q179" s="1"/>
      <c r="AD179" s="6"/>
      <c r="AE179" s="1"/>
      <c r="AR179" s="6"/>
      <c r="AS179" s="1"/>
      <c r="BF179" s="6"/>
      <c r="BG179" s="1"/>
      <c r="BT179" s="6"/>
      <c r="BU179" s="1"/>
      <c r="CH179" s="6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ht="13.5" customHeight="1">
      <c r="A180" s="1"/>
      <c r="P180" s="6"/>
      <c r="Q180" s="1"/>
      <c r="AD180" s="6"/>
      <c r="AE180" s="1"/>
      <c r="AR180" s="6"/>
      <c r="AS180" s="1"/>
      <c r="BF180" s="6"/>
      <c r="BG180" s="1"/>
      <c r="BT180" s="6"/>
      <c r="BU180" s="1"/>
      <c r="CH180" s="6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ht="13.5" customHeight="1">
      <c r="A181" s="1"/>
      <c r="P181" s="6"/>
      <c r="Q181" s="1"/>
      <c r="AD181" s="6"/>
      <c r="AE181" s="1"/>
      <c r="AR181" s="6"/>
      <c r="AS181" s="1"/>
      <c r="BF181" s="6"/>
      <c r="BG181" s="1"/>
      <c r="BT181" s="6"/>
      <c r="BU181" s="1"/>
      <c r="CH181" s="6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ht="13.5" customHeight="1">
      <c r="A182" s="1"/>
      <c r="P182" s="6"/>
      <c r="Q182" s="1"/>
      <c r="AD182" s="6"/>
      <c r="AE182" s="1"/>
      <c r="AR182" s="6"/>
      <c r="AS182" s="1"/>
      <c r="BF182" s="6"/>
      <c r="BG182" s="1"/>
      <c r="BT182" s="6"/>
      <c r="BU182" s="1"/>
      <c r="CH182" s="6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ht="13.5" customHeight="1">
      <c r="A183" s="1"/>
      <c r="P183" s="6"/>
      <c r="Q183" s="1"/>
      <c r="AD183" s="6"/>
      <c r="AE183" s="1"/>
      <c r="AR183" s="6"/>
      <c r="AS183" s="1"/>
      <c r="BF183" s="6"/>
      <c r="BG183" s="1"/>
      <c r="BT183" s="6"/>
      <c r="BU183" s="1"/>
      <c r="CH183" s="6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ht="13.5" customHeight="1">
      <c r="A184" s="1"/>
      <c r="P184" s="6"/>
      <c r="Q184" s="1"/>
      <c r="AD184" s="6"/>
      <c r="AE184" s="1"/>
      <c r="AR184" s="6"/>
      <c r="AS184" s="1"/>
      <c r="BF184" s="6"/>
      <c r="BG184" s="1"/>
      <c r="BT184" s="6"/>
      <c r="BU184" s="1"/>
      <c r="CH184" s="6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ht="13.5" customHeight="1">
      <c r="A185" s="1"/>
      <c r="P185" s="6"/>
      <c r="Q185" s="1"/>
      <c r="AD185" s="6"/>
      <c r="AE185" s="1"/>
      <c r="AR185" s="6"/>
      <c r="AS185" s="1"/>
      <c r="BF185" s="6"/>
      <c r="BG185" s="1"/>
      <c r="BT185" s="6"/>
      <c r="BU185" s="1"/>
      <c r="CH185" s="6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ht="13.5" customHeight="1">
      <c r="A186" s="1"/>
      <c r="P186" s="6"/>
      <c r="Q186" s="1"/>
      <c r="AD186" s="6"/>
      <c r="AE186" s="1"/>
      <c r="AR186" s="6"/>
      <c r="AS186" s="1"/>
      <c r="BF186" s="6"/>
      <c r="BG186" s="1"/>
      <c r="BT186" s="6"/>
      <c r="BU186" s="1"/>
      <c r="CH186" s="6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ht="13.5" customHeight="1">
      <c r="A187" s="1"/>
      <c r="P187" s="6"/>
      <c r="Q187" s="1"/>
      <c r="AD187" s="6"/>
      <c r="AE187" s="1"/>
      <c r="AR187" s="6"/>
      <c r="AS187" s="1"/>
      <c r="BF187" s="6"/>
      <c r="BG187" s="1"/>
      <c r="BT187" s="6"/>
      <c r="BU187" s="1"/>
      <c r="CH187" s="6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ht="13.5" customHeight="1">
      <c r="A188" s="1"/>
      <c r="P188" s="6"/>
      <c r="Q188" s="1"/>
      <c r="AD188" s="6"/>
      <c r="AE188" s="1"/>
      <c r="AR188" s="6"/>
      <c r="AS188" s="1"/>
      <c r="BF188" s="6"/>
      <c r="BG188" s="1"/>
      <c r="BT188" s="6"/>
      <c r="BU188" s="1"/>
      <c r="CH188" s="6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ht="13.5" customHeight="1">
      <c r="A189" s="1"/>
      <c r="P189" s="6"/>
      <c r="Q189" s="1"/>
      <c r="AD189" s="6"/>
      <c r="AE189" s="1"/>
      <c r="AR189" s="6"/>
      <c r="AS189" s="1"/>
      <c r="BF189" s="6"/>
      <c r="BG189" s="1"/>
      <c r="BT189" s="6"/>
      <c r="BU189" s="1"/>
      <c r="CH189" s="6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ht="13.5" customHeight="1">
      <c r="A190" s="1"/>
      <c r="P190" s="6"/>
      <c r="Q190" s="1"/>
      <c r="AD190" s="6"/>
      <c r="AE190" s="1"/>
      <c r="AR190" s="6"/>
      <c r="AS190" s="1"/>
      <c r="BF190" s="6"/>
      <c r="BG190" s="1"/>
      <c r="BT190" s="6"/>
      <c r="BU190" s="1"/>
      <c r="CH190" s="6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ht="13.5" customHeight="1">
      <c r="A191" s="1"/>
      <c r="P191" s="6"/>
      <c r="Q191" s="1"/>
      <c r="AD191" s="6"/>
      <c r="AE191" s="1"/>
      <c r="AR191" s="6"/>
      <c r="AS191" s="1"/>
      <c r="BF191" s="6"/>
      <c r="BG191" s="1"/>
      <c r="BT191" s="6"/>
      <c r="BU191" s="1"/>
      <c r="CH191" s="6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ht="13.5" customHeight="1">
      <c r="A192" s="1"/>
      <c r="P192" s="6"/>
      <c r="Q192" s="1"/>
      <c r="AD192" s="6"/>
      <c r="AE192" s="1"/>
      <c r="AR192" s="6"/>
      <c r="AS192" s="1"/>
      <c r="BF192" s="6"/>
      <c r="BG192" s="1"/>
      <c r="BT192" s="6"/>
      <c r="BU192" s="1"/>
      <c r="CH192" s="6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ht="13.5" customHeight="1">
      <c r="A193" s="1"/>
      <c r="P193" s="6"/>
      <c r="Q193" s="1"/>
      <c r="AD193" s="6"/>
      <c r="AE193" s="1"/>
      <c r="AR193" s="6"/>
      <c r="AS193" s="1"/>
      <c r="BF193" s="6"/>
      <c r="BG193" s="1"/>
      <c r="BT193" s="6"/>
      <c r="BU193" s="1"/>
      <c r="CH193" s="6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ht="13.5" customHeight="1">
      <c r="A194" s="1"/>
      <c r="P194" s="6"/>
      <c r="Q194" s="1"/>
      <c r="AD194" s="6"/>
      <c r="AE194" s="1"/>
      <c r="AR194" s="6"/>
      <c r="AS194" s="1"/>
      <c r="BF194" s="6"/>
      <c r="BG194" s="1"/>
      <c r="BT194" s="6"/>
      <c r="BU194" s="1"/>
      <c r="CH194" s="6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ht="13.5" customHeight="1">
      <c r="A195" s="1"/>
      <c r="P195" s="6"/>
      <c r="Q195" s="1"/>
      <c r="AD195" s="6"/>
      <c r="AE195" s="1"/>
      <c r="AR195" s="6"/>
      <c r="AS195" s="1"/>
      <c r="BF195" s="6"/>
      <c r="BG195" s="1"/>
      <c r="BT195" s="6"/>
      <c r="BU195" s="1"/>
      <c r="CH195" s="6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ht="13.5" customHeight="1">
      <c r="A196" s="1"/>
      <c r="P196" s="6"/>
      <c r="Q196" s="1"/>
      <c r="AD196" s="6"/>
      <c r="AE196" s="1"/>
      <c r="AR196" s="6"/>
      <c r="AS196" s="1"/>
      <c r="BF196" s="6"/>
      <c r="BG196" s="1"/>
      <c r="BT196" s="6"/>
      <c r="BU196" s="1"/>
      <c r="CH196" s="6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ht="13.5" customHeight="1">
      <c r="A197" s="1"/>
      <c r="P197" s="6"/>
      <c r="Q197" s="1"/>
      <c r="AD197" s="6"/>
      <c r="AE197" s="1"/>
      <c r="AR197" s="6"/>
      <c r="AS197" s="1"/>
      <c r="BF197" s="6"/>
      <c r="BG197" s="1"/>
      <c r="BT197" s="6"/>
      <c r="BU197" s="1"/>
      <c r="CH197" s="6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ht="13.5" customHeight="1">
      <c r="A198" s="1"/>
      <c r="P198" s="6"/>
      <c r="Q198" s="1"/>
      <c r="AD198" s="6"/>
      <c r="AE198" s="1"/>
      <c r="AR198" s="6"/>
      <c r="AS198" s="1"/>
      <c r="BF198" s="6"/>
      <c r="BG198" s="1"/>
      <c r="BT198" s="6"/>
      <c r="BU198" s="1"/>
      <c r="CH198" s="6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ht="13.5" customHeight="1">
      <c r="A199" s="1"/>
      <c r="P199" s="6"/>
      <c r="Q199" s="1"/>
      <c r="AD199" s="6"/>
      <c r="AE199" s="1"/>
      <c r="AR199" s="6"/>
      <c r="AS199" s="1"/>
      <c r="BF199" s="6"/>
      <c r="BG199" s="1"/>
      <c r="BT199" s="6"/>
      <c r="BU199" s="1"/>
      <c r="CH199" s="6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ht="13.5" customHeight="1">
      <c r="A200" s="1"/>
      <c r="P200" s="6"/>
      <c r="Q200" s="1"/>
      <c r="AD200" s="6"/>
      <c r="AE200" s="1"/>
      <c r="AR200" s="6"/>
      <c r="AS200" s="1"/>
      <c r="BF200" s="6"/>
      <c r="BG200" s="1"/>
      <c r="BT200" s="6"/>
      <c r="BU200" s="1"/>
      <c r="CH200" s="6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ht="13.5" customHeight="1">
      <c r="A201" s="1"/>
      <c r="P201" s="6"/>
      <c r="Q201" s="1"/>
      <c r="AD201" s="6"/>
      <c r="AE201" s="1"/>
      <c r="AR201" s="6"/>
      <c r="AS201" s="1"/>
      <c r="BF201" s="6"/>
      <c r="BG201" s="1"/>
      <c r="BT201" s="6"/>
      <c r="BU201" s="1"/>
      <c r="CH201" s="6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ht="13.5" customHeight="1">
      <c r="A202" s="1"/>
      <c r="P202" s="6"/>
      <c r="Q202" s="1"/>
      <c r="AD202" s="6"/>
      <c r="AE202" s="1"/>
      <c r="AR202" s="6"/>
      <c r="AS202" s="1"/>
      <c r="BF202" s="6"/>
      <c r="BG202" s="1"/>
      <c r="BT202" s="6"/>
      <c r="BU202" s="1"/>
      <c r="CH202" s="6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ht="13.5" customHeight="1">
      <c r="A203" s="1"/>
      <c r="P203" s="6"/>
      <c r="Q203" s="1"/>
      <c r="AD203" s="6"/>
      <c r="AE203" s="1"/>
      <c r="AR203" s="6"/>
      <c r="AS203" s="1"/>
      <c r="BF203" s="6"/>
      <c r="BG203" s="1"/>
      <c r="BT203" s="6"/>
      <c r="BU203" s="1"/>
      <c r="CH203" s="6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ht="13.5" customHeight="1">
      <c r="A204" s="1"/>
      <c r="P204" s="6"/>
      <c r="Q204" s="1"/>
      <c r="AD204" s="6"/>
      <c r="AE204" s="1"/>
      <c r="AR204" s="6"/>
      <c r="AS204" s="1"/>
      <c r="BF204" s="6"/>
      <c r="BG204" s="1"/>
      <c r="BT204" s="6"/>
      <c r="BU204" s="1"/>
      <c r="CH204" s="6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ht="13.5" customHeight="1">
      <c r="A205" s="1"/>
      <c r="P205" s="6"/>
      <c r="Q205" s="1"/>
      <c r="AD205" s="6"/>
      <c r="AE205" s="1"/>
      <c r="AR205" s="6"/>
      <c r="AS205" s="1"/>
      <c r="BF205" s="6"/>
      <c r="BG205" s="1"/>
      <c r="BT205" s="6"/>
      <c r="BU205" s="1"/>
      <c r="CH205" s="6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ht="13.5" customHeight="1">
      <c r="A206" s="1"/>
      <c r="P206" s="6"/>
      <c r="Q206" s="1"/>
      <c r="AD206" s="6"/>
      <c r="AE206" s="1"/>
      <c r="AR206" s="6"/>
      <c r="AS206" s="1"/>
      <c r="BF206" s="6"/>
      <c r="BG206" s="1"/>
      <c r="BT206" s="6"/>
      <c r="BU206" s="1"/>
      <c r="CH206" s="6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ht="13.5" customHeight="1">
      <c r="A207" s="1"/>
      <c r="P207" s="6"/>
      <c r="Q207" s="1"/>
      <c r="AD207" s="6"/>
      <c r="AE207" s="1"/>
      <c r="AR207" s="6"/>
      <c r="AS207" s="1"/>
      <c r="BF207" s="6"/>
      <c r="BG207" s="1"/>
      <c r="BT207" s="6"/>
      <c r="BU207" s="1"/>
      <c r="CH207" s="6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ht="13.5" customHeight="1">
      <c r="A208" s="1"/>
      <c r="P208" s="6"/>
      <c r="Q208" s="1"/>
      <c r="AD208" s="6"/>
      <c r="AE208" s="1"/>
      <c r="AR208" s="6"/>
      <c r="AS208" s="1"/>
      <c r="BF208" s="6"/>
      <c r="BG208" s="1"/>
      <c r="BT208" s="6"/>
      <c r="BU208" s="1"/>
      <c r="CH208" s="6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ht="13.5" customHeight="1">
      <c r="A209" s="1"/>
      <c r="P209" s="6"/>
      <c r="Q209" s="1"/>
      <c r="AD209" s="6"/>
      <c r="AE209" s="1"/>
      <c r="AR209" s="6"/>
      <c r="AS209" s="1"/>
      <c r="BF209" s="6"/>
      <c r="BG209" s="1"/>
      <c r="BT209" s="6"/>
      <c r="BU209" s="1"/>
      <c r="CH209" s="6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ht="13.5" customHeight="1">
      <c r="A210" s="1"/>
      <c r="P210" s="6"/>
      <c r="Q210" s="1"/>
      <c r="AD210" s="6"/>
      <c r="AE210" s="1"/>
      <c r="AR210" s="6"/>
      <c r="AS210" s="1"/>
      <c r="BF210" s="6"/>
      <c r="BG210" s="1"/>
      <c r="BT210" s="6"/>
      <c r="BU210" s="1"/>
      <c r="CH210" s="6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ht="13.5" customHeight="1">
      <c r="A211" s="1"/>
      <c r="P211" s="6"/>
      <c r="Q211" s="1"/>
      <c r="AD211" s="6"/>
      <c r="AE211" s="1"/>
      <c r="AR211" s="6"/>
      <c r="AS211" s="1"/>
      <c r="BF211" s="6"/>
      <c r="BG211" s="1"/>
      <c r="BT211" s="6"/>
      <c r="BU211" s="1"/>
      <c r="CH211" s="6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ht="13.5" customHeight="1">
      <c r="A212" s="1"/>
      <c r="P212" s="6"/>
      <c r="Q212" s="1"/>
      <c r="AD212" s="6"/>
      <c r="AE212" s="1"/>
      <c r="AR212" s="6"/>
      <c r="AS212" s="1"/>
      <c r="BF212" s="6"/>
      <c r="BG212" s="1"/>
      <c r="BT212" s="6"/>
      <c r="BU212" s="1"/>
      <c r="CH212" s="6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ht="13.5" customHeight="1">
      <c r="A213" s="1"/>
      <c r="P213" s="6"/>
      <c r="Q213" s="1"/>
      <c r="AD213" s="6"/>
      <c r="AE213" s="1"/>
      <c r="AR213" s="6"/>
      <c r="AS213" s="1"/>
      <c r="BF213" s="6"/>
      <c r="BG213" s="1"/>
      <c r="BT213" s="6"/>
      <c r="BU213" s="1"/>
      <c r="CH213" s="6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ht="13.5" customHeight="1">
      <c r="A214" s="1"/>
      <c r="P214" s="6"/>
      <c r="Q214" s="1"/>
      <c r="AD214" s="6"/>
      <c r="AE214" s="1"/>
      <c r="AR214" s="6"/>
      <c r="AS214" s="1"/>
      <c r="BF214" s="6"/>
      <c r="BG214" s="1"/>
      <c r="BT214" s="6"/>
      <c r="BU214" s="1"/>
      <c r="CH214" s="6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ht="13.5" customHeight="1">
      <c r="A215" s="1"/>
      <c r="P215" s="6"/>
      <c r="Q215" s="1"/>
      <c r="AD215" s="6"/>
      <c r="AE215" s="1"/>
      <c r="AR215" s="6"/>
      <c r="AS215" s="1"/>
      <c r="BF215" s="6"/>
      <c r="BG215" s="1"/>
      <c r="BT215" s="6"/>
      <c r="BU215" s="1"/>
      <c r="CH215" s="6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ht="13.5" customHeight="1">
      <c r="A216" s="1"/>
      <c r="P216" s="6"/>
      <c r="Q216" s="1"/>
      <c r="AD216" s="6"/>
      <c r="AE216" s="1"/>
      <c r="AR216" s="6"/>
      <c r="AS216" s="1"/>
      <c r="BF216" s="6"/>
      <c r="BG216" s="1"/>
      <c r="BT216" s="6"/>
      <c r="BU216" s="1"/>
      <c r="CH216" s="6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ht="13.5" customHeight="1">
      <c r="A217" s="1"/>
      <c r="P217" s="6"/>
      <c r="Q217" s="1"/>
      <c r="AD217" s="6"/>
      <c r="AE217" s="1"/>
      <c r="AR217" s="6"/>
      <c r="AS217" s="1"/>
      <c r="BF217" s="6"/>
      <c r="BG217" s="1"/>
      <c r="BT217" s="6"/>
      <c r="BU217" s="1"/>
      <c r="CH217" s="6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ht="13.5" customHeight="1">
      <c r="A218" s="1"/>
      <c r="P218" s="6"/>
      <c r="Q218" s="1"/>
      <c r="AD218" s="6"/>
      <c r="AE218" s="1"/>
      <c r="AR218" s="6"/>
      <c r="AS218" s="1"/>
      <c r="BF218" s="6"/>
      <c r="BG218" s="1"/>
      <c r="BT218" s="6"/>
      <c r="BU218" s="1"/>
      <c r="CH218" s="6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ht="13.5" customHeight="1">
      <c r="A219" s="1"/>
      <c r="P219" s="6"/>
      <c r="Q219" s="1"/>
      <c r="AD219" s="6"/>
      <c r="AE219" s="1"/>
      <c r="AR219" s="6"/>
      <c r="AS219" s="1"/>
      <c r="BF219" s="6"/>
      <c r="BG219" s="1"/>
      <c r="BT219" s="6"/>
      <c r="BU219" s="1"/>
      <c r="CH219" s="6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ht="13.5" customHeight="1">
      <c r="A220" s="1"/>
      <c r="P220" s="6"/>
      <c r="Q220" s="1"/>
      <c r="AD220" s="6"/>
      <c r="AE220" s="1"/>
      <c r="AR220" s="6"/>
      <c r="AS220" s="1"/>
      <c r="BF220" s="6"/>
      <c r="BG220" s="1"/>
      <c r="BT220" s="6"/>
      <c r="BU220" s="1"/>
      <c r="CH220" s="6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ht="13.5" customHeight="1">
      <c r="A221" s="1"/>
      <c r="P221" s="6"/>
      <c r="Q221" s="1"/>
      <c r="AD221" s="6"/>
      <c r="AE221" s="1"/>
      <c r="AR221" s="6"/>
      <c r="AS221" s="1"/>
      <c r="BF221" s="6"/>
      <c r="BG221" s="1"/>
      <c r="BT221" s="6"/>
      <c r="BU221" s="1"/>
      <c r="CH221" s="6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ht="13.5" customHeight="1">
      <c r="A222" s="1"/>
      <c r="P222" s="6"/>
      <c r="Q222" s="1"/>
      <c r="AD222" s="6"/>
      <c r="AE222" s="1"/>
      <c r="AR222" s="6"/>
      <c r="AS222" s="1"/>
      <c r="BF222" s="6"/>
      <c r="BG222" s="1"/>
      <c r="BT222" s="6"/>
      <c r="BU222" s="1"/>
      <c r="CH222" s="6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ht="13.5" customHeight="1">
      <c r="A223" s="1"/>
      <c r="P223" s="6"/>
      <c r="Q223" s="1"/>
      <c r="AD223" s="6"/>
      <c r="AE223" s="1"/>
      <c r="AR223" s="6"/>
      <c r="AS223" s="1"/>
      <c r="BF223" s="6"/>
      <c r="BG223" s="1"/>
      <c r="BT223" s="6"/>
      <c r="BU223" s="1"/>
      <c r="CH223" s="6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ht="13.5" customHeight="1">
      <c r="A224" s="1"/>
      <c r="P224" s="6"/>
      <c r="Q224" s="1"/>
      <c r="AD224" s="6"/>
      <c r="AE224" s="1"/>
      <c r="AR224" s="6"/>
      <c r="AS224" s="1"/>
      <c r="BF224" s="6"/>
      <c r="BG224" s="1"/>
      <c r="BT224" s="6"/>
      <c r="BU224" s="1"/>
      <c r="CH224" s="6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ht="13.5" customHeight="1">
      <c r="A225" s="1"/>
      <c r="P225" s="6"/>
      <c r="Q225" s="1"/>
      <c r="AD225" s="6"/>
      <c r="AE225" s="1"/>
      <c r="AR225" s="6"/>
      <c r="AS225" s="1"/>
      <c r="BF225" s="6"/>
      <c r="BG225" s="1"/>
      <c r="BT225" s="6"/>
      <c r="BU225" s="1"/>
      <c r="CH225" s="6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ht="13.5" customHeight="1">
      <c r="A226" s="1"/>
      <c r="P226" s="6"/>
      <c r="Q226" s="1"/>
      <c r="AD226" s="6"/>
      <c r="AE226" s="1"/>
      <c r="AR226" s="6"/>
      <c r="AS226" s="1"/>
      <c r="BF226" s="6"/>
      <c r="BG226" s="1"/>
      <c r="BT226" s="6"/>
      <c r="BU226" s="1"/>
      <c r="CH226" s="6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ht="13.5" customHeight="1">
      <c r="A227" s="1"/>
      <c r="P227" s="6"/>
      <c r="Q227" s="1"/>
      <c r="AD227" s="6"/>
      <c r="AE227" s="1"/>
      <c r="AR227" s="6"/>
      <c r="AS227" s="1"/>
      <c r="BF227" s="6"/>
      <c r="BG227" s="1"/>
      <c r="BT227" s="6"/>
      <c r="BU227" s="1"/>
      <c r="CH227" s="6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ht="13.5" customHeight="1">
      <c r="A228" s="1"/>
      <c r="P228" s="6"/>
      <c r="Q228" s="1"/>
      <c r="AD228" s="6"/>
      <c r="AE228" s="1"/>
      <c r="AR228" s="6"/>
      <c r="AS228" s="1"/>
      <c r="BF228" s="6"/>
      <c r="BG228" s="1"/>
      <c r="BT228" s="6"/>
      <c r="BU228" s="1"/>
      <c r="CH228" s="6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ht="13.5" customHeight="1">
      <c r="A229" s="1"/>
      <c r="P229" s="6"/>
      <c r="Q229" s="1"/>
      <c r="AD229" s="6"/>
      <c r="AE229" s="1"/>
      <c r="AR229" s="6"/>
      <c r="AS229" s="1"/>
      <c r="BF229" s="6"/>
      <c r="BG229" s="1"/>
      <c r="BT229" s="6"/>
      <c r="BU229" s="1"/>
      <c r="CH229" s="6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ht="13.5" customHeight="1">
      <c r="A230" s="1"/>
      <c r="P230" s="6"/>
      <c r="Q230" s="1"/>
      <c r="AD230" s="6"/>
      <c r="AE230" s="1"/>
      <c r="AR230" s="6"/>
      <c r="AS230" s="1"/>
      <c r="BF230" s="6"/>
      <c r="BG230" s="1"/>
      <c r="BT230" s="6"/>
      <c r="BU230" s="1"/>
      <c r="CH230" s="6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ht="13.5" customHeight="1">
      <c r="A231" s="1"/>
      <c r="P231" s="6"/>
      <c r="Q231" s="1"/>
      <c r="AD231" s="6"/>
      <c r="AE231" s="1"/>
      <c r="AR231" s="6"/>
      <c r="AS231" s="1"/>
      <c r="BF231" s="6"/>
      <c r="BG231" s="1"/>
      <c r="BT231" s="6"/>
      <c r="BU231" s="1"/>
      <c r="CH231" s="6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ht="13.5" customHeight="1">
      <c r="A232" s="1"/>
      <c r="P232" s="6"/>
      <c r="Q232" s="1"/>
      <c r="AD232" s="6"/>
      <c r="AE232" s="1"/>
      <c r="AR232" s="6"/>
      <c r="AS232" s="1"/>
      <c r="BF232" s="6"/>
      <c r="BG232" s="1"/>
      <c r="BT232" s="6"/>
      <c r="BU232" s="1"/>
      <c r="CH232" s="6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ht="13.5" customHeight="1">
      <c r="A233" s="1"/>
      <c r="P233" s="6"/>
      <c r="Q233" s="1"/>
      <c r="AD233" s="6"/>
      <c r="AE233" s="1"/>
      <c r="AR233" s="6"/>
      <c r="AS233" s="1"/>
      <c r="BF233" s="6"/>
      <c r="BG233" s="1"/>
      <c r="BT233" s="6"/>
      <c r="BU233" s="1"/>
      <c r="CH233" s="6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ht="13.5" customHeight="1">
      <c r="A234" s="1"/>
      <c r="P234" s="6"/>
      <c r="Q234" s="1"/>
      <c r="AD234" s="6"/>
      <c r="AE234" s="1"/>
      <c r="AR234" s="6"/>
      <c r="AS234" s="1"/>
      <c r="BF234" s="6"/>
      <c r="BG234" s="1"/>
      <c r="BT234" s="6"/>
      <c r="BU234" s="1"/>
      <c r="CH234" s="6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ht="13.5" customHeight="1">
      <c r="A235" s="1"/>
      <c r="P235" s="6"/>
      <c r="Q235" s="1"/>
      <c r="AD235" s="6"/>
      <c r="AE235" s="1"/>
      <c r="AR235" s="6"/>
      <c r="AS235" s="1"/>
      <c r="BF235" s="6"/>
      <c r="BG235" s="1"/>
      <c r="BT235" s="6"/>
      <c r="BU235" s="1"/>
      <c r="CH235" s="6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ht="13.5" customHeight="1">
      <c r="A236" s="1"/>
      <c r="P236" s="6"/>
      <c r="Q236" s="1"/>
      <c r="AD236" s="6"/>
      <c r="AE236" s="1"/>
      <c r="AR236" s="6"/>
      <c r="AS236" s="1"/>
      <c r="BF236" s="6"/>
      <c r="BG236" s="1"/>
      <c r="BT236" s="6"/>
      <c r="BU236" s="1"/>
      <c r="CH236" s="6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ht="13.5" customHeight="1">
      <c r="A237" s="1"/>
      <c r="P237" s="6"/>
      <c r="Q237" s="1"/>
      <c r="AD237" s="6"/>
      <c r="AE237" s="1"/>
      <c r="AR237" s="6"/>
      <c r="AS237" s="1"/>
      <c r="BF237" s="6"/>
      <c r="BG237" s="1"/>
      <c r="BT237" s="6"/>
      <c r="BU237" s="1"/>
      <c r="CH237" s="6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ht="13.5" customHeight="1">
      <c r="A238" s="1"/>
      <c r="P238" s="6"/>
      <c r="Q238" s="1"/>
      <c r="AD238" s="6"/>
      <c r="AE238" s="1"/>
      <c r="AR238" s="6"/>
      <c r="AS238" s="1"/>
      <c r="BF238" s="6"/>
      <c r="BG238" s="1"/>
      <c r="BT238" s="6"/>
      <c r="BU238" s="1"/>
      <c r="CH238" s="6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ht="13.5" customHeight="1">
      <c r="A239" s="1"/>
      <c r="P239" s="6"/>
      <c r="Q239" s="1"/>
      <c r="AD239" s="6"/>
      <c r="AE239" s="1"/>
      <c r="AR239" s="6"/>
      <c r="AS239" s="1"/>
      <c r="BF239" s="6"/>
      <c r="BG239" s="1"/>
      <c r="BT239" s="6"/>
      <c r="BU239" s="1"/>
      <c r="CH239" s="6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ht="13.5" customHeight="1">
      <c r="A240" s="1"/>
      <c r="P240" s="6"/>
      <c r="Q240" s="1"/>
      <c r="AD240" s="6"/>
      <c r="AE240" s="1"/>
      <c r="AR240" s="6"/>
      <c r="AS240" s="1"/>
      <c r="BF240" s="6"/>
      <c r="BG240" s="1"/>
      <c r="BT240" s="6"/>
      <c r="BU240" s="1"/>
      <c r="CH240" s="6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ht="13.5" customHeight="1">
      <c r="A241" s="1"/>
      <c r="P241" s="6"/>
      <c r="Q241" s="1"/>
      <c r="AD241" s="6"/>
      <c r="AE241" s="1"/>
      <c r="AR241" s="6"/>
      <c r="AS241" s="1"/>
      <c r="BF241" s="6"/>
      <c r="BG241" s="1"/>
      <c r="BT241" s="6"/>
      <c r="BU241" s="1"/>
      <c r="CH241" s="6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ht="13.5" customHeight="1">
      <c r="A242" s="1"/>
      <c r="P242" s="6"/>
      <c r="Q242" s="1"/>
      <c r="AD242" s="6"/>
      <c r="AE242" s="1"/>
      <c r="AR242" s="6"/>
      <c r="AS242" s="1"/>
      <c r="BF242" s="6"/>
      <c r="BG242" s="1"/>
      <c r="BT242" s="6"/>
      <c r="BU242" s="1"/>
      <c r="CH242" s="6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ht="13.5" customHeight="1">
      <c r="A243" s="1"/>
      <c r="P243" s="6"/>
      <c r="Q243" s="1"/>
      <c r="AD243" s="6"/>
      <c r="AE243" s="1"/>
      <c r="AR243" s="6"/>
      <c r="AS243" s="1"/>
      <c r="BF243" s="6"/>
      <c r="BG243" s="1"/>
      <c r="BT243" s="6"/>
      <c r="BU243" s="1"/>
      <c r="CH243" s="6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ht="13.5" customHeight="1">
      <c r="A244" s="1"/>
      <c r="P244" s="6"/>
      <c r="Q244" s="1"/>
      <c r="AD244" s="6"/>
      <c r="AE244" s="1"/>
      <c r="AR244" s="6"/>
      <c r="AS244" s="1"/>
      <c r="BF244" s="6"/>
      <c r="BG244" s="1"/>
      <c r="BT244" s="6"/>
      <c r="BU244" s="1"/>
      <c r="CH244" s="6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ht="13.5" customHeight="1">
      <c r="A245" s="1"/>
      <c r="P245" s="6"/>
      <c r="Q245" s="1"/>
      <c r="AD245" s="6"/>
      <c r="AE245" s="1"/>
      <c r="AR245" s="6"/>
      <c r="AS245" s="1"/>
      <c r="BF245" s="6"/>
      <c r="BG245" s="1"/>
      <c r="BT245" s="6"/>
      <c r="BU245" s="1"/>
      <c r="CH245" s="6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ht="13.5" customHeight="1">
      <c r="A246" s="1"/>
      <c r="P246" s="6"/>
      <c r="Q246" s="1"/>
      <c r="AD246" s="6"/>
      <c r="AE246" s="1"/>
      <c r="AR246" s="6"/>
      <c r="AS246" s="1"/>
      <c r="BF246" s="6"/>
      <c r="BG246" s="1"/>
      <c r="BT246" s="6"/>
      <c r="BU246" s="1"/>
      <c r="CH246" s="6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ht="13.5" customHeight="1">
      <c r="A247" s="1"/>
      <c r="P247" s="6"/>
      <c r="Q247" s="1"/>
      <c r="AD247" s="6"/>
      <c r="AE247" s="1"/>
      <c r="AR247" s="6"/>
      <c r="AS247" s="1"/>
      <c r="BF247" s="6"/>
      <c r="BG247" s="1"/>
      <c r="BT247" s="6"/>
      <c r="BU247" s="1"/>
      <c r="CH247" s="6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ht="13.5" customHeight="1">
      <c r="A248" s="1"/>
      <c r="P248" s="6"/>
      <c r="Q248" s="1"/>
      <c r="AD248" s="6"/>
      <c r="AE248" s="1"/>
      <c r="AR248" s="6"/>
      <c r="AS248" s="1"/>
      <c r="BF248" s="6"/>
      <c r="BG248" s="1"/>
      <c r="BT248" s="6"/>
      <c r="BU248" s="1"/>
      <c r="CH248" s="6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ht="13.5" customHeight="1">
      <c r="A249" s="1"/>
      <c r="P249" s="6"/>
      <c r="Q249" s="1"/>
      <c r="AD249" s="6"/>
      <c r="AE249" s="1"/>
      <c r="AR249" s="6"/>
      <c r="AS249" s="1"/>
      <c r="BF249" s="6"/>
      <c r="BG249" s="1"/>
      <c r="BT249" s="6"/>
      <c r="BU249" s="1"/>
      <c r="CH249" s="6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ht="13.5" customHeight="1">
      <c r="A250" s="1"/>
      <c r="P250" s="6"/>
      <c r="Q250" s="1"/>
      <c r="AD250" s="6"/>
      <c r="AE250" s="1"/>
      <c r="AR250" s="6"/>
      <c r="AS250" s="1"/>
      <c r="BF250" s="6"/>
      <c r="BG250" s="1"/>
      <c r="BT250" s="6"/>
      <c r="BU250" s="1"/>
      <c r="CH250" s="6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ht="13.5" customHeight="1">
      <c r="A251" s="1"/>
      <c r="P251" s="6"/>
      <c r="Q251" s="1"/>
      <c r="AD251" s="6"/>
      <c r="AE251" s="1"/>
      <c r="AR251" s="6"/>
      <c r="AS251" s="1"/>
      <c r="BF251" s="6"/>
      <c r="BG251" s="1"/>
      <c r="BT251" s="6"/>
      <c r="BU251" s="1"/>
      <c r="CH251" s="6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ht="13.5" customHeight="1">
      <c r="A252" s="1"/>
      <c r="P252" s="6"/>
      <c r="Q252" s="1"/>
      <c r="AD252" s="6"/>
      <c r="AE252" s="1"/>
      <c r="AR252" s="6"/>
      <c r="AS252" s="1"/>
      <c r="BF252" s="6"/>
      <c r="BG252" s="1"/>
      <c r="BT252" s="6"/>
      <c r="BU252" s="1"/>
      <c r="CH252" s="6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ht="13.5" customHeight="1">
      <c r="A253" s="1"/>
      <c r="P253" s="6"/>
      <c r="Q253" s="1"/>
      <c r="AD253" s="6"/>
      <c r="AE253" s="1"/>
      <c r="AR253" s="6"/>
      <c r="AS253" s="1"/>
      <c r="BF253" s="6"/>
      <c r="BG253" s="1"/>
      <c r="BT253" s="6"/>
      <c r="BU253" s="1"/>
      <c r="CH253" s="6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ht="13.5" customHeight="1">
      <c r="A254" s="1"/>
      <c r="P254" s="6"/>
      <c r="Q254" s="1"/>
      <c r="AD254" s="6"/>
      <c r="AE254" s="1"/>
      <c r="AR254" s="6"/>
      <c r="AS254" s="1"/>
      <c r="BF254" s="6"/>
      <c r="BG254" s="1"/>
      <c r="BT254" s="6"/>
      <c r="BU254" s="1"/>
      <c r="CH254" s="6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ht="13.5" customHeight="1">
      <c r="A255" s="1"/>
      <c r="P255" s="6"/>
      <c r="Q255" s="1"/>
      <c r="AD255" s="6"/>
      <c r="AE255" s="1"/>
      <c r="AR255" s="6"/>
      <c r="AS255" s="1"/>
      <c r="BF255" s="6"/>
      <c r="BG255" s="1"/>
      <c r="BT255" s="6"/>
      <c r="BU255" s="1"/>
      <c r="CH255" s="6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ht="13.5" customHeight="1">
      <c r="A256" s="1"/>
      <c r="P256" s="6"/>
      <c r="Q256" s="1"/>
      <c r="AD256" s="6"/>
      <c r="AE256" s="1"/>
      <c r="AR256" s="6"/>
      <c r="AS256" s="1"/>
      <c r="BF256" s="6"/>
      <c r="BG256" s="1"/>
      <c r="BT256" s="6"/>
      <c r="BU256" s="1"/>
      <c r="CH256" s="6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ht="13.5" customHeight="1">
      <c r="A257" s="1"/>
      <c r="P257" s="6"/>
      <c r="Q257" s="1"/>
      <c r="AD257" s="6"/>
      <c r="AE257" s="1"/>
      <c r="AR257" s="6"/>
      <c r="AS257" s="1"/>
      <c r="BF257" s="6"/>
      <c r="BG257" s="1"/>
      <c r="BT257" s="6"/>
      <c r="BU257" s="1"/>
      <c r="CH257" s="6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ht="13.5" customHeight="1">
      <c r="A258" s="1"/>
      <c r="P258" s="6"/>
      <c r="Q258" s="1"/>
      <c r="AD258" s="6"/>
      <c r="AE258" s="1"/>
      <c r="AR258" s="6"/>
      <c r="AS258" s="1"/>
      <c r="BF258" s="6"/>
      <c r="BG258" s="1"/>
      <c r="BT258" s="6"/>
      <c r="BU258" s="1"/>
      <c r="CH258" s="6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ht="13.5" customHeight="1">
      <c r="A259" s="1"/>
      <c r="P259" s="6"/>
      <c r="Q259" s="1"/>
      <c r="AD259" s="6"/>
      <c r="AE259" s="1"/>
      <c r="AR259" s="6"/>
      <c r="AS259" s="1"/>
      <c r="BF259" s="6"/>
      <c r="BG259" s="1"/>
      <c r="BT259" s="6"/>
      <c r="BU259" s="1"/>
      <c r="CH259" s="6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ht="13.5" customHeight="1">
      <c r="A260" s="1"/>
      <c r="P260" s="6"/>
      <c r="Q260" s="1"/>
      <c r="AD260" s="6"/>
      <c r="AE260" s="1"/>
      <c r="AR260" s="6"/>
      <c r="AS260" s="1"/>
      <c r="BF260" s="6"/>
      <c r="BG260" s="1"/>
      <c r="BT260" s="6"/>
      <c r="BU260" s="1"/>
      <c r="CH260" s="6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ht="13.5" customHeight="1">
      <c r="A261" s="1"/>
      <c r="P261" s="6"/>
      <c r="Q261" s="1"/>
      <c r="AD261" s="6"/>
      <c r="AE261" s="1"/>
      <c r="AR261" s="6"/>
      <c r="AS261" s="1"/>
      <c r="BF261" s="6"/>
      <c r="BG261" s="1"/>
      <c r="BT261" s="6"/>
      <c r="BU261" s="1"/>
      <c r="CH261" s="6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ht="13.5" customHeight="1">
      <c r="A262" s="1"/>
      <c r="P262" s="6"/>
      <c r="Q262" s="1"/>
      <c r="AD262" s="6"/>
      <c r="AE262" s="1"/>
      <c r="AR262" s="6"/>
      <c r="AS262" s="1"/>
      <c r="BF262" s="6"/>
      <c r="BG262" s="1"/>
      <c r="BT262" s="6"/>
      <c r="BU262" s="1"/>
      <c r="CH262" s="6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ht="13.5" customHeight="1">
      <c r="A263" s="1"/>
      <c r="P263" s="6"/>
      <c r="Q263" s="1"/>
      <c r="AD263" s="6"/>
      <c r="AE263" s="1"/>
      <c r="AR263" s="6"/>
      <c r="AS263" s="1"/>
      <c r="BF263" s="6"/>
      <c r="BG263" s="1"/>
      <c r="BT263" s="6"/>
      <c r="BU263" s="1"/>
      <c r="CH263" s="6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ht="13.5" customHeight="1">
      <c r="A264" s="1"/>
      <c r="P264" s="6"/>
      <c r="Q264" s="1"/>
      <c r="AD264" s="6"/>
      <c r="AE264" s="1"/>
      <c r="AR264" s="6"/>
      <c r="AS264" s="1"/>
      <c r="BF264" s="6"/>
      <c r="BG264" s="1"/>
      <c r="BT264" s="6"/>
      <c r="BU264" s="1"/>
      <c r="CH264" s="6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ht="13.5" customHeight="1">
      <c r="A265" s="1"/>
      <c r="P265" s="6"/>
      <c r="Q265" s="1"/>
      <c r="AD265" s="6"/>
      <c r="AE265" s="1"/>
      <c r="AR265" s="6"/>
      <c r="AS265" s="1"/>
      <c r="BF265" s="6"/>
      <c r="BG265" s="1"/>
      <c r="BT265" s="6"/>
      <c r="BU265" s="1"/>
      <c r="CH265" s="6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ht="13.5" customHeight="1">
      <c r="A266" s="1"/>
      <c r="P266" s="6"/>
      <c r="Q266" s="1"/>
      <c r="AD266" s="6"/>
      <c r="AE266" s="1"/>
      <c r="AR266" s="6"/>
      <c r="AS266" s="1"/>
      <c r="BF266" s="6"/>
      <c r="BG266" s="1"/>
      <c r="BT266" s="6"/>
      <c r="BU266" s="1"/>
      <c r="CH266" s="6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ht="13.5" customHeight="1">
      <c r="A267" s="1"/>
      <c r="P267" s="6"/>
      <c r="Q267" s="1"/>
      <c r="AD267" s="6"/>
      <c r="AE267" s="1"/>
      <c r="AR267" s="6"/>
      <c r="AS267" s="1"/>
      <c r="BF267" s="6"/>
      <c r="BG267" s="1"/>
      <c r="BT267" s="6"/>
      <c r="BU267" s="1"/>
      <c r="CH267" s="6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ht="13.5" customHeight="1">
      <c r="A268" s="1"/>
      <c r="P268" s="6"/>
      <c r="Q268" s="1"/>
      <c r="AD268" s="6"/>
      <c r="AE268" s="1"/>
      <c r="AR268" s="6"/>
      <c r="AS268" s="1"/>
      <c r="BF268" s="6"/>
      <c r="BG268" s="1"/>
      <c r="BT268" s="6"/>
      <c r="BU268" s="1"/>
      <c r="CH268" s="6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ht="13.5" customHeight="1">
      <c r="A269" s="1"/>
      <c r="P269" s="6"/>
      <c r="Q269" s="1"/>
      <c r="AD269" s="6"/>
      <c r="AE269" s="1"/>
      <c r="AR269" s="6"/>
      <c r="AS269" s="1"/>
      <c r="BF269" s="6"/>
      <c r="BG269" s="1"/>
      <c r="BT269" s="6"/>
      <c r="BU269" s="1"/>
      <c r="CH269" s="6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ht="13.5" customHeight="1">
      <c r="A270" s="1"/>
      <c r="P270" s="6"/>
      <c r="Q270" s="1"/>
      <c r="AD270" s="6"/>
      <c r="AE270" s="1"/>
      <c r="AR270" s="6"/>
      <c r="AS270" s="1"/>
      <c r="BF270" s="6"/>
      <c r="BG270" s="1"/>
      <c r="BT270" s="6"/>
      <c r="BU270" s="1"/>
      <c r="CH270" s="6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ht="13.5" customHeight="1">
      <c r="A271" s="1"/>
      <c r="P271" s="6"/>
      <c r="Q271" s="1"/>
      <c r="AD271" s="6"/>
      <c r="AE271" s="1"/>
      <c r="AR271" s="6"/>
      <c r="AS271" s="1"/>
      <c r="BF271" s="6"/>
      <c r="BG271" s="1"/>
      <c r="BT271" s="6"/>
      <c r="BU271" s="1"/>
      <c r="CH271" s="6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ht="13.5" customHeight="1">
      <c r="A272" s="1"/>
      <c r="P272" s="6"/>
      <c r="Q272" s="1"/>
      <c r="AD272" s="6"/>
      <c r="AE272" s="1"/>
      <c r="AR272" s="6"/>
      <c r="AS272" s="1"/>
      <c r="BF272" s="6"/>
      <c r="BG272" s="1"/>
      <c r="BT272" s="6"/>
      <c r="BU272" s="1"/>
      <c r="CH272" s="6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ht="13.5" customHeight="1">
      <c r="A273" s="1"/>
      <c r="P273" s="6"/>
      <c r="Q273" s="1"/>
      <c r="AD273" s="6"/>
      <c r="AE273" s="1"/>
      <c r="AR273" s="6"/>
      <c r="AS273" s="1"/>
      <c r="BF273" s="6"/>
      <c r="BG273" s="1"/>
      <c r="BT273" s="6"/>
      <c r="BU273" s="1"/>
      <c r="CH273" s="6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ht="13.5" customHeight="1">
      <c r="A274" s="1"/>
      <c r="P274" s="6"/>
      <c r="Q274" s="1"/>
      <c r="AD274" s="6"/>
      <c r="AE274" s="1"/>
      <c r="AR274" s="6"/>
      <c r="AS274" s="1"/>
      <c r="BF274" s="6"/>
      <c r="BG274" s="1"/>
      <c r="BT274" s="6"/>
      <c r="BU274" s="1"/>
      <c r="CH274" s="6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ht="13.5" customHeight="1">
      <c r="A275" s="1"/>
      <c r="P275" s="6"/>
      <c r="Q275" s="1"/>
      <c r="AD275" s="6"/>
      <c r="AE275" s="1"/>
      <c r="AR275" s="6"/>
      <c r="AS275" s="1"/>
      <c r="BF275" s="6"/>
      <c r="BG275" s="1"/>
      <c r="BT275" s="6"/>
      <c r="BU275" s="1"/>
      <c r="CH275" s="6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ht="13.5" customHeight="1">
      <c r="A276" s="1"/>
      <c r="P276" s="6"/>
      <c r="Q276" s="1"/>
      <c r="AD276" s="6"/>
      <c r="AE276" s="1"/>
      <c r="AR276" s="6"/>
      <c r="AS276" s="1"/>
      <c r="BF276" s="6"/>
      <c r="BG276" s="1"/>
      <c r="BT276" s="6"/>
      <c r="BU276" s="1"/>
      <c r="CH276" s="6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ht="13.5" customHeight="1">
      <c r="A277" s="1"/>
      <c r="P277" s="6"/>
      <c r="Q277" s="1"/>
      <c r="AD277" s="6"/>
      <c r="AE277" s="1"/>
      <c r="AR277" s="6"/>
      <c r="AS277" s="1"/>
      <c r="BF277" s="6"/>
      <c r="BG277" s="1"/>
      <c r="BT277" s="6"/>
      <c r="BU277" s="1"/>
      <c r="CH277" s="6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ht="13.5" customHeight="1">
      <c r="A278" s="1"/>
      <c r="P278" s="6"/>
      <c r="Q278" s="1"/>
      <c r="AD278" s="6"/>
      <c r="AE278" s="1"/>
      <c r="AR278" s="6"/>
      <c r="AS278" s="1"/>
      <c r="BF278" s="6"/>
      <c r="BG278" s="1"/>
      <c r="BT278" s="6"/>
      <c r="BU278" s="1"/>
      <c r="CH278" s="6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ht="13.5" customHeight="1">
      <c r="A279" s="1"/>
      <c r="P279" s="6"/>
      <c r="Q279" s="1"/>
      <c r="AD279" s="6"/>
      <c r="AE279" s="1"/>
      <c r="AR279" s="6"/>
      <c r="AS279" s="1"/>
      <c r="BF279" s="6"/>
      <c r="BG279" s="1"/>
      <c r="BT279" s="6"/>
      <c r="BU279" s="1"/>
      <c r="CH279" s="6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ht="13.5" customHeight="1">
      <c r="A280" s="1"/>
      <c r="P280" s="6"/>
      <c r="Q280" s="1"/>
      <c r="AD280" s="6"/>
      <c r="AE280" s="1"/>
      <c r="AR280" s="6"/>
      <c r="AS280" s="1"/>
      <c r="BF280" s="6"/>
      <c r="BG280" s="1"/>
      <c r="BT280" s="6"/>
      <c r="BU280" s="1"/>
      <c r="CH280" s="6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ht="13.5" customHeight="1">
      <c r="A281" s="1"/>
      <c r="P281" s="6"/>
      <c r="Q281" s="1"/>
      <c r="AD281" s="6"/>
      <c r="AE281" s="1"/>
      <c r="AR281" s="6"/>
      <c r="AS281" s="1"/>
      <c r="BF281" s="6"/>
      <c r="BG281" s="1"/>
      <c r="BT281" s="6"/>
      <c r="BU281" s="1"/>
      <c r="CH281" s="6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ht="13.5" customHeight="1">
      <c r="A282" s="1"/>
      <c r="P282" s="6"/>
      <c r="Q282" s="1"/>
      <c r="AD282" s="6"/>
      <c r="AE282" s="1"/>
      <c r="AR282" s="6"/>
      <c r="AS282" s="1"/>
      <c r="BF282" s="6"/>
      <c r="BG282" s="1"/>
      <c r="BT282" s="6"/>
      <c r="BU282" s="1"/>
      <c r="CH282" s="6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ht="13.5" customHeight="1">
      <c r="A283" s="1"/>
      <c r="P283" s="6"/>
      <c r="Q283" s="1"/>
      <c r="AD283" s="6"/>
      <c r="AE283" s="1"/>
      <c r="AR283" s="6"/>
      <c r="AS283" s="1"/>
      <c r="BF283" s="6"/>
      <c r="BG283" s="1"/>
      <c r="BT283" s="6"/>
      <c r="BU283" s="1"/>
      <c r="CH283" s="6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ht="13.5" customHeight="1">
      <c r="A284" s="1"/>
      <c r="P284" s="6"/>
      <c r="Q284" s="1"/>
      <c r="AD284" s="6"/>
      <c r="AE284" s="1"/>
      <c r="AR284" s="6"/>
      <c r="AS284" s="1"/>
      <c r="BF284" s="6"/>
      <c r="BG284" s="1"/>
      <c r="BT284" s="6"/>
      <c r="BU284" s="1"/>
      <c r="CH284" s="6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ht="13.5" customHeight="1">
      <c r="A285" s="1"/>
      <c r="P285" s="6"/>
      <c r="Q285" s="1"/>
      <c r="AD285" s="6"/>
      <c r="AE285" s="1"/>
      <c r="AR285" s="6"/>
      <c r="AS285" s="1"/>
      <c r="BF285" s="6"/>
      <c r="BG285" s="1"/>
      <c r="BT285" s="6"/>
      <c r="BU285" s="1"/>
      <c r="CH285" s="6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ht="13.5" customHeight="1">
      <c r="A286" s="1"/>
      <c r="P286" s="6"/>
      <c r="Q286" s="1"/>
      <c r="AD286" s="6"/>
      <c r="AE286" s="1"/>
      <c r="AR286" s="6"/>
      <c r="AS286" s="1"/>
      <c r="BF286" s="6"/>
      <c r="BG286" s="1"/>
      <c r="BT286" s="6"/>
      <c r="BU286" s="1"/>
      <c r="CH286" s="6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ht="13.5" customHeight="1">
      <c r="A287" s="1"/>
      <c r="P287" s="6"/>
      <c r="Q287" s="1"/>
      <c r="AD287" s="6"/>
      <c r="AE287" s="1"/>
      <c r="AR287" s="6"/>
      <c r="AS287" s="1"/>
      <c r="BF287" s="6"/>
      <c r="BG287" s="1"/>
      <c r="BT287" s="6"/>
      <c r="BU287" s="1"/>
      <c r="CH287" s="6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ht="13.5" customHeight="1">
      <c r="A288" s="1"/>
      <c r="P288" s="6"/>
      <c r="Q288" s="1"/>
      <c r="AD288" s="6"/>
      <c r="AE288" s="1"/>
      <c r="AR288" s="6"/>
      <c r="AS288" s="1"/>
      <c r="BF288" s="6"/>
      <c r="BG288" s="1"/>
      <c r="BT288" s="6"/>
      <c r="BU288" s="1"/>
      <c r="CH288" s="6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ht="13.5" customHeight="1">
      <c r="A289" s="1"/>
      <c r="P289" s="6"/>
      <c r="Q289" s="1"/>
      <c r="AD289" s="6"/>
      <c r="AE289" s="1"/>
      <c r="AR289" s="6"/>
      <c r="AS289" s="1"/>
      <c r="BF289" s="6"/>
      <c r="BG289" s="1"/>
      <c r="BT289" s="6"/>
      <c r="BU289" s="1"/>
      <c r="CH289" s="6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ht="13.5" customHeight="1">
      <c r="A290" s="1"/>
      <c r="P290" s="6"/>
      <c r="Q290" s="1"/>
      <c r="AD290" s="6"/>
      <c r="AE290" s="1"/>
      <c r="AR290" s="6"/>
      <c r="AS290" s="1"/>
      <c r="BF290" s="6"/>
      <c r="BG290" s="1"/>
      <c r="BT290" s="6"/>
      <c r="BU290" s="1"/>
      <c r="CH290" s="6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ht="13.5" customHeight="1">
      <c r="A291" s="1"/>
      <c r="P291" s="6"/>
      <c r="Q291" s="1"/>
      <c r="AD291" s="6"/>
      <c r="AE291" s="1"/>
      <c r="AR291" s="6"/>
      <c r="AS291" s="1"/>
      <c r="BF291" s="6"/>
      <c r="BG291" s="1"/>
      <c r="BT291" s="6"/>
      <c r="BU291" s="1"/>
      <c r="CH291" s="6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ht="13.5" customHeight="1">
      <c r="A292" s="1"/>
      <c r="P292" s="6"/>
      <c r="Q292" s="1"/>
      <c r="AD292" s="6"/>
      <c r="AE292" s="1"/>
      <c r="AR292" s="6"/>
      <c r="AS292" s="1"/>
      <c r="BF292" s="6"/>
      <c r="BG292" s="1"/>
      <c r="BT292" s="6"/>
      <c r="BU292" s="1"/>
      <c r="CH292" s="6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ht="13.5" customHeight="1">
      <c r="A293" s="1"/>
      <c r="P293" s="6"/>
      <c r="Q293" s="1"/>
      <c r="AD293" s="6"/>
      <c r="AE293" s="1"/>
      <c r="AR293" s="6"/>
      <c r="AS293" s="1"/>
      <c r="BF293" s="6"/>
      <c r="BG293" s="1"/>
      <c r="BT293" s="6"/>
      <c r="BU293" s="1"/>
      <c r="CH293" s="6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ht="13.5" customHeight="1">
      <c r="A294" s="1"/>
      <c r="P294" s="6"/>
      <c r="Q294" s="1"/>
      <c r="AD294" s="6"/>
      <c r="AE294" s="1"/>
      <c r="AR294" s="6"/>
      <c r="AS294" s="1"/>
      <c r="BF294" s="6"/>
      <c r="BG294" s="1"/>
      <c r="BT294" s="6"/>
      <c r="BU294" s="1"/>
      <c r="CH294" s="6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ht="13.5" customHeight="1">
      <c r="A295" s="1"/>
      <c r="P295" s="6"/>
      <c r="Q295" s="1"/>
      <c r="AD295" s="6"/>
      <c r="AE295" s="1"/>
      <c r="AR295" s="6"/>
      <c r="AS295" s="1"/>
      <c r="BF295" s="6"/>
      <c r="BG295" s="1"/>
      <c r="BT295" s="6"/>
      <c r="BU295" s="1"/>
      <c r="CH295" s="6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ht="13.5" customHeight="1">
      <c r="A296" s="1"/>
      <c r="P296" s="6"/>
      <c r="Q296" s="1"/>
      <c r="AD296" s="6"/>
      <c r="AE296" s="1"/>
      <c r="AR296" s="6"/>
      <c r="AS296" s="1"/>
      <c r="BF296" s="6"/>
      <c r="BG296" s="1"/>
      <c r="BT296" s="6"/>
      <c r="BU296" s="1"/>
      <c r="CH296" s="6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ht="13.5" customHeight="1">
      <c r="A297" s="1"/>
      <c r="P297" s="6"/>
      <c r="Q297" s="1"/>
      <c r="AD297" s="6"/>
      <c r="AE297" s="1"/>
      <c r="AR297" s="6"/>
      <c r="AS297" s="1"/>
      <c r="BF297" s="6"/>
      <c r="BG297" s="1"/>
      <c r="BT297" s="6"/>
      <c r="BU297" s="1"/>
      <c r="CH297" s="6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ht="13.5" customHeight="1">
      <c r="A298" s="1"/>
      <c r="P298" s="6"/>
      <c r="Q298" s="1"/>
      <c r="AD298" s="6"/>
      <c r="AE298" s="1"/>
      <c r="AR298" s="6"/>
      <c r="AS298" s="1"/>
      <c r="BF298" s="6"/>
      <c r="BG298" s="1"/>
      <c r="BT298" s="6"/>
      <c r="BU298" s="1"/>
      <c r="CH298" s="6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ht="13.5" customHeight="1">
      <c r="A299" s="1"/>
      <c r="P299" s="6"/>
      <c r="Q299" s="1"/>
      <c r="AD299" s="6"/>
      <c r="AE299" s="1"/>
      <c r="AR299" s="6"/>
      <c r="AS299" s="1"/>
      <c r="BF299" s="6"/>
      <c r="BG299" s="1"/>
      <c r="BT299" s="6"/>
      <c r="BU299" s="1"/>
      <c r="CH299" s="6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ht="13.5" customHeight="1">
      <c r="A300" s="1"/>
      <c r="P300" s="6"/>
      <c r="Q300" s="1"/>
      <c r="AD300" s="6"/>
      <c r="AE300" s="1"/>
      <c r="AR300" s="6"/>
      <c r="AS300" s="1"/>
      <c r="BF300" s="6"/>
      <c r="BG300" s="1"/>
      <c r="BT300" s="6"/>
      <c r="BU300" s="1"/>
      <c r="CH300" s="6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ht="13.5" customHeight="1">
      <c r="A301" s="1"/>
      <c r="P301" s="6"/>
      <c r="Q301" s="1"/>
      <c r="AD301" s="6"/>
      <c r="AE301" s="1"/>
      <c r="AR301" s="6"/>
      <c r="AS301" s="1"/>
      <c r="BF301" s="6"/>
      <c r="BG301" s="1"/>
      <c r="BT301" s="6"/>
      <c r="BU301" s="1"/>
      <c r="CH301" s="6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ht="13.5" customHeight="1">
      <c r="A302" s="1"/>
      <c r="P302" s="6"/>
      <c r="Q302" s="1"/>
      <c r="AD302" s="6"/>
      <c r="AE302" s="1"/>
      <c r="AR302" s="6"/>
      <c r="AS302" s="1"/>
      <c r="BF302" s="6"/>
      <c r="BG302" s="1"/>
      <c r="BT302" s="6"/>
      <c r="BU302" s="1"/>
      <c r="CH302" s="6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ht="13.5" customHeight="1">
      <c r="A303" s="1"/>
      <c r="P303" s="6"/>
      <c r="Q303" s="1"/>
      <c r="AD303" s="6"/>
      <c r="AE303" s="1"/>
      <c r="AR303" s="6"/>
      <c r="AS303" s="1"/>
      <c r="BF303" s="6"/>
      <c r="BG303" s="1"/>
      <c r="BT303" s="6"/>
      <c r="BU303" s="1"/>
      <c r="CH303" s="6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ht="13.5" customHeight="1">
      <c r="A304" s="1"/>
      <c r="P304" s="6"/>
      <c r="Q304" s="1"/>
      <c r="AD304" s="6"/>
      <c r="AE304" s="1"/>
      <c r="AR304" s="6"/>
      <c r="AS304" s="1"/>
      <c r="BF304" s="6"/>
      <c r="BG304" s="1"/>
      <c r="BT304" s="6"/>
      <c r="BU304" s="1"/>
      <c r="CH304" s="6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ht="13.5" customHeight="1">
      <c r="A305" s="1"/>
      <c r="P305" s="6"/>
      <c r="Q305" s="1"/>
      <c r="AD305" s="6"/>
      <c r="AE305" s="1"/>
      <c r="AR305" s="6"/>
      <c r="AS305" s="1"/>
      <c r="BF305" s="6"/>
      <c r="BG305" s="1"/>
      <c r="BT305" s="6"/>
      <c r="BU305" s="1"/>
      <c r="CH305" s="6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ht="13.5" customHeight="1">
      <c r="A306" s="1"/>
      <c r="P306" s="6"/>
      <c r="Q306" s="1"/>
      <c r="AD306" s="6"/>
      <c r="AE306" s="1"/>
      <c r="AR306" s="6"/>
      <c r="AS306" s="1"/>
      <c r="BF306" s="6"/>
      <c r="BG306" s="1"/>
      <c r="BT306" s="6"/>
      <c r="BU306" s="1"/>
      <c r="CH306" s="6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ht="13.5" customHeight="1">
      <c r="A307" s="1"/>
      <c r="P307" s="6"/>
      <c r="Q307" s="1"/>
      <c r="AD307" s="6"/>
      <c r="AE307" s="1"/>
      <c r="AR307" s="6"/>
      <c r="AS307" s="1"/>
      <c r="BF307" s="6"/>
      <c r="BG307" s="1"/>
      <c r="BT307" s="6"/>
      <c r="BU307" s="1"/>
      <c r="CH307" s="6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ht="13.5" customHeight="1">
      <c r="A308" s="1"/>
      <c r="P308" s="6"/>
      <c r="Q308" s="1"/>
      <c r="AD308" s="6"/>
      <c r="AE308" s="1"/>
      <c r="AR308" s="6"/>
      <c r="AS308" s="1"/>
      <c r="BF308" s="6"/>
      <c r="BG308" s="1"/>
      <c r="BT308" s="6"/>
      <c r="BU308" s="1"/>
      <c r="CH308" s="6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ht="13.5" customHeight="1">
      <c r="A309" s="1"/>
      <c r="P309" s="6"/>
      <c r="Q309" s="1"/>
      <c r="AD309" s="6"/>
      <c r="AE309" s="1"/>
      <c r="AR309" s="6"/>
      <c r="AS309" s="1"/>
      <c r="BF309" s="6"/>
      <c r="BG309" s="1"/>
      <c r="BT309" s="6"/>
      <c r="BU309" s="1"/>
      <c r="CH309" s="6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ht="13.5" customHeight="1">
      <c r="A310" s="1"/>
      <c r="P310" s="6"/>
      <c r="Q310" s="1"/>
      <c r="AD310" s="6"/>
      <c r="AE310" s="1"/>
      <c r="AR310" s="6"/>
      <c r="AS310" s="1"/>
      <c r="BF310" s="6"/>
      <c r="BG310" s="1"/>
      <c r="BT310" s="6"/>
      <c r="BU310" s="1"/>
      <c r="CH310" s="6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ht="13.5" customHeight="1">
      <c r="A311" s="1"/>
      <c r="P311" s="6"/>
      <c r="Q311" s="1"/>
      <c r="AD311" s="6"/>
      <c r="AE311" s="1"/>
      <c r="AR311" s="6"/>
      <c r="AS311" s="1"/>
      <c r="BF311" s="6"/>
      <c r="BG311" s="1"/>
      <c r="BT311" s="6"/>
      <c r="BU311" s="1"/>
      <c r="CH311" s="6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ht="13.5" customHeight="1">
      <c r="A312" s="1"/>
      <c r="P312" s="6"/>
      <c r="Q312" s="1"/>
      <c r="AD312" s="6"/>
      <c r="AE312" s="1"/>
      <c r="AR312" s="6"/>
      <c r="AS312" s="1"/>
      <c r="BF312" s="6"/>
      <c r="BG312" s="1"/>
      <c r="BT312" s="6"/>
      <c r="BU312" s="1"/>
      <c r="CH312" s="6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ht="13.5" customHeight="1">
      <c r="A313" s="1"/>
      <c r="P313" s="6"/>
      <c r="Q313" s="1"/>
      <c r="AD313" s="6"/>
      <c r="AE313" s="1"/>
      <c r="AR313" s="6"/>
      <c r="AS313" s="1"/>
      <c r="BF313" s="6"/>
      <c r="BG313" s="1"/>
      <c r="BT313" s="6"/>
      <c r="BU313" s="1"/>
      <c r="CH313" s="6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ht="13.5" customHeight="1">
      <c r="A314" s="1"/>
      <c r="P314" s="6"/>
      <c r="Q314" s="1"/>
      <c r="AD314" s="6"/>
      <c r="AE314" s="1"/>
      <c r="AR314" s="6"/>
      <c r="AS314" s="1"/>
      <c r="BF314" s="6"/>
      <c r="BG314" s="1"/>
      <c r="BT314" s="6"/>
      <c r="BU314" s="1"/>
      <c r="CH314" s="6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ht="13.5" customHeight="1">
      <c r="A315" s="1"/>
      <c r="P315" s="6"/>
      <c r="Q315" s="1"/>
      <c r="AD315" s="6"/>
      <c r="AE315" s="1"/>
      <c r="AR315" s="6"/>
      <c r="AS315" s="1"/>
      <c r="BF315" s="6"/>
      <c r="BG315" s="1"/>
      <c r="BT315" s="6"/>
      <c r="BU315" s="1"/>
      <c r="CH315" s="6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ht="13.5" customHeight="1">
      <c r="A316" s="1"/>
      <c r="P316" s="6"/>
      <c r="Q316" s="1"/>
      <c r="AD316" s="6"/>
      <c r="AE316" s="1"/>
      <c r="AR316" s="6"/>
      <c r="AS316" s="1"/>
      <c r="BF316" s="6"/>
      <c r="BG316" s="1"/>
      <c r="BT316" s="6"/>
      <c r="BU316" s="1"/>
      <c r="CH316" s="6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ht="13.5" customHeight="1">
      <c r="A317" s="1"/>
      <c r="P317" s="6"/>
      <c r="Q317" s="1"/>
      <c r="AD317" s="6"/>
      <c r="AE317" s="1"/>
      <c r="AR317" s="6"/>
      <c r="AS317" s="1"/>
      <c r="BF317" s="6"/>
      <c r="BG317" s="1"/>
      <c r="BT317" s="6"/>
      <c r="BU317" s="1"/>
      <c r="CH317" s="6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ht="13.5" customHeight="1">
      <c r="A318" s="1"/>
      <c r="P318" s="6"/>
      <c r="Q318" s="1"/>
      <c r="AD318" s="6"/>
      <c r="AE318" s="1"/>
      <c r="AR318" s="6"/>
      <c r="AS318" s="1"/>
      <c r="BF318" s="6"/>
      <c r="BG318" s="1"/>
      <c r="BT318" s="6"/>
      <c r="BU318" s="1"/>
      <c r="CH318" s="6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ht="13.5" customHeight="1">
      <c r="A319" s="1"/>
      <c r="P319" s="6"/>
      <c r="Q319" s="1"/>
      <c r="AD319" s="6"/>
      <c r="AE319" s="1"/>
      <c r="AR319" s="6"/>
      <c r="AS319" s="1"/>
      <c r="BF319" s="6"/>
      <c r="BG319" s="1"/>
      <c r="BT319" s="6"/>
      <c r="BU319" s="1"/>
      <c r="CH319" s="6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ht="13.5" customHeight="1">
      <c r="A320" s="1"/>
      <c r="P320" s="6"/>
      <c r="Q320" s="1"/>
      <c r="AD320" s="6"/>
      <c r="AE320" s="1"/>
      <c r="AR320" s="6"/>
      <c r="AS320" s="1"/>
      <c r="BF320" s="6"/>
      <c r="BG320" s="1"/>
      <c r="BT320" s="6"/>
      <c r="BU320" s="1"/>
      <c r="CH320" s="6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ht="13.5" customHeight="1">
      <c r="A321" s="1"/>
      <c r="P321" s="6"/>
      <c r="Q321" s="1"/>
      <c r="AD321" s="6"/>
      <c r="AE321" s="1"/>
      <c r="AR321" s="6"/>
      <c r="AS321" s="1"/>
      <c r="BF321" s="6"/>
      <c r="BG321" s="1"/>
      <c r="BT321" s="6"/>
      <c r="BU321" s="1"/>
      <c r="CH321" s="6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ht="13.5" customHeight="1">
      <c r="A322" s="1"/>
      <c r="P322" s="6"/>
      <c r="Q322" s="1"/>
      <c r="AD322" s="6"/>
      <c r="AE322" s="1"/>
      <c r="AR322" s="6"/>
      <c r="AS322" s="1"/>
      <c r="BF322" s="6"/>
      <c r="BG322" s="1"/>
      <c r="BT322" s="6"/>
      <c r="BU322" s="1"/>
      <c r="CH322" s="6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ht="13.5" customHeight="1">
      <c r="A323" s="1"/>
      <c r="P323" s="6"/>
      <c r="Q323" s="1"/>
      <c r="AD323" s="6"/>
      <c r="AE323" s="1"/>
      <c r="AR323" s="6"/>
      <c r="AS323" s="1"/>
      <c r="BF323" s="6"/>
      <c r="BG323" s="1"/>
      <c r="BT323" s="6"/>
      <c r="BU323" s="1"/>
      <c r="CH323" s="6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ht="13.5" customHeight="1">
      <c r="A324" s="1"/>
      <c r="P324" s="6"/>
      <c r="Q324" s="1"/>
      <c r="AD324" s="6"/>
      <c r="AE324" s="1"/>
      <c r="AR324" s="6"/>
      <c r="AS324" s="1"/>
      <c r="BF324" s="6"/>
      <c r="BG324" s="1"/>
      <c r="BT324" s="6"/>
      <c r="BU324" s="1"/>
      <c r="CH324" s="6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ht="13.5" customHeight="1">
      <c r="A325" s="1"/>
      <c r="P325" s="6"/>
      <c r="Q325" s="1"/>
      <c r="AD325" s="6"/>
      <c r="AE325" s="1"/>
      <c r="AR325" s="6"/>
      <c r="AS325" s="1"/>
      <c r="BF325" s="6"/>
      <c r="BG325" s="1"/>
      <c r="BT325" s="6"/>
      <c r="BU325" s="1"/>
      <c r="CH325" s="6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ht="13.5" customHeight="1">
      <c r="A326" s="1"/>
      <c r="P326" s="6"/>
      <c r="Q326" s="1"/>
      <c r="AD326" s="6"/>
      <c r="AE326" s="1"/>
      <c r="AR326" s="6"/>
      <c r="AS326" s="1"/>
      <c r="BF326" s="6"/>
      <c r="BG326" s="1"/>
      <c r="BT326" s="6"/>
      <c r="BU326" s="1"/>
      <c r="CH326" s="6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ht="13.5" customHeight="1">
      <c r="A327" s="1"/>
      <c r="P327" s="6"/>
      <c r="Q327" s="1"/>
      <c r="AD327" s="6"/>
      <c r="AE327" s="1"/>
      <c r="AR327" s="6"/>
      <c r="AS327" s="1"/>
      <c r="BF327" s="6"/>
      <c r="BG327" s="1"/>
      <c r="BT327" s="6"/>
      <c r="BU327" s="1"/>
      <c r="CH327" s="6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ht="13.5" customHeight="1">
      <c r="A328" s="1"/>
      <c r="P328" s="6"/>
      <c r="Q328" s="1"/>
      <c r="AD328" s="6"/>
      <c r="AE328" s="1"/>
      <c r="AR328" s="6"/>
      <c r="AS328" s="1"/>
      <c r="BF328" s="6"/>
      <c r="BG328" s="1"/>
      <c r="BT328" s="6"/>
      <c r="BU328" s="1"/>
      <c r="CH328" s="6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ht="13.5" customHeight="1">
      <c r="A329" s="1"/>
      <c r="P329" s="6"/>
      <c r="Q329" s="1"/>
      <c r="AD329" s="6"/>
      <c r="AE329" s="1"/>
      <c r="AR329" s="6"/>
      <c r="AS329" s="1"/>
      <c r="BF329" s="6"/>
      <c r="BG329" s="1"/>
      <c r="BT329" s="6"/>
      <c r="BU329" s="1"/>
      <c r="CH329" s="6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ht="13.5" customHeight="1">
      <c r="A330" s="1"/>
      <c r="P330" s="6"/>
      <c r="Q330" s="1"/>
      <c r="AD330" s="6"/>
      <c r="AE330" s="1"/>
      <c r="AR330" s="6"/>
      <c r="AS330" s="1"/>
      <c r="BF330" s="6"/>
      <c r="BG330" s="1"/>
      <c r="BT330" s="6"/>
      <c r="BU330" s="1"/>
      <c r="CH330" s="6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ht="13.5" customHeight="1">
      <c r="A331" s="1"/>
      <c r="P331" s="6"/>
      <c r="Q331" s="1"/>
      <c r="AD331" s="6"/>
      <c r="AE331" s="1"/>
      <c r="AR331" s="6"/>
      <c r="AS331" s="1"/>
      <c r="BF331" s="6"/>
      <c r="BG331" s="1"/>
      <c r="BT331" s="6"/>
      <c r="BU331" s="1"/>
      <c r="CH331" s="6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ht="13.5" customHeight="1">
      <c r="A332" s="1"/>
      <c r="P332" s="6"/>
      <c r="Q332" s="1"/>
      <c r="AD332" s="6"/>
      <c r="AE332" s="1"/>
      <c r="AR332" s="6"/>
      <c r="AS332" s="1"/>
      <c r="BF332" s="6"/>
      <c r="BG332" s="1"/>
      <c r="BT332" s="6"/>
      <c r="BU332" s="1"/>
      <c r="CH332" s="6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ht="13.5" customHeight="1">
      <c r="A333" s="1"/>
      <c r="P333" s="6"/>
      <c r="Q333" s="1"/>
      <c r="AD333" s="6"/>
      <c r="AE333" s="1"/>
      <c r="AR333" s="6"/>
      <c r="AS333" s="1"/>
      <c r="BF333" s="6"/>
      <c r="BG333" s="1"/>
      <c r="BT333" s="6"/>
      <c r="BU333" s="1"/>
      <c r="CH333" s="6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ht="13.5" customHeight="1">
      <c r="A334" s="1"/>
      <c r="P334" s="6"/>
      <c r="Q334" s="1"/>
      <c r="AD334" s="6"/>
      <c r="AE334" s="1"/>
      <c r="AR334" s="6"/>
      <c r="AS334" s="1"/>
      <c r="BF334" s="6"/>
      <c r="BG334" s="1"/>
      <c r="BT334" s="6"/>
      <c r="BU334" s="1"/>
      <c r="CH334" s="6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ht="13.5" customHeight="1">
      <c r="A335" s="1"/>
      <c r="P335" s="6"/>
      <c r="Q335" s="1"/>
      <c r="AD335" s="6"/>
      <c r="AE335" s="1"/>
      <c r="AR335" s="6"/>
      <c r="AS335" s="1"/>
      <c r="BF335" s="6"/>
      <c r="BG335" s="1"/>
      <c r="BT335" s="6"/>
      <c r="BU335" s="1"/>
      <c r="CH335" s="6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ht="13.5" customHeight="1">
      <c r="A336" s="1"/>
      <c r="P336" s="6"/>
      <c r="Q336" s="1"/>
      <c r="AD336" s="6"/>
      <c r="AE336" s="1"/>
      <c r="AR336" s="6"/>
      <c r="AS336" s="1"/>
      <c r="BF336" s="6"/>
      <c r="BG336" s="1"/>
      <c r="BT336" s="6"/>
      <c r="BU336" s="1"/>
      <c r="CH336" s="6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ht="13.5" customHeight="1">
      <c r="A337" s="1"/>
      <c r="P337" s="6"/>
      <c r="Q337" s="1"/>
      <c r="AD337" s="6"/>
      <c r="AE337" s="1"/>
      <c r="AR337" s="6"/>
      <c r="AS337" s="1"/>
      <c r="BF337" s="6"/>
      <c r="BG337" s="1"/>
      <c r="BT337" s="6"/>
      <c r="BU337" s="1"/>
      <c r="CH337" s="6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ht="13.5" customHeight="1">
      <c r="A338" s="1"/>
      <c r="P338" s="6"/>
      <c r="Q338" s="1"/>
      <c r="AD338" s="6"/>
      <c r="AE338" s="1"/>
      <c r="AR338" s="6"/>
      <c r="AS338" s="1"/>
      <c r="BF338" s="6"/>
      <c r="BG338" s="1"/>
      <c r="BT338" s="6"/>
      <c r="BU338" s="1"/>
      <c r="CH338" s="6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ht="13.5" customHeight="1">
      <c r="A339" s="1"/>
      <c r="P339" s="6"/>
      <c r="Q339" s="1"/>
      <c r="AD339" s="6"/>
      <c r="AE339" s="1"/>
      <c r="AR339" s="6"/>
      <c r="AS339" s="1"/>
      <c r="BF339" s="6"/>
      <c r="BG339" s="1"/>
      <c r="BT339" s="6"/>
      <c r="BU339" s="1"/>
      <c r="CH339" s="6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ht="13.5" customHeight="1">
      <c r="A340" s="1"/>
      <c r="P340" s="6"/>
      <c r="Q340" s="1"/>
      <c r="AD340" s="6"/>
      <c r="AE340" s="1"/>
      <c r="AR340" s="6"/>
      <c r="AS340" s="1"/>
      <c r="BF340" s="6"/>
      <c r="BG340" s="1"/>
      <c r="BT340" s="6"/>
      <c r="BU340" s="1"/>
      <c r="CH340" s="6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ht="13.5" customHeight="1">
      <c r="A341" s="1"/>
      <c r="P341" s="6"/>
      <c r="Q341" s="1"/>
      <c r="AD341" s="6"/>
      <c r="AE341" s="1"/>
      <c r="AR341" s="6"/>
      <c r="AS341" s="1"/>
      <c r="BF341" s="6"/>
      <c r="BG341" s="1"/>
      <c r="BT341" s="6"/>
      <c r="BU341" s="1"/>
      <c r="CH341" s="6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ht="13.5" customHeight="1">
      <c r="A342" s="1"/>
      <c r="P342" s="6"/>
      <c r="Q342" s="1"/>
      <c r="AD342" s="6"/>
      <c r="AE342" s="1"/>
      <c r="AR342" s="6"/>
      <c r="AS342" s="1"/>
      <c r="BF342" s="6"/>
      <c r="BG342" s="1"/>
      <c r="BT342" s="6"/>
      <c r="BU342" s="1"/>
      <c r="CH342" s="6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ht="13.5" customHeight="1">
      <c r="A343" s="1"/>
      <c r="P343" s="6"/>
      <c r="Q343" s="1"/>
      <c r="AD343" s="6"/>
      <c r="AE343" s="1"/>
      <c r="AR343" s="6"/>
      <c r="AS343" s="1"/>
      <c r="BF343" s="6"/>
      <c r="BG343" s="1"/>
      <c r="BT343" s="6"/>
      <c r="BU343" s="1"/>
      <c r="CH343" s="6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ht="13.5" customHeight="1">
      <c r="A344" s="1"/>
      <c r="P344" s="6"/>
      <c r="Q344" s="1"/>
      <c r="AD344" s="6"/>
      <c r="AE344" s="1"/>
      <c r="AR344" s="6"/>
      <c r="AS344" s="1"/>
      <c r="BF344" s="6"/>
      <c r="BG344" s="1"/>
      <c r="BT344" s="6"/>
      <c r="BU344" s="1"/>
      <c r="CH344" s="6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ht="13.5" customHeight="1">
      <c r="A345" s="1"/>
      <c r="P345" s="6"/>
      <c r="Q345" s="1"/>
      <c r="AD345" s="6"/>
      <c r="AE345" s="1"/>
      <c r="AR345" s="6"/>
      <c r="AS345" s="1"/>
      <c r="BF345" s="6"/>
      <c r="BG345" s="1"/>
      <c r="BT345" s="6"/>
      <c r="BU345" s="1"/>
      <c r="CH345" s="6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ht="13.5" customHeight="1">
      <c r="A346" s="1"/>
      <c r="P346" s="6"/>
      <c r="Q346" s="1"/>
      <c r="AD346" s="6"/>
      <c r="AE346" s="1"/>
      <c r="AR346" s="6"/>
      <c r="AS346" s="1"/>
      <c r="BF346" s="6"/>
      <c r="BG346" s="1"/>
      <c r="BT346" s="6"/>
      <c r="BU346" s="1"/>
      <c r="CH346" s="6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ht="13.5" customHeight="1">
      <c r="A347" s="1"/>
      <c r="P347" s="6"/>
      <c r="Q347" s="1"/>
      <c r="AD347" s="6"/>
      <c r="AE347" s="1"/>
      <c r="AR347" s="6"/>
      <c r="AS347" s="1"/>
      <c r="BF347" s="6"/>
      <c r="BG347" s="1"/>
      <c r="BT347" s="6"/>
      <c r="BU347" s="1"/>
      <c r="CH347" s="6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ht="13.5" customHeight="1">
      <c r="A348" s="1"/>
      <c r="P348" s="6"/>
      <c r="Q348" s="1"/>
      <c r="AD348" s="6"/>
      <c r="AE348" s="1"/>
      <c r="AR348" s="6"/>
      <c r="AS348" s="1"/>
      <c r="BF348" s="6"/>
      <c r="BG348" s="1"/>
      <c r="BT348" s="6"/>
      <c r="BU348" s="1"/>
      <c r="CH348" s="6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ht="13.5" customHeight="1">
      <c r="A349" s="1"/>
      <c r="P349" s="6"/>
      <c r="Q349" s="1"/>
      <c r="AD349" s="6"/>
      <c r="AE349" s="1"/>
      <c r="AR349" s="6"/>
      <c r="AS349" s="1"/>
      <c r="BF349" s="6"/>
      <c r="BG349" s="1"/>
      <c r="BT349" s="6"/>
      <c r="BU349" s="1"/>
      <c r="CH349" s="6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ht="13.5" customHeight="1">
      <c r="A350" s="1"/>
      <c r="P350" s="6"/>
      <c r="Q350" s="1"/>
      <c r="AD350" s="6"/>
      <c r="AE350" s="1"/>
      <c r="AR350" s="6"/>
      <c r="AS350" s="1"/>
      <c r="BF350" s="6"/>
      <c r="BG350" s="1"/>
      <c r="BT350" s="6"/>
      <c r="BU350" s="1"/>
      <c r="CH350" s="6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ht="13.5" customHeight="1">
      <c r="A351" s="1"/>
      <c r="P351" s="6"/>
      <c r="Q351" s="1"/>
      <c r="AD351" s="6"/>
      <c r="AE351" s="1"/>
      <c r="AR351" s="6"/>
      <c r="AS351" s="1"/>
      <c r="BF351" s="6"/>
      <c r="BG351" s="1"/>
      <c r="BT351" s="6"/>
      <c r="BU351" s="1"/>
      <c r="CH351" s="6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ht="13.5" customHeight="1">
      <c r="A352" s="1"/>
      <c r="P352" s="6"/>
      <c r="Q352" s="1"/>
      <c r="AD352" s="6"/>
      <c r="AE352" s="1"/>
      <c r="AR352" s="6"/>
      <c r="AS352" s="1"/>
      <c r="BF352" s="6"/>
      <c r="BG352" s="1"/>
      <c r="BT352" s="6"/>
      <c r="BU352" s="1"/>
      <c r="CH352" s="6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ht="13.5" customHeight="1">
      <c r="A353" s="1"/>
      <c r="P353" s="6"/>
      <c r="Q353" s="1"/>
      <c r="AD353" s="6"/>
      <c r="AE353" s="1"/>
      <c r="AR353" s="6"/>
      <c r="AS353" s="1"/>
      <c r="BF353" s="6"/>
      <c r="BG353" s="1"/>
      <c r="BT353" s="6"/>
      <c r="BU353" s="1"/>
      <c r="CH353" s="6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ht="13.5" customHeight="1">
      <c r="A354" s="1"/>
      <c r="P354" s="6"/>
      <c r="Q354" s="1"/>
      <c r="AD354" s="6"/>
      <c r="AE354" s="1"/>
      <c r="AR354" s="6"/>
      <c r="AS354" s="1"/>
      <c r="BF354" s="6"/>
      <c r="BG354" s="1"/>
      <c r="BT354" s="6"/>
      <c r="BU354" s="1"/>
      <c r="CH354" s="6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ht="13.5" customHeight="1">
      <c r="A355" s="1"/>
      <c r="P355" s="6"/>
      <c r="Q355" s="1"/>
      <c r="AD355" s="6"/>
      <c r="AE355" s="1"/>
      <c r="AR355" s="6"/>
      <c r="AS355" s="1"/>
      <c r="BF355" s="6"/>
      <c r="BG355" s="1"/>
      <c r="BT355" s="6"/>
      <c r="BU355" s="1"/>
      <c r="CH355" s="6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ht="13.5" customHeight="1">
      <c r="A356" s="1"/>
      <c r="P356" s="6"/>
      <c r="Q356" s="1"/>
      <c r="AD356" s="6"/>
      <c r="AE356" s="1"/>
      <c r="AR356" s="6"/>
      <c r="AS356" s="1"/>
      <c r="BF356" s="6"/>
      <c r="BG356" s="1"/>
      <c r="BT356" s="6"/>
      <c r="BU356" s="1"/>
      <c r="CH356" s="6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ht="13.5" customHeight="1">
      <c r="A357" s="1"/>
      <c r="P357" s="6"/>
      <c r="Q357" s="1"/>
      <c r="AD357" s="6"/>
      <c r="AE357" s="1"/>
      <c r="AR357" s="6"/>
      <c r="AS357" s="1"/>
      <c r="BF357" s="6"/>
      <c r="BG357" s="1"/>
      <c r="BT357" s="6"/>
      <c r="BU357" s="1"/>
      <c r="CH357" s="6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ht="13.5" customHeight="1">
      <c r="A358" s="1"/>
      <c r="P358" s="6"/>
      <c r="Q358" s="1"/>
      <c r="AD358" s="6"/>
      <c r="AE358" s="1"/>
      <c r="AR358" s="6"/>
      <c r="AS358" s="1"/>
      <c r="BF358" s="6"/>
      <c r="BG358" s="1"/>
      <c r="BT358" s="6"/>
      <c r="BU358" s="1"/>
      <c r="CH358" s="6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ht="13.5" customHeight="1">
      <c r="A359" s="1"/>
      <c r="P359" s="6"/>
      <c r="Q359" s="1"/>
      <c r="AD359" s="6"/>
      <c r="AE359" s="1"/>
      <c r="AR359" s="6"/>
      <c r="AS359" s="1"/>
      <c r="BF359" s="6"/>
      <c r="BG359" s="1"/>
      <c r="BT359" s="6"/>
      <c r="BU359" s="1"/>
      <c r="CH359" s="6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ht="13.5" customHeight="1">
      <c r="A360" s="1"/>
      <c r="P360" s="6"/>
      <c r="Q360" s="1"/>
      <c r="AD360" s="6"/>
      <c r="AE360" s="1"/>
      <c r="AR360" s="6"/>
      <c r="AS360" s="1"/>
      <c r="BF360" s="6"/>
      <c r="BG360" s="1"/>
      <c r="BT360" s="6"/>
      <c r="BU360" s="1"/>
      <c r="CH360" s="6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ht="13.5" customHeight="1">
      <c r="A361" s="1"/>
      <c r="P361" s="6"/>
      <c r="Q361" s="1"/>
      <c r="AD361" s="6"/>
      <c r="AE361" s="1"/>
      <c r="AR361" s="6"/>
      <c r="AS361" s="1"/>
      <c r="BF361" s="6"/>
      <c r="BG361" s="1"/>
      <c r="BT361" s="6"/>
      <c r="BU361" s="1"/>
      <c r="CH361" s="6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ht="13.5" customHeight="1">
      <c r="A362" s="1"/>
      <c r="P362" s="6"/>
      <c r="Q362" s="1"/>
      <c r="AD362" s="6"/>
      <c r="AE362" s="1"/>
      <c r="AR362" s="6"/>
      <c r="AS362" s="1"/>
      <c r="BF362" s="6"/>
      <c r="BG362" s="1"/>
      <c r="BT362" s="6"/>
      <c r="BU362" s="1"/>
      <c r="CH362" s="6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ht="13.5" customHeight="1">
      <c r="A363" s="1"/>
      <c r="P363" s="6"/>
      <c r="Q363" s="1"/>
      <c r="AD363" s="6"/>
      <c r="AE363" s="1"/>
      <c r="AR363" s="6"/>
      <c r="AS363" s="1"/>
      <c r="BF363" s="6"/>
      <c r="BG363" s="1"/>
      <c r="BT363" s="6"/>
      <c r="BU363" s="1"/>
      <c r="CH363" s="6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ht="13.5" customHeight="1">
      <c r="A364" s="1"/>
      <c r="P364" s="6"/>
      <c r="Q364" s="1"/>
      <c r="AD364" s="6"/>
      <c r="AE364" s="1"/>
      <c r="AR364" s="6"/>
      <c r="AS364" s="1"/>
      <c r="BF364" s="6"/>
      <c r="BG364" s="1"/>
      <c r="BT364" s="6"/>
      <c r="BU364" s="1"/>
      <c r="CH364" s="6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ht="13.5" customHeight="1">
      <c r="A365" s="1"/>
      <c r="P365" s="6"/>
      <c r="Q365" s="1"/>
      <c r="AD365" s="6"/>
      <c r="AE365" s="1"/>
      <c r="AR365" s="6"/>
      <c r="AS365" s="1"/>
      <c r="BF365" s="6"/>
      <c r="BG365" s="1"/>
      <c r="BT365" s="6"/>
      <c r="BU365" s="1"/>
      <c r="CH365" s="6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ht="13.5" customHeight="1">
      <c r="A366" s="1"/>
      <c r="P366" s="6"/>
      <c r="Q366" s="1"/>
      <c r="AD366" s="6"/>
      <c r="AE366" s="1"/>
      <c r="AR366" s="6"/>
      <c r="AS366" s="1"/>
      <c r="BF366" s="6"/>
      <c r="BG366" s="1"/>
      <c r="BT366" s="6"/>
      <c r="BU366" s="1"/>
      <c r="CH366" s="6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ht="13.5" customHeight="1">
      <c r="A367" s="1"/>
      <c r="P367" s="6"/>
      <c r="Q367" s="1"/>
      <c r="AD367" s="6"/>
      <c r="AE367" s="1"/>
      <c r="AR367" s="6"/>
      <c r="AS367" s="1"/>
      <c r="BF367" s="6"/>
      <c r="BG367" s="1"/>
      <c r="BT367" s="6"/>
      <c r="BU367" s="1"/>
      <c r="CH367" s="6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ht="13.5" customHeight="1">
      <c r="A368" s="1"/>
      <c r="P368" s="6"/>
      <c r="Q368" s="1"/>
      <c r="AD368" s="6"/>
      <c r="AE368" s="1"/>
      <c r="AR368" s="6"/>
      <c r="AS368" s="1"/>
      <c r="BF368" s="6"/>
      <c r="BG368" s="1"/>
      <c r="BT368" s="6"/>
      <c r="BU368" s="1"/>
      <c r="CH368" s="6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ht="13.5" customHeight="1">
      <c r="A369" s="1"/>
      <c r="P369" s="6"/>
      <c r="Q369" s="1"/>
      <c r="AD369" s="6"/>
      <c r="AE369" s="1"/>
      <c r="AR369" s="6"/>
      <c r="AS369" s="1"/>
      <c r="BF369" s="6"/>
      <c r="BG369" s="1"/>
      <c r="BT369" s="6"/>
      <c r="BU369" s="1"/>
      <c r="CH369" s="6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ht="13.5" customHeight="1">
      <c r="A370" s="1"/>
      <c r="P370" s="6"/>
      <c r="Q370" s="1"/>
      <c r="AD370" s="6"/>
      <c r="AE370" s="1"/>
      <c r="AR370" s="6"/>
      <c r="AS370" s="1"/>
      <c r="BF370" s="6"/>
      <c r="BG370" s="1"/>
      <c r="BT370" s="6"/>
      <c r="BU370" s="1"/>
      <c r="CH370" s="6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ht="13.5" customHeight="1">
      <c r="A371" s="1"/>
      <c r="P371" s="6"/>
      <c r="Q371" s="1"/>
      <c r="AD371" s="6"/>
      <c r="AE371" s="1"/>
      <c r="AR371" s="6"/>
      <c r="AS371" s="1"/>
      <c r="BF371" s="6"/>
      <c r="BG371" s="1"/>
      <c r="BT371" s="6"/>
      <c r="BU371" s="1"/>
      <c r="CH371" s="6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ht="13.5" customHeight="1">
      <c r="A372" s="1"/>
      <c r="P372" s="6"/>
      <c r="Q372" s="1"/>
      <c r="AD372" s="6"/>
      <c r="AE372" s="1"/>
      <c r="AR372" s="6"/>
      <c r="AS372" s="1"/>
      <c r="BF372" s="6"/>
      <c r="BG372" s="1"/>
      <c r="BT372" s="6"/>
      <c r="BU372" s="1"/>
      <c r="CH372" s="6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ht="13.5" customHeight="1">
      <c r="A373" s="1"/>
      <c r="P373" s="6"/>
      <c r="Q373" s="1"/>
      <c r="AD373" s="6"/>
      <c r="AE373" s="1"/>
      <c r="AR373" s="6"/>
      <c r="AS373" s="1"/>
      <c r="BF373" s="6"/>
      <c r="BG373" s="1"/>
      <c r="BT373" s="6"/>
      <c r="BU373" s="1"/>
      <c r="CH373" s="6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ht="13.5" customHeight="1">
      <c r="A374" s="1"/>
      <c r="P374" s="6"/>
      <c r="Q374" s="1"/>
      <c r="AD374" s="6"/>
      <c r="AE374" s="1"/>
      <c r="AR374" s="6"/>
      <c r="AS374" s="1"/>
      <c r="BF374" s="6"/>
      <c r="BG374" s="1"/>
      <c r="BT374" s="6"/>
      <c r="BU374" s="1"/>
      <c r="CH374" s="6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ht="13.5" customHeight="1">
      <c r="A375" s="1"/>
      <c r="P375" s="6"/>
      <c r="Q375" s="1"/>
      <c r="AD375" s="6"/>
      <c r="AE375" s="1"/>
      <c r="AR375" s="6"/>
      <c r="AS375" s="1"/>
      <c r="BF375" s="6"/>
      <c r="BG375" s="1"/>
      <c r="BT375" s="6"/>
      <c r="BU375" s="1"/>
      <c r="CH375" s="6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ht="13.5" customHeight="1">
      <c r="A376" s="1"/>
      <c r="P376" s="6"/>
      <c r="Q376" s="1"/>
      <c r="AD376" s="6"/>
      <c r="AE376" s="1"/>
      <c r="AR376" s="6"/>
      <c r="AS376" s="1"/>
      <c r="BF376" s="6"/>
      <c r="BG376" s="1"/>
      <c r="BT376" s="6"/>
      <c r="BU376" s="1"/>
      <c r="CH376" s="6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ht="13.5" customHeight="1">
      <c r="A377" s="1"/>
      <c r="P377" s="6"/>
      <c r="Q377" s="1"/>
      <c r="AD377" s="6"/>
      <c r="AE377" s="1"/>
      <c r="AR377" s="6"/>
      <c r="AS377" s="1"/>
      <c r="BF377" s="6"/>
      <c r="BG377" s="1"/>
      <c r="BT377" s="6"/>
      <c r="BU377" s="1"/>
      <c r="CH377" s="6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ht="13.5" customHeight="1">
      <c r="A378" s="1"/>
      <c r="P378" s="6"/>
      <c r="Q378" s="1"/>
      <c r="AD378" s="6"/>
      <c r="AE378" s="1"/>
      <c r="AR378" s="6"/>
      <c r="AS378" s="1"/>
      <c r="BF378" s="6"/>
      <c r="BG378" s="1"/>
      <c r="BT378" s="6"/>
      <c r="BU378" s="1"/>
      <c r="CH378" s="6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ht="13.5" customHeight="1">
      <c r="A379" s="1"/>
      <c r="P379" s="6"/>
      <c r="Q379" s="1"/>
      <c r="AD379" s="6"/>
      <c r="AE379" s="1"/>
      <c r="AR379" s="6"/>
      <c r="AS379" s="1"/>
      <c r="BF379" s="6"/>
      <c r="BG379" s="1"/>
      <c r="BT379" s="6"/>
      <c r="BU379" s="1"/>
      <c r="CH379" s="6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ht="13.5" customHeight="1">
      <c r="A380" s="1"/>
      <c r="P380" s="6"/>
      <c r="Q380" s="1"/>
      <c r="AD380" s="6"/>
      <c r="AE380" s="1"/>
      <c r="AR380" s="6"/>
      <c r="AS380" s="1"/>
      <c r="BF380" s="6"/>
      <c r="BG380" s="1"/>
      <c r="BT380" s="6"/>
      <c r="BU380" s="1"/>
      <c r="CH380" s="6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ht="13.5" customHeight="1">
      <c r="A381" s="1"/>
      <c r="P381" s="6"/>
      <c r="Q381" s="1"/>
      <c r="AD381" s="6"/>
      <c r="AE381" s="1"/>
      <c r="AR381" s="6"/>
      <c r="AS381" s="1"/>
      <c r="BF381" s="6"/>
      <c r="BG381" s="1"/>
      <c r="BT381" s="6"/>
      <c r="BU381" s="1"/>
      <c r="CH381" s="6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ht="13.5" customHeight="1">
      <c r="A382" s="1"/>
      <c r="P382" s="6"/>
      <c r="Q382" s="1"/>
      <c r="AD382" s="6"/>
      <c r="AE382" s="1"/>
      <c r="AR382" s="6"/>
      <c r="AS382" s="1"/>
      <c r="BF382" s="6"/>
      <c r="BG382" s="1"/>
      <c r="BT382" s="6"/>
      <c r="BU382" s="1"/>
      <c r="CH382" s="6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ht="13.5" customHeight="1">
      <c r="A383" s="1"/>
      <c r="P383" s="6"/>
      <c r="Q383" s="1"/>
      <c r="AD383" s="6"/>
      <c r="AE383" s="1"/>
      <c r="AR383" s="6"/>
      <c r="AS383" s="1"/>
      <c r="BF383" s="6"/>
      <c r="BG383" s="1"/>
      <c r="BT383" s="6"/>
      <c r="BU383" s="1"/>
      <c r="CH383" s="6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ht="13.5" customHeight="1">
      <c r="A384" s="1"/>
      <c r="P384" s="6"/>
      <c r="Q384" s="1"/>
      <c r="AD384" s="6"/>
      <c r="AE384" s="1"/>
      <c r="AR384" s="6"/>
      <c r="AS384" s="1"/>
      <c r="BF384" s="6"/>
      <c r="BG384" s="1"/>
      <c r="BT384" s="6"/>
      <c r="BU384" s="1"/>
      <c r="CH384" s="6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ht="13.5" customHeight="1">
      <c r="A385" s="1"/>
      <c r="P385" s="6"/>
      <c r="Q385" s="1"/>
      <c r="AD385" s="6"/>
      <c r="AE385" s="1"/>
      <c r="AR385" s="6"/>
      <c r="AS385" s="1"/>
      <c r="BF385" s="6"/>
      <c r="BG385" s="1"/>
      <c r="BT385" s="6"/>
      <c r="BU385" s="1"/>
      <c r="CH385" s="6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ht="13.5" customHeight="1">
      <c r="A386" s="1"/>
      <c r="P386" s="6"/>
      <c r="Q386" s="1"/>
      <c r="AD386" s="6"/>
      <c r="AE386" s="1"/>
      <c r="AR386" s="6"/>
      <c r="AS386" s="1"/>
      <c r="BF386" s="6"/>
      <c r="BG386" s="1"/>
      <c r="BT386" s="6"/>
      <c r="BU386" s="1"/>
      <c r="CH386" s="6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ht="13.5" customHeight="1">
      <c r="A387" s="1"/>
      <c r="P387" s="6"/>
      <c r="Q387" s="1"/>
      <c r="AD387" s="6"/>
      <c r="AE387" s="1"/>
      <c r="AR387" s="6"/>
      <c r="AS387" s="1"/>
      <c r="BF387" s="6"/>
      <c r="BG387" s="1"/>
      <c r="BT387" s="6"/>
      <c r="BU387" s="1"/>
      <c r="CH387" s="6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ht="13.5" customHeight="1">
      <c r="A388" s="1"/>
      <c r="P388" s="6"/>
      <c r="Q388" s="1"/>
      <c r="AD388" s="6"/>
      <c r="AE388" s="1"/>
      <c r="AR388" s="6"/>
      <c r="AS388" s="1"/>
      <c r="BF388" s="6"/>
      <c r="BG388" s="1"/>
      <c r="BT388" s="6"/>
      <c r="BU388" s="1"/>
      <c r="CH388" s="6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ht="13.5" customHeight="1">
      <c r="A389" s="1"/>
      <c r="P389" s="6"/>
      <c r="Q389" s="1"/>
      <c r="AD389" s="6"/>
      <c r="AE389" s="1"/>
      <c r="AR389" s="6"/>
      <c r="AS389" s="1"/>
      <c r="BF389" s="6"/>
      <c r="BG389" s="1"/>
      <c r="BT389" s="6"/>
      <c r="BU389" s="1"/>
      <c r="CH389" s="6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ht="13.5" customHeight="1">
      <c r="A390" s="1"/>
      <c r="P390" s="6"/>
      <c r="Q390" s="1"/>
      <c r="AD390" s="6"/>
      <c r="AE390" s="1"/>
      <c r="AR390" s="6"/>
      <c r="AS390" s="1"/>
      <c r="BF390" s="6"/>
      <c r="BG390" s="1"/>
      <c r="BT390" s="6"/>
      <c r="BU390" s="1"/>
      <c r="CH390" s="6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ht="13.5" customHeight="1">
      <c r="A391" s="1"/>
      <c r="P391" s="6"/>
      <c r="Q391" s="1"/>
      <c r="AD391" s="6"/>
      <c r="AE391" s="1"/>
      <c r="AR391" s="6"/>
      <c r="AS391" s="1"/>
      <c r="BF391" s="6"/>
      <c r="BG391" s="1"/>
      <c r="BT391" s="6"/>
      <c r="BU391" s="1"/>
      <c r="CH391" s="6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ht="13.5" customHeight="1">
      <c r="A392" s="1"/>
      <c r="P392" s="6"/>
      <c r="Q392" s="1"/>
      <c r="AD392" s="6"/>
      <c r="AE392" s="1"/>
      <c r="AR392" s="6"/>
      <c r="AS392" s="1"/>
      <c r="BF392" s="6"/>
      <c r="BG392" s="1"/>
      <c r="BT392" s="6"/>
      <c r="BU392" s="1"/>
      <c r="CH392" s="6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ht="13.5" customHeight="1">
      <c r="A393" s="1"/>
      <c r="P393" s="6"/>
      <c r="Q393" s="1"/>
      <c r="AD393" s="6"/>
      <c r="AE393" s="1"/>
      <c r="AR393" s="6"/>
      <c r="AS393" s="1"/>
      <c r="BF393" s="6"/>
      <c r="BG393" s="1"/>
      <c r="BT393" s="6"/>
      <c r="BU393" s="1"/>
      <c r="CH393" s="6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ht="13.5" customHeight="1">
      <c r="A394" s="1"/>
      <c r="P394" s="6"/>
      <c r="Q394" s="1"/>
      <c r="AD394" s="6"/>
      <c r="AE394" s="1"/>
      <c r="AR394" s="6"/>
      <c r="AS394" s="1"/>
      <c r="BF394" s="6"/>
      <c r="BG394" s="1"/>
      <c r="BT394" s="6"/>
      <c r="BU394" s="1"/>
      <c r="CH394" s="6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ht="13.5" customHeight="1">
      <c r="A395" s="1"/>
      <c r="P395" s="6"/>
      <c r="Q395" s="1"/>
      <c r="AD395" s="6"/>
      <c r="AE395" s="1"/>
      <c r="AR395" s="6"/>
      <c r="AS395" s="1"/>
      <c r="BF395" s="6"/>
      <c r="BG395" s="1"/>
      <c r="BT395" s="6"/>
      <c r="BU395" s="1"/>
      <c r="CH395" s="6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ht="13.5" customHeight="1">
      <c r="A396" s="1"/>
      <c r="P396" s="6"/>
      <c r="Q396" s="1"/>
      <c r="AD396" s="6"/>
      <c r="AE396" s="1"/>
      <c r="AR396" s="6"/>
      <c r="AS396" s="1"/>
      <c r="BF396" s="6"/>
      <c r="BG396" s="1"/>
      <c r="BT396" s="6"/>
      <c r="BU396" s="1"/>
      <c r="CH396" s="6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ht="13.5" customHeight="1">
      <c r="A397" s="1"/>
      <c r="P397" s="6"/>
      <c r="Q397" s="1"/>
      <c r="AD397" s="6"/>
      <c r="AE397" s="1"/>
      <c r="AR397" s="6"/>
      <c r="AS397" s="1"/>
      <c r="BF397" s="6"/>
      <c r="BG397" s="1"/>
      <c r="BT397" s="6"/>
      <c r="BU397" s="1"/>
      <c r="CH397" s="6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ht="13.5" customHeight="1">
      <c r="A398" s="1"/>
      <c r="P398" s="6"/>
      <c r="Q398" s="1"/>
      <c r="AD398" s="6"/>
      <c r="AE398" s="1"/>
      <c r="AR398" s="6"/>
      <c r="AS398" s="1"/>
      <c r="BF398" s="6"/>
      <c r="BG398" s="1"/>
      <c r="BT398" s="6"/>
      <c r="BU398" s="1"/>
      <c r="CH398" s="6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ht="13.5" customHeight="1">
      <c r="A399" s="1"/>
      <c r="P399" s="6"/>
      <c r="Q399" s="1"/>
      <c r="AD399" s="6"/>
      <c r="AE399" s="1"/>
      <c r="AR399" s="6"/>
      <c r="AS399" s="1"/>
      <c r="BF399" s="6"/>
      <c r="BG399" s="1"/>
      <c r="BT399" s="6"/>
      <c r="BU399" s="1"/>
      <c r="CH399" s="6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ht="13.5" customHeight="1">
      <c r="A400" s="1"/>
      <c r="P400" s="6"/>
      <c r="Q400" s="1"/>
      <c r="AD400" s="6"/>
      <c r="AE400" s="1"/>
      <c r="AR400" s="6"/>
      <c r="AS400" s="1"/>
      <c r="BF400" s="6"/>
      <c r="BG400" s="1"/>
      <c r="BT400" s="6"/>
      <c r="BU400" s="1"/>
      <c r="CH400" s="6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ht="13.5" customHeight="1">
      <c r="A401" s="1"/>
      <c r="P401" s="6"/>
      <c r="Q401" s="1"/>
      <c r="AD401" s="6"/>
      <c r="AE401" s="1"/>
      <c r="AR401" s="6"/>
      <c r="AS401" s="1"/>
      <c r="BF401" s="6"/>
      <c r="BG401" s="1"/>
      <c r="BT401" s="6"/>
      <c r="BU401" s="1"/>
      <c r="CH401" s="6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ht="13.5" customHeight="1">
      <c r="A402" s="1"/>
      <c r="P402" s="6"/>
      <c r="Q402" s="1"/>
      <c r="AD402" s="6"/>
      <c r="AE402" s="1"/>
      <c r="AR402" s="6"/>
      <c r="AS402" s="1"/>
      <c r="BF402" s="6"/>
      <c r="BG402" s="1"/>
      <c r="BT402" s="6"/>
      <c r="BU402" s="1"/>
      <c r="CH402" s="6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ht="13.5" customHeight="1">
      <c r="A403" s="1"/>
      <c r="P403" s="6"/>
      <c r="Q403" s="1"/>
      <c r="AD403" s="6"/>
      <c r="AE403" s="1"/>
      <c r="AR403" s="6"/>
      <c r="AS403" s="1"/>
      <c r="BF403" s="6"/>
      <c r="BG403" s="1"/>
      <c r="BT403" s="6"/>
      <c r="BU403" s="1"/>
      <c r="CH403" s="6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ht="13.5" customHeight="1">
      <c r="A404" s="1"/>
      <c r="P404" s="6"/>
      <c r="Q404" s="1"/>
      <c r="AD404" s="6"/>
      <c r="AE404" s="1"/>
      <c r="AR404" s="6"/>
      <c r="AS404" s="1"/>
      <c r="BF404" s="6"/>
      <c r="BG404" s="1"/>
      <c r="BT404" s="6"/>
      <c r="BU404" s="1"/>
      <c r="CH404" s="6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ht="13.5" customHeight="1">
      <c r="A405" s="1"/>
      <c r="P405" s="6"/>
      <c r="Q405" s="1"/>
      <c r="AD405" s="6"/>
      <c r="AE405" s="1"/>
      <c r="AR405" s="6"/>
      <c r="AS405" s="1"/>
      <c r="BF405" s="6"/>
      <c r="BG405" s="1"/>
      <c r="BT405" s="6"/>
      <c r="BU405" s="1"/>
      <c r="CH405" s="6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ht="13.5" customHeight="1">
      <c r="A406" s="1"/>
      <c r="P406" s="6"/>
      <c r="Q406" s="1"/>
      <c r="AD406" s="6"/>
      <c r="AE406" s="1"/>
      <c r="AR406" s="6"/>
      <c r="AS406" s="1"/>
      <c r="BF406" s="6"/>
      <c r="BG406" s="1"/>
      <c r="BT406" s="6"/>
      <c r="BU406" s="1"/>
      <c r="CH406" s="6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ht="13.5" customHeight="1">
      <c r="A407" s="1"/>
      <c r="P407" s="6"/>
      <c r="Q407" s="1"/>
      <c r="AD407" s="6"/>
      <c r="AE407" s="1"/>
      <c r="AR407" s="6"/>
      <c r="AS407" s="1"/>
      <c r="BF407" s="6"/>
      <c r="BG407" s="1"/>
      <c r="BT407" s="6"/>
      <c r="BU407" s="1"/>
      <c r="CH407" s="6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ht="13.5" customHeight="1">
      <c r="A408" s="1"/>
      <c r="P408" s="6"/>
      <c r="Q408" s="1"/>
      <c r="AD408" s="6"/>
      <c r="AE408" s="1"/>
      <c r="AR408" s="6"/>
      <c r="AS408" s="1"/>
      <c r="BF408" s="6"/>
      <c r="BG408" s="1"/>
      <c r="BT408" s="6"/>
      <c r="BU408" s="1"/>
      <c r="CH408" s="6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ht="13.5" customHeight="1">
      <c r="A409" s="1"/>
      <c r="P409" s="6"/>
      <c r="Q409" s="1"/>
      <c r="AD409" s="6"/>
      <c r="AE409" s="1"/>
      <c r="AR409" s="6"/>
      <c r="AS409" s="1"/>
      <c r="BF409" s="6"/>
      <c r="BG409" s="1"/>
      <c r="BT409" s="6"/>
      <c r="BU409" s="1"/>
      <c r="CH409" s="6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ht="13.5" customHeight="1">
      <c r="A410" s="1"/>
      <c r="P410" s="6"/>
      <c r="Q410" s="1"/>
      <c r="AD410" s="6"/>
      <c r="AE410" s="1"/>
      <c r="AR410" s="6"/>
      <c r="AS410" s="1"/>
      <c r="BF410" s="6"/>
      <c r="BG410" s="1"/>
      <c r="BT410" s="6"/>
      <c r="BU410" s="1"/>
      <c r="CH410" s="6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ht="13.5" customHeight="1">
      <c r="A411" s="1"/>
      <c r="P411" s="6"/>
      <c r="Q411" s="1"/>
      <c r="AD411" s="6"/>
      <c r="AE411" s="1"/>
      <c r="AR411" s="6"/>
      <c r="AS411" s="1"/>
      <c r="BF411" s="6"/>
      <c r="BG411" s="1"/>
      <c r="BT411" s="6"/>
      <c r="BU411" s="1"/>
      <c r="CH411" s="6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ht="13.5" customHeight="1">
      <c r="A412" s="1"/>
      <c r="P412" s="6"/>
      <c r="Q412" s="1"/>
      <c r="AD412" s="6"/>
      <c r="AE412" s="1"/>
      <c r="AR412" s="6"/>
      <c r="AS412" s="1"/>
      <c r="BF412" s="6"/>
      <c r="BG412" s="1"/>
      <c r="BT412" s="6"/>
      <c r="BU412" s="1"/>
      <c r="CH412" s="6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ht="13.5" customHeight="1">
      <c r="A413" s="1"/>
      <c r="P413" s="6"/>
      <c r="Q413" s="1"/>
      <c r="AD413" s="6"/>
      <c r="AE413" s="1"/>
      <c r="AR413" s="6"/>
      <c r="AS413" s="1"/>
      <c r="BF413" s="6"/>
      <c r="BG413" s="1"/>
      <c r="BT413" s="6"/>
      <c r="BU413" s="1"/>
      <c r="CH413" s="6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ht="13.5" customHeight="1">
      <c r="A414" s="1"/>
      <c r="P414" s="6"/>
      <c r="Q414" s="1"/>
      <c r="AD414" s="6"/>
      <c r="AE414" s="1"/>
      <c r="AR414" s="6"/>
      <c r="AS414" s="1"/>
      <c r="BF414" s="6"/>
      <c r="BG414" s="1"/>
      <c r="BT414" s="6"/>
      <c r="BU414" s="1"/>
      <c r="CH414" s="6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ht="13.5" customHeight="1">
      <c r="A415" s="1"/>
      <c r="P415" s="6"/>
      <c r="Q415" s="1"/>
      <c r="AD415" s="6"/>
      <c r="AE415" s="1"/>
      <c r="AR415" s="6"/>
      <c r="AS415" s="1"/>
      <c r="BF415" s="6"/>
      <c r="BG415" s="1"/>
      <c r="BT415" s="6"/>
      <c r="BU415" s="1"/>
      <c r="CH415" s="6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ht="13.5" customHeight="1">
      <c r="A416" s="1"/>
      <c r="P416" s="6"/>
      <c r="Q416" s="1"/>
      <c r="AD416" s="6"/>
      <c r="AE416" s="1"/>
      <c r="AR416" s="6"/>
      <c r="AS416" s="1"/>
      <c r="BF416" s="6"/>
      <c r="BG416" s="1"/>
      <c r="BT416" s="6"/>
      <c r="BU416" s="1"/>
      <c r="CH416" s="6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ht="13.5" customHeight="1">
      <c r="A417" s="1"/>
      <c r="P417" s="6"/>
      <c r="Q417" s="1"/>
      <c r="AD417" s="6"/>
      <c r="AE417" s="1"/>
      <c r="AR417" s="6"/>
      <c r="AS417" s="1"/>
      <c r="BF417" s="6"/>
      <c r="BG417" s="1"/>
      <c r="BT417" s="6"/>
      <c r="BU417" s="1"/>
      <c r="CH417" s="6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ht="13.5" customHeight="1">
      <c r="A418" s="1"/>
      <c r="P418" s="6"/>
      <c r="Q418" s="1"/>
      <c r="AD418" s="6"/>
      <c r="AE418" s="1"/>
      <c r="AR418" s="6"/>
      <c r="AS418" s="1"/>
      <c r="BF418" s="6"/>
      <c r="BG418" s="1"/>
      <c r="BT418" s="6"/>
      <c r="BU418" s="1"/>
      <c r="CH418" s="6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ht="13.5" customHeight="1">
      <c r="A419" s="1"/>
      <c r="P419" s="6"/>
      <c r="Q419" s="1"/>
      <c r="AD419" s="6"/>
      <c r="AE419" s="1"/>
      <c r="AR419" s="6"/>
      <c r="AS419" s="1"/>
      <c r="BF419" s="6"/>
      <c r="BG419" s="1"/>
      <c r="BT419" s="6"/>
      <c r="BU419" s="1"/>
      <c r="CH419" s="6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ht="13.5" customHeight="1">
      <c r="A420" s="1"/>
      <c r="P420" s="6"/>
      <c r="Q420" s="1"/>
      <c r="AD420" s="6"/>
      <c r="AE420" s="1"/>
      <c r="AR420" s="6"/>
      <c r="AS420" s="1"/>
      <c r="BF420" s="6"/>
      <c r="BG420" s="1"/>
      <c r="BT420" s="6"/>
      <c r="BU420" s="1"/>
      <c r="CH420" s="6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ht="13.5" customHeight="1">
      <c r="A421" s="1"/>
      <c r="P421" s="6"/>
      <c r="Q421" s="1"/>
      <c r="AD421" s="6"/>
      <c r="AE421" s="1"/>
      <c r="AR421" s="6"/>
      <c r="AS421" s="1"/>
      <c r="BF421" s="6"/>
      <c r="BG421" s="1"/>
      <c r="BT421" s="6"/>
      <c r="BU421" s="1"/>
      <c r="CH421" s="6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ht="13.5" customHeight="1">
      <c r="A422" s="1"/>
      <c r="P422" s="6"/>
      <c r="Q422" s="1"/>
      <c r="AD422" s="6"/>
      <c r="AE422" s="1"/>
      <c r="AR422" s="6"/>
      <c r="AS422" s="1"/>
      <c r="BF422" s="6"/>
      <c r="BG422" s="1"/>
      <c r="BT422" s="6"/>
      <c r="BU422" s="1"/>
      <c r="CH422" s="6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ht="13.5" customHeight="1">
      <c r="A423" s="1"/>
      <c r="P423" s="6"/>
      <c r="Q423" s="1"/>
      <c r="AD423" s="6"/>
      <c r="AE423" s="1"/>
      <c r="AR423" s="6"/>
      <c r="AS423" s="1"/>
      <c r="BF423" s="6"/>
      <c r="BG423" s="1"/>
      <c r="BT423" s="6"/>
      <c r="BU423" s="1"/>
      <c r="CH423" s="6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ht="13.5" customHeight="1">
      <c r="A424" s="1"/>
      <c r="P424" s="6"/>
      <c r="Q424" s="1"/>
      <c r="AD424" s="6"/>
      <c r="AE424" s="1"/>
      <c r="AR424" s="6"/>
      <c r="AS424" s="1"/>
      <c r="BF424" s="6"/>
      <c r="BG424" s="1"/>
      <c r="BT424" s="6"/>
      <c r="BU424" s="1"/>
      <c r="CH424" s="6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ht="13.5" customHeight="1">
      <c r="A425" s="1"/>
      <c r="P425" s="6"/>
      <c r="Q425" s="1"/>
      <c r="AD425" s="6"/>
      <c r="AE425" s="1"/>
      <c r="AR425" s="6"/>
      <c r="AS425" s="1"/>
      <c r="BF425" s="6"/>
      <c r="BG425" s="1"/>
      <c r="BT425" s="6"/>
      <c r="BU425" s="1"/>
      <c r="CH425" s="6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ht="13.5" customHeight="1">
      <c r="A426" s="1"/>
      <c r="P426" s="6"/>
      <c r="Q426" s="1"/>
      <c r="AD426" s="6"/>
      <c r="AE426" s="1"/>
      <c r="AR426" s="6"/>
      <c r="AS426" s="1"/>
      <c r="BF426" s="6"/>
      <c r="BG426" s="1"/>
      <c r="BT426" s="6"/>
      <c r="BU426" s="1"/>
      <c r="CH426" s="6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ht="13.5" customHeight="1">
      <c r="A427" s="1"/>
      <c r="P427" s="6"/>
      <c r="Q427" s="1"/>
      <c r="AD427" s="6"/>
      <c r="AE427" s="1"/>
      <c r="AR427" s="6"/>
      <c r="AS427" s="1"/>
      <c r="BF427" s="6"/>
      <c r="BG427" s="1"/>
      <c r="BT427" s="6"/>
      <c r="BU427" s="1"/>
      <c r="CH427" s="6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ht="13.5" customHeight="1">
      <c r="A428" s="1"/>
      <c r="P428" s="6"/>
      <c r="Q428" s="1"/>
      <c r="AD428" s="6"/>
      <c r="AE428" s="1"/>
      <c r="AR428" s="6"/>
      <c r="AS428" s="1"/>
      <c r="BF428" s="6"/>
      <c r="BG428" s="1"/>
      <c r="BT428" s="6"/>
      <c r="BU428" s="1"/>
      <c r="CH428" s="6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ht="13.5" customHeight="1">
      <c r="A429" s="1"/>
      <c r="P429" s="6"/>
      <c r="Q429" s="1"/>
      <c r="AD429" s="6"/>
      <c r="AE429" s="1"/>
      <c r="AR429" s="6"/>
      <c r="AS429" s="1"/>
      <c r="BF429" s="6"/>
      <c r="BG429" s="1"/>
      <c r="BT429" s="6"/>
      <c r="BU429" s="1"/>
      <c r="CH429" s="6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ht="13.5" customHeight="1">
      <c r="A430" s="1"/>
      <c r="P430" s="6"/>
      <c r="Q430" s="1"/>
      <c r="AD430" s="6"/>
      <c r="AE430" s="1"/>
      <c r="AR430" s="6"/>
      <c r="AS430" s="1"/>
      <c r="BF430" s="6"/>
      <c r="BG430" s="1"/>
      <c r="BT430" s="6"/>
      <c r="BU430" s="1"/>
      <c r="CH430" s="6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ht="13.5" customHeight="1">
      <c r="A431" s="1"/>
      <c r="P431" s="6"/>
      <c r="Q431" s="1"/>
      <c r="AD431" s="6"/>
      <c r="AE431" s="1"/>
      <c r="AR431" s="6"/>
      <c r="AS431" s="1"/>
      <c r="BF431" s="6"/>
      <c r="BG431" s="1"/>
      <c r="BT431" s="6"/>
      <c r="BU431" s="1"/>
      <c r="CH431" s="6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ht="13.5" customHeight="1">
      <c r="A432" s="1"/>
      <c r="P432" s="6"/>
      <c r="Q432" s="1"/>
      <c r="AD432" s="6"/>
      <c r="AE432" s="1"/>
      <c r="AR432" s="6"/>
      <c r="AS432" s="1"/>
      <c r="BF432" s="6"/>
      <c r="BG432" s="1"/>
      <c r="BT432" s="6"/>
      <c r="BU432" s="1"/>
      <c r="CH432" s="6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ht="13.5" customHeight="1">
      <c r="A433" s="1"/>
      <c r="P433" s="6"/>
      <c r="Q433" s="1"/>
      <c r="AD433" s="6"/>
      <c r="AE433" s="1"/>
      <c r="AR433" s="6"/>
      <c r="AS433" s="1"/>
      <c r="BF433" s="6"/>
      <c r="BG433" s="1"/>
      <c r="BT433" s="6"/>
      <c r="BU433" s="1"/>
      <c r="CH433" s="6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ht="13.5" customHeight="1">
      <c r="A434" s="1"/>
      <c r="P434" s="6"/>
      <c r="Q434" s="1"/>
      <c r="AD434" s="6"/>
      <c r="AE434" s="1"/>
      <c r="AR434" s="6"/>
      <c r="AS434" s="1"/>
      <c r="BF434" s="6"/>
      <c r="BG434" s="1"/>
      <c r="BT434" s="6"/>
      <c r="BU434" s="1"/>
      <c r="CH434" s="6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ht="13.5" customHeight="1">
      <c r="A435" s="1"/>
      <c r="P435" s="6"/>
      <c r="Q435" s="1"/>
      <c r="AD435" s="6"/>
      <c r="AE435" s="1"/>
      <c r="AR435" s="6"/>
      <c r="AS435" s="1"/>
      <c r="BF435" s="6"/>
      <c r="BG435" s="1"/>
      <c r="BT435" s="6"/>
      <c r="BU435" s="1"/>
      <c r="CH435" s="6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ht="13.5" customHeight="1">
      <c r="A436" s="1"/>
      <c r="P436" s="6"/>
      <c r="Q436" s="1"/>
      <c r="AD436" s="6"/>
      <c r="AE436" s="1"/>
      <c r="AR436" s="6"/>
      <c r="AS436" s="1"/>
      <c r="BF436" s="6"/>
      <c r="BG436" s="1"/>
      <c r="BT436" s="6"/>
      <c r="BU436" s="1"/>
      <c r="CH436" s="6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ht="13.5" customHeight="1">
      <c r="A437" s="1"/>
      <c r="P437" s="6"/>
      <c r="Q437" s="1"/>
      <c r="AD437" s="6"/>
      <c r="AE437" s="1"/>
      <c r="AR437" s="6"/>
      <c r="AS437" s="1"/>
      <c r="BF437" s="6"/>
      <c r="BG437" s="1"/>
      <c r="BT437" s="6"/>
      <c r="BU437" s="1"/>
      <c r="CH437" s="6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ht="13.5" customHeight="1">
      <c r="A438" s="1"/>
      <c r="P438" s="6"/>
      <c r="Q438" s="1"/>
      <c r="AD438" s="6"/>
      <c r="AE438" s="1"/>
      <c r="AR438" s="6"/>
      <c r="AS438" s="1"/>
      <c r="BF438" s="6"/>
      <c r="BG438" s="1"/>
      <c r="BT438" s="6"/>
      <c r="BU438" s="1"/>
      <c r="CH438" s="6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ht="13.5" customHeight="1">
      <c r="A439" s="1"/>
      <c r="P439" s="6"/>
      <c r="Q439" s="1"/>
      <c r="AD439" s="6"/>
      <c r="AE439" s="1"/>
      <c r="AR439" s="6"/>
      <c r="AS439" s="1"/>
      <c r="BF439" s="6"/>
      <c r="BG439" s="1"/>
      <c r="BT439" s="6"/>
      <c r="BU439" s="1"/>
      <c r="CH439" s="6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ht="13.5" customHeight="1">
      <c r="A440" s="1"/>
      <c r="P440" s="6"/>
      <c r="Q440" s="1"/>
      <c r="AD440" s="6"/>
      <c r="AE440" s="1"/>
      <c r="AR440" s="6"/>
      <c r="AS440" s="1"/>
      <c r="BF440" s="6"/>
      <c r="BG440" s="1"/>
      <c r="BT440" s="6"/>
      <c r="BU440" s="1"/>
      <c r="CH440" s="6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ht="13.5" customHeight="1">
      <c r="A441" s="1"/>
      <c r="P441" s="6"/>
      <c r="Q441" s="1"/>
      <c r="AD441" s="6"/>
      <c r="AE441" s="1"/>
      <c r="AR441" s="6"/>
      <c r="AS441" s="1"/>
      <c r="BF441" s="6"/>
      <c r="BG441" s="1"/>
      <c r="BT441" s="6"/>
      <c r="BU441" s="1"/>
      <c r="CH441" s="6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ht="13.5" customHeight="1">
      <c r="A442" s="1"/>
      <c r="P442" s="6"/>
      <c r="Q442" s="1"/>
      <c r="AD442" s="6"/>
      <c r="AE442" s="1"/>
      <c r="AR442" s="6"/>
      <c r="AS442" s="1"/>
      <c r="BF442" s="6"/>
      <c r="BG442" s="1"/>
      <c r="BT442" s="6"/>
      <c r="BU442" s="1"/>
      <c r="CH442" s="6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ht="13.5" customHeight="1">
      <c r="A443" s="1"/>
      <c r="P443" s="6"/>
      <c r="Q443" s="1"/>
      <c r="AD443" s="6"/>
      <c r="AE443" s="1"/>
      <c r="AR443" s="6"/>
      <c r="AS443" s="1"/>
      <c r="BF443" s="6"/>
      <c r="BG443" s="1"/>
      <c r="BT443" s="6"/>
      <c r="BU443" s="1"/>
      <c r="CH443" s="6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ht="13.5" customHeight="1">
      <c r="A444" s="1"/>
      <c r="P444" s="6"/>
      <c r="Q444" s="1"/>
      <c r="AD444" s="6"/>
      <c r="AE444" s="1"/>
      <c r="AR444" s="6"/>
      <c r="AS444" s="1"/>
      <c r="BF444" s="6"/>
      <c r="BG444" s="1"/>
      <c r="BT444" s="6"/>
      <c r="BU444" s="1"/>
      <c r="CH444" s="6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ht="13.5" customHeight="1">
      <c r="A445" s="1"/>
      <c r="P445" s="6"/>
      <c r="Q445" s="1"/>
      <c r="AD445" s="6"/>
      <c r="AE445" s="1"/>
      <c r="AR445" s="6"/>
      <c r="AS445" s="1"/>
      <c r="BF445" s="6"/>
      <c r="BG445" s="1"/>
      <c r="BT445" s="6"/>
      <c r="BU445" s="1"/>
      <c r="CH445" s="6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ht="13.5" customHeight="1">
      <c r="A446" s="1"/>
      <c r="P446" s="6"/>
      <c r="Q446" s="1"/>
      <c r="AD446" s="6"/>
      <c r="AE446" s="1"/>
      <c r="AR446" s="6"/>
      <c r="AS446" s="1"/>
      <c r="BF446" s="6"/>
      <c r="BG446" s="1"/>
      <c r="BT446" s="6"/>
      <c r="BU446" s="1"/>
      <c r="CH446" s="6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ht="13.5" customHeight="1">
      <c r="A447" s="1"/>
      <c r="P447" s="6"/>
      <c r="Q447" s="1"/>
      <c r="AD447" s="6"/>
      <c r="AE447" s="1"/>
      <c r="AR447" s="6"/>
      <c r="AS447" s="1"/>
      <c r="BF447" s="6"/>
      <c r="BG447" s="1"/>
      <c r="BT447" s="6"/>
      <c r="BU447" s="1"/>
      <c r="CH447" s="6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ht="13.5" customHeight="1">
      <c r="A448" s="1"/>
      <c r="P448" s="6"/>
      <c r="Q448" s="1"/>
      <c r="AD448" s="6"/>
      <c r="AE448" s="1"/>
      <c r="AR448" s="6"/>
      <c r="AS448" s="1"/>
      <c r="BF448" s="6"/>
      <c r="BG448" s="1"/>
      <c r="BT448" s="6"/>
      <c r="BU448" s="1"/>
      <c r="CH448" s="6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ht="13.5" customHeight="1">
      <c r="A449" s="1"/>
      <c r="P449" s="6"/>
      <c r="Q449" s="1"/>
      <c r="AD449" s="6"/>
      <c r="AE449" s="1"/>
      <c r="AR449" s="6"/>
      <c r="AS449" s="1"/>
      <c r="BF449" s="6"/>
      <c r="BG449" s="1"/>
      <c r="BT449" s="6"/>
      <c r="BU449" s="1"/>
      <c r="CH449" s="6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ht="13.5" customHeight="1">
      <c r="A450" s="1"/>
      <c r="P450" s="6"/>
      <c r="Q450" s="1"/>
      <c r="AD450" s="6"/>
      <c r="AE450" s="1"/>
      <c r="AR450" s="6"/>
      <c r="AS450" s="1"/>
      <c r="BF450" s="6"/>
      <c r="BG450" s="1"/>
      <c r="BT450" s="6"/>
      <c r="BU450" s="1"/>
      <c r="CH450" s="6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ht="13.5" customHeight="1">
      <c r="A451" s="1"/>
      <c r="P451" s="6"/>
      <c r="Q451" s="1"/>
      <c r="AD451" s="6"/>
      <c r="AE451" s="1"/>
      <c r="AR451" s="6"/>
      <c r="AS451" s="1"/>
      <c r="BF451" s="6"/>
      <c r="BG451" s="1"/>
      <c r="BT451" s="6"/>
      <c r="BU451" s="1"/>
      <c r="CH451" s="6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ht="13.5" customHeight="1">
      <c r="A452" s="1"/>
      <c r="P452" s="6"/>
      <c r="Q452" s="1"/>
      <c r="AD452" s="6"/>
      <c r="AE452" s="1"/>
      <c r="AR452" s="6"/>
      <c r="AS452" s="1"/>
      <c r="BF452" s="6"/>
      <c r="BG452" s="1"/>
      <c r="BT452" s="6"/>
      <c r="BU452" s="1"/>
      <c r="CH452" s="6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ht="13.5" customHeight="1">
      <c r="A453" s="1"/>
      <c r="P453" s="6"/>
      <c r="Q453" s="1"/>
      <c r="AD453" s="6"/>
      <c r="AE453" s="1"/>
      <c r="AR453" s="6"/>
      <c r="AS453" s="1"/>
      <c r="BF453" s="6"/>
      <c r="BG453" s="1"/>
      <c r="BT453" s="6"/>
      <c r="BU453" s="1"/>
      <c r="CH453" s="6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ht="13.5" customHeight="1">
      <c r="A454" s="1"/>
      <c r="P454" s="6"/>
      <c r="Q454" s="1"/>
      <c r="AD454" s="6"/>
      <c r="AE454" s="1"/>
      <c r="AR454" s="6"/>
      <c r="AS454" s="1"/>
      <c r="BF454" s="6"/>
      <c r="BG454" s="1"/>
      <c r="BT454" s="6"/>
      <c r="BU454" s="1"/>
      <c r="CH454" s="6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ht="13.5" customHeight="1">
      <c r="A455" s="1"/>
      <c r="P455" s="6"/>
      <c r="Q455" s="1"/>
      <c r="AD455" s="6"/>
      <c r="AE455" s="1"/>
      <c r="AR455" s="6"/>
      <c r="AS455" s="1"/>
      <c r="BF455" s="6"/>
      <c r="BG455" s="1"/>
      <c r="BT455" s="6"/>
      <c r="BU455" s="1"/>
      <c r="CH455" s="6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ht="13.5" customHeight="1">
      <c r="A456" s="1"/>
      <c r="P456" s="6"/>
      <c r="Q456" s="1"/>
      <c r="AD456" s="6"/>
      <c r="AE456" s="1"/>
      <c r="AR456" s="6"/>
      <c r="AS456" s="1"/>
      <c r="BF456" s="6"/>
      <c r="BG456" s="1"/>
      <c r="BT456" s="6"/>
      <c r="BU456" s="1"/>
      <c r="CH456" s="6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ht="13.5" customHeight="1">
      <c r="A457" s="1"/>
      <c r="P457" s="6"/>
      <c r="Q457" s="1"/>
      <c r="AD457" s="6"/>
      <c r="AE457" s="1"/>
      <c r="AR457" s="6"/>
      <c r="AS457" s="1"/>
      <c r="BF457" s="6"/>
      <c r="BG457" s="1"/>
      <c r="BT457" s="6"/>
      <c r="BU457" s="1"/>
      <c r="CH457" s="6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ht="13.5" customHeight="1">
      <c r="A458" s="1"/>
      <c r="P458" s="6"/>
      <c r="Q458" s="1"/>
      <c r="AD458" s="6"/>
      <c r="AE458" s="1"/>
      <c r="AR458" s="6"/>
      <c r="AS458" s="1"/>
      <c r="BF458" s="6"/>
      <c r="BG458" s="1"/>
      <c r="BT458" s="6"/>
      <c r="BU458" s="1"/>
      <c r="CH458" s="6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ht="13.5" customHeight="1">
      <c r="A459" s="1"/>
      <c r="P459" s="6"/>
      <c r="Q459" s="1"/>
      <c r="AD459" s="6"/>
      <c r="AE459" s="1"/>
      <c r="AR459" s="6"/>
      <c r="AS459" s="1"/>
      <c r="BF459" s="6"/>
      <c r="BG459" s="1"/>
      <c r="BT459" s="6"/>
      <c r="BU459" s="1"/>
      <c r="CH459" s="6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ht="13.5" customHeight="1">
      <c r="A460" s="1"/>
      <c r="P460" s="6"/>
      <c r="Q460" s="1"/>
      <c r="AD460" s="6"/>
      <c r="AE460" s="1"/>
      <c r="AR460" s="6"/>
      <c r="AS460" s="1"/>
      <c r="BF460" s="6"/>
      <c r="BG460" s="1"/>
      <c r="BT460" s="6"/>
      <c r="BU460" s="1"/>
      <c r="CH460" s="6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ht="13.5" customHeight="1">
      <c r="A461" s="1"/>
      <c r="P461" s="6"/>
      <c r="Q461" s="1"/>
      <c r="AD461" s="6"/>
      <c r="AE461" s="1"/>
      <c r="AR461" s="6"/>
      <c r="AS461" s="1"/>
      <c r="BF461" s="6"/>
      <c r="BG461" s="1"/>
      <c r="BT461" s="6"/>
      <c r="BU461" s="1"/>
      <c r="CH461" s="6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ht="13.5" customHeight="1">
      <c r="A462" s="1"/>
      <c r="P462" s="6"/>
      <c r="Q462" s="1"/>
      <c r="AD462" s="6"/>
      <c r="AE462" s="1"/>
      <c r="AR462" s="6"/>
      <c r="AS462" s="1"/>
      <c r="BF462" s="6"/>
      <c r="BG462" s="1"/>
      <c r="BT462" s="6"/>
      <c r="BU462" s="1"/>
      <c r="CH462" s="6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ht="13.5" customHeight="1">
      <c r="A463" s="1"/>
      <c r="P463" s="6"/>
      <c r="Q463" s="1"/>
      <c r="AD463" s="6"/>
      <c r="AE463" s="1"/>
      <c r="AR463" s="6"/>
      <c r="AS463" s="1"/>
      <c r="BF463" s="6"/>
      <c r="BG463" s="1"/>
      <c r="BT463" s="6"/>
      <c r="BU463" s="1"/>
      <c r="CH463" s="6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ht="13.5" customHeight="1">
      <c r="A464" s="1"/>
      <c r="P464" s="6"/>
      <c r="Q464" s="1"/>
      <c r="AD464" s="6"/>
      <c r="AE464" s="1"/>
      <c r="AR464" s="6"/>
      <c r="AS464" s="1"/>
      <c r="BF464" s="6"/>
      <c r="BG464" s="1"/>
      <c r="BT464" s="6"/>
      <c r="BU464" s="1"/>
      <c r="CH464" s="6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ht="13.5" customHeight="1">
      <c r="A465" s="1"/>
      <c r="P465" s="6"/>
      <c r="Q465" s="1"/>
      <c r="AD465" s="6"/>
      <c r="AE465" s="1"/>
      <c r="AR465" s="6"/>
      <c r="AS465" s="1"/>
      <c r="BF465" s="6"/>
      <c r="BG465" s="1"/>
      <c r="BT465" s="6"/>
      <c r="BU465" s="1"/>
      <c r="CH465" s="6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ht="13.5" customHeight="1">
      <c r="A466" s="1"/>
      <c r="P466" s="6"/>
      <c r="Q466" s="1"/>
      <c r="AD466" s="6"/>
      <c r="AE466" s="1"/>
      <c r="AR466" s="6"/>
      <c r="AS466" s="1"/>
      <c r="BF466" s="6"/>
      <c r="BG466" s="1"/>
      <c r="BT466" s="6"/>
      <c r="BU466" s="1"/>
      <c r="CH466" s="6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ht="13.5" customHeight="1">
      <c r="A467" s="1"/>
      <c r="P467" s="6"/>
      <c r="Q467" s="1"/>
      <c r="AD467" s="6"/>
      <c r="AE467" s="1"/>
      <c r="AR467" s="6"/>
      <c r="AS467" s="1"/>
      <c r="BF467" s="6"/>
      <c r="BG467" s="1"/>
      <c r="BT467" s="6"/>
      <c r="BU467" s="1"/>
      <c r="CH467" s="6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ht="13.5" customHeight="1">
      <c r="A468" s="1"/>
      <c r="P468" s="6"/>
      <c r="Q468" s="1"/>
      <c r="AD468" s="6"/>
      <c r="AE468" s="1"/>
      <c r="AR468" s="6"/>
      <c r="AS468" s="1"/>
      <c r="BF468" s="6"/>
      <c r="BG468" s="1"/>
      <c r="BT468" s="6"/>
      <c r="BU468" s="1"/>
      <c r="CH468" s="6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ht="13.5" customHeight="1">
      <c r="A469" s="1"/>
      <c r="P469" s="6"/>
      <c r="Q469" s="1"/>
      <c r="AD469" s="6"/>
      <c r="AE469" s="1"/>
      <c r="AR469" s="6"/>
      <c r="AS469" s="1"/>
      <c r="BF469" s="6"/>
      <c r="BG469" s="1"/>
      <c r="BT469" s="6"/>
      <c r="BU469" s="1"/>
      <c r="CH469" s="6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ht="13.5" customHeight="1">
      <c r="A470" s="1"/>
      <c r="P470" s="6"/>
      <c r="Q470" s="1"/>
      <c r="AD470" s="6"/>
      <c r="AE470" s="1"/>
      <c r="AR470" s="6"/>
      <c r="AS470" s="1"/>
      <c r="BF470" s="6"/>
      <c r="BG470" s="1"/>
      <c r="BT470" s="6"/>
      <c r="BU470" s="1"/>
      <c r="CH470" s="6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ht="13.5" customHeight="1">
      <c r="A471" s="1"/>
      <c r="P471" s="6"/>
      <c r="Q471" s="1"/>
      <c r="AD471" s="6"/>
      <c r="AE471" s="1"/>
      <c r="AR471" s="6"/>
      <c r="AS471" s="1"/>
      <c r="BF471" s="6"/>
      <c r="BG471" s="1"/>
      <c r="BT471" s="6"/>
      <c r="BU471" s="1"/>
      <c r="CH471" s="6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ht="13.5" customHeight="1">
      <c r="A472" s="1"/>
      <c r="P472" s="6"/>
      <c r="Q472" s="1"/>
      <c r="AD472" s="6"/>
      <c r="AE472" s="1"/>
      <c r="AR472" s="6"/>
      <c r="AS472" s="1"/>
      <c r="BF472" s="6"/>
      <c r="BG472" s="1"/>
      <c r="BT472" s="6"/>
      <c r="BU472" s="1"/>
      <c r="CH472" s="6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ht="13.5" customHeight="1">
      <c r="A473" s="1"/>
      <c r="P473" s="6"/>
      <c r="Q473" s="1"/>
      <c r="AD473" s="6"/>
      <c r="AE473" s="1"/>
      <c r="AR473" s="6"/>
      <c r="AS473" s="1"/>
      <c r="BF473" s="6"/>
      <c r="BG473" s="1"/>
      <c r="BT473" s="6"/>
      <c r="BU473" s="1"/>
      <c r="CH473" s="6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ht="13.5" customHeight="1">
      <c r="A474" s="1"/>
      <c r="P474" s="6"/>
      <c r="Q474" s="1"/>
      <c r="AD474" s="6"/>
      <c r="AE474" s="1"/>
      <c r="AR474" s="6"/>
      <c r="AS474" s="1"/>
      <c r="BF474" s="6"/>
      <c r="BG474" s="1"/>
      <c r="BT474" s="6"/>
      <c r="BU474" s="1"/>
      <c r="CH474" s="6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ht="13.5" customHeight="1">
      <c r="A475" s="1"/>
      <c r="P475" s="6"/>
      <c r="Q475" s="1"/>
      <c r="AD475" s="6"/>
      <c r="AE475" s="1"/>
      <c r="AR475" s="6"/>
      <c r="AS475" s="1"/>
      <c r="BF475" s="6"/>
      <c r="BG475" s="1"/>
      <c r="BT475" s="6"/>
      <c r="BU475" s="1"/>
      <c r="CH475" s="6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ht="13.5" customHeight="1">
      <c r="A476" s="1"/>
      <c r="P476" s="6"/>
      <c r="Q476" s="1"/>
      <c r="AD476" s="6"/>
      <c r="AE476" s="1"/>
      <c r="AR476" s="6"/>
      <c r="AS476" s="1"/>
      <c r="BF476" s="6"/>
      <c r="BG476" s="1"/>
      <c r="BT476" s="6"/>
      <c r="BU476" s="1"/>
      <c r="CH476" s="6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ht="13.5" customHeight="1">
      <c r="A477" s="1"/>
      <c r="P477" s="6"/>
      <c r="Q477" s="1"/>
      <c r="AD477" s="6"/>
      <c r="AE477" s="1"/>
      <c r="AR477" s="6"/>
      <c r="AS477" s="1"/>
      <c r="BF477" s="6"/>
      <c r="BG477" s="1"/>
      <c r="BT477" s="6"/>
      <c r="BU477" s="1"/>
      <c r="CH477" s="6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ht="13.5" customHeight="1">
      <c r="A478" s="1"/>
      <c r="P478" s="6"/>
      <c r="Q478" s="1"/>
      <c r="AD478" s="6"/>
      <c r="AE478" s="1"/>
      <c r="AR478" s="6"/>
      <c r="AS478" s="1"/>
      <c r="BF478" s="6"/>
      <c r="BG478" s="1"/>
      <c r="BT478" s="6"/>
      <c r="BU478" s="1"/>
      <c r="CH478" s="6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ht="13.5" customHeight="1">
      <c r="A479" s="1"/>
      <c r="P479" s="6"/>
      <c r="Q479" s="1"/>
      <c r="AD479" s="6"/>
      <c r="AE479" s="1"/>
      <c r="AR479" s="6"/>
      <c r="AS479" s="1"/>
      <c r="BF479" s="6"/>
      <c r="BG479" s="1"/>
      <c r="BT479" s="6"/>
      <c r="BU479" s="1"/>
      <c r="CH479" s="6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ht="13.5" customHeight="1">
      <c r="A480" s="1"/>
      <c r="P480" s="6"/>
      <c r="Q480" s="1"/>
      <c r="AD480" s="6"/>
      <c r="AE480" s="1"/>
      <c r="AR480" s="6"/>
      <c r="AS480" s="1"/>
      <c r="BF480" s="6"/>
      <c r="BG480" s="1"/>
      <c r="BT480" s="6"/>
      <c r="BU480" s="1"/>
      <c r="CH480" s="6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ht="13.5" customHeight="1">
      <c r="A481" s="1"/>
      <c r="P481" s="6"/>
      <c r="Q481" s="1"/>
      <c r="AD481" s="6"/>
      <c r="AE481" s="1"/>
      <c r="AR481" s="6"/>
      <c r="AS481" s="1"/>
      <c r="BF481" s="6"/>
      <c r="BG481" s="1"/>
      <c r="BT481" s="6"/>
      <c r="BU481" s="1"/>
      <c r="CH481" s="6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ht="13.5" customHeight="1">
      <c r="A482" s="1"/>
      <c r="P482" s="6"/>
      <c r="Q482" s="1"/>
      <c r="AD482" s="6"/>
      <c r="AE482" s="1"/>
      <c r="AR482" s="6"/>
      <c r="AS482" s="1"/>
      <c r="BF482" s="6"/>
      <c r="BG482" s="1"/>
      <c r="BT482" s="6"/>
      <c r="BU482" s="1"/>
      <c r="CH482" s="6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ht="13.5" customHeight="1">
      <c r="A483" s="1"/>
      <c r="P483" s="6"/>
      <c r="Q483" s="1"/>
      <c r="AD483" s="6"/>
      <c r="AE483" s="1"/>
      <c r="AR483" s="6"/>
      <c r="AS483" s="1"/>
      <c r="BF483" s="6"/>
      <c r="BG483" s="1"/>
      <c r="BT483" s="6"/>
      <c r="BU483" s="1"/>
      <c r="CH483" s="6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ht="13.5" customHeight="1">
      <c r="A484" s="1"/>
      <c r="P484" s="6"/>
      <c r="Q484" s="1"/>
      <c r="AD484" s="6"/>
      <c r="AE484" s="1"/>
      <c r="AR484" s="6"/>
      <c r="AS484" s="1"/>
      <c r="BF484" s="6"/>
      <c r="BG484" s="1"/>
      <c r="BT484" s="6"/>
      <c r="BU484" s="1"/>
      <c r="CH484" s="6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ht="13.5" customHeight="1">
      <c r="A485" s="1"/>
      <c r="P485" s="6"/>
      <c r="Q485" s="1"/>
      <c r="AD485" s="6"/>
      <c r="AE485" s="1"/>
      <c r="AR485" s="6"/>
      <c r="AS485" s="1"/>
      <c r="BF485" s="6"/>
      <c r="BG485" s="1"/>
      <c r="BT485" s="6"/>
      <c r="BU485" s="1"/>
      <c r="CH485" s="6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ht="13.5" customHeight="1">
      <c r="A486" s="1"/>
      <c r="P486" s="6"/>
      <c r="Q486" s="1"/>
      <c r="AD486" s="6"/>
      <c r="AE486" s="1"/>
      <c r="AR486" s="6"/>
      <c r="AS486" s="1"/>
      <c r="BF486" s="6"/>
      <c r="BG486" s="1"/>
      <c r="BT486" s="6"/>
      <c r="BU486" s="1"/>
      <c r="CH486" s="6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ht="13.5" customHeight="1">
      <c r="A487" s="1"/>
      <c r="P487" s="6"/>
      <c r="Q487" s="1"/>
      <c r="AD487" s="6"/>
      <c r="AE487" s="1"/>
      <c r="AR487" s="6"/>
      <c r="AS487" s="1"/>
      <c r="BF487" s="6"/>
      <c r="BG487" s="1"/>
      <c r="BT487" s="6"/>
      <c r="BU487" s="1"/>
      <c r="CH487" s="6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ht="13.5" customHeight="1">
      <c r="A488" s="1"/>
      <c r="P488" s="6"/>
      <c r="Q488" s="1"/>
      <c r="AD488" s="6"/>
      <c r="AE488" s="1"/>
      <c r="AR488" s="6"/>
      <c r="AS488" s="1"/>
      <c r="BF488" s="6"/>
      <c r="BG488" s="1"/>
      <c r="BT488" s="6"/>
      <c r="BU488" s="1"/>
      <c r="CH488" s="6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ht="13.5" customHeight="1">
      <c r="A489" s="1"/>
      <c r="P489" s="6"/>
      <c r="Q489" s="1"/>
      <c r="AD489" s="6"/>
      <c r="AE489" s="1"/>
      <c r="AR489" s="6"/>
      <c r="AS489" s="1"/>
      <c r="BF489" s="6"/>
      <c r="BG489" s="1"/>
      <c r="BT489" s="6"/>
      <c r="BU489" s="1"/>
      <c r="CH489" s="6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ht="13.5" customHeight="1">
      <c r="A490" s="1"/>
      <c r="P490" s="6"/>
      <c r="Q490" s="1"/>
      <c r="AD490" s="6"/>
      <c r="AE490" s="1"/>
      <c r="AR490" s="6"/>
      <c r="AS490" s="1"/>
      <c r="BF490" s="6"/>
      <c r="BG490" s="1"/>
      <c r="BT490" s="6"/>
      <c r="BU490" s="1"/>
      <c r="CH490" s="6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ht="13.5" customHeight="1">
      <c r="A491" s="1"/>
      <c r="P491" s="6"/>
      <c r="Q491" s="1"/>
      <c r="AD491" s="6"/>
      <c r="AE491" s="1"/>
      <c r="AR491" s="6"/>
      <c r="AS491" s="1"/>
      <c r="BF491" s="6"/>
      <c r="BG491" s="1"/>
      <c r="BT491" s="6"/>
      <c r="BU491" s="1"/>
      <c r="CH491" s="6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ht="13.5" customHeight="1">
      <c r="A492" s="1"/>
      <c r="P492" s="6"/>
      <c r="Q492" s="1"/>
      <c r="AD492" s="6"/>
      <c r="AE492" s="1"/>
      <c r="AR492" s="6"/>
      <c r="AS492" s="1"/>
      <c r="BF492" s="6"/>
      <c r="BG492" s="1"/>
      <c r="BT492" s="6"/>
      <c r="BU492" s="1"/>
      <c r="CH492" s="6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ht="13.5" customHeight="1">
      <c r="A493" s="1"/>
      <c r="P493" s="6"/>
      <c r="Q493" s="1"/>
      <c r="AD493" s="6"/>
      <c r="AE493" s="1"/>
      <c r="AR493" s="6"/>
      <c r="AS493" s="1"/>
      <c r="BF493" s="6"/>
      <c r="BG493" s="1"/>
      <c r="BT493" s="6"/>
      <c r="BU493" s="1"/>
      <c r="CH493" s="6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ht="13.5" customHeight="1">
      <c r="A494" s="1"/>
      <c r="P494" s="6"/>
      <c r="Q494" s="1"/>
      <c r="AD494" s="6"/>
      <c r="AE494" s="1"/>
      <c r="AR494" s="6"/>
      <c r="AS494" s="1"/>
      <c r="BF494" s="6"/>
      <c r="BG494" s="1"/>
      <c r="BT494" s="6"/>
      <c r="BU494" s="1"/>
      <c r="CH494" s="6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ht="13.5" customHeight="1">
      <c r="A495" s="1"/>
      <c r="P495" s="6"/>
      <c r="Q495" s="1"/>
      <c r="AD495" s="6"/>
      <c r="AE495" s="1"/>
      <c r="AR495" s="6"/>
      <c r="AS495" s="1"/>
      <c r="BF495" s="6"/>
      <c r="BG495" s="1"/>
      <c r="BT495" s="6"/>
      <c r="BU495" s="1"/>
      <c r="CH495" s="6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ht="13.5" customHeight="1">
      <c r="A496" s="1"/>
      <c r="P496" s="6"/>
      <c r="Q496" s="1"/>
      <c r="AD496" s="6"/>
      <c r="AE496" s="1"/>
      <c r="AR496" s="6"/>
      <c r="AS496" s="1"/>
      <c r="BF496" s="6"/>
      <c r="BG496" s="1"/>
      <c r="BT496" s="6"/>
      <c r="BU496" s="1"/>
      <c r="CH496" s="6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ht="13.5" customHeight="1">
      <c r="A497" s="1"/>
      <c r="P497" s="6"/>
      <c r="Q497" s="1"/>
      <c r="AD497" s="6"/>
      <c r="AE497" s="1"/>
      <c r="AR497" s="6"/>
      <c r="AS497" s="1"/>
      <c r="BF497" s="6"/>
      <c r="BG497" s="1"/>
      <c r="BT497" s="6"/>
      <c r="BU497" s="1"/>
      <c r="CH497" s="6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ht="13.5" customHeight="1">
      <c r="A498" s="1"/>
      <c r="P498" s="6"/>
      <c r="Q498" s="1"/>
      <c r="AD498" s="6"/>
      <c r="AE498" s="1"/>
      <c r="AR498" s="6"/>
      <c r="AS498" s="1"/>
      <c r="BF498" s="6"/>
      <c r="BG498" s="1"/>
      <c r="BT498" s="6"/>
      <c r="BU498" s="1"/>
      <c r="CH498" s="6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ht="13.5" customHeight="1">
      <c r="A499" s="1"/>
      <c r="P499" s="6"/>
      <c r="Q499" s="1"/>
      <c r="AD499" s="6"/>
      <c r="AE499" s="1"/>
      <c r="AR499" s="6"/>
      <c r="AS499" s="1"/>
      <c r="BF499" s="6"/>
      <c r="BG499" s="1"/>
      <c r="BT499" s="6"/>
      <c r="BU499" s="1"/>
      <c r="CH499" s="6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ht="13.5" customHeight="1">
      <c r="A500" s="1"/>
      <c r="P500" s="6"/>
      <c r="Q500" s="1"/>
      <c r="AD500" s="6"/>
      <c r="AE500" s="1"/>
      <c r="AR500" s="6"/>
      <c r="AS500" s="1"/>
      <c r="BF500" s="6"/>
      <c r="BG500" s="1"/>
      <c r="BT500" s="6"/>
      <c r="BU500" s="1"/>
      <c r="CH500" s="6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ht="13.5" customHeight="1">
      <c r="A501" s="1"/>
      <c r="P501" s="6"/>
      <c r="Q501" s="1"/>
      <c r="AD501" s="6"/>
      <c r="AE501" s="1"/>
      <c r="AR501" s="6"/>
      <c r="AS501" s="1"/>
      <c r="BF501" s="6"/>
      <c r="BG501" s="1"/>
      <c r="BT501" s="6"/>
      <c r="BU501" s="1"/>
      <c r="CH501" s="6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ht="13.5" customHeight="1">
      <c r="A502" s="1"/>
      <c r="P502" s="6"/>
      <c r="Q502" s="1"/>
      <c r="AD502" s="6"/>
      <c r="AE502" s="1"/>
      <c r="AR502" s="6"/>
      <c r="AS502" s="1"/>
      <c r="BF502" s="6"/>
      <c r="BG502" s="1"/>
      <c r="BT502" s="6"/>
      <c r="BU502" s="1"/>
      <c r="CH502" s="6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ht="13.5" customHeight="1">
      <c r="A503" s="1"/>
      <c r="P503" s="6"/>
      <c r="Q503" s="1"/>
      <c r="AD503" s="6"/>
      <c r="AE503" s="1"/>
      <c r="AR503" s="6"/>
      <c r="AS503" s="1"/>
      <c r="BF503" s="6"/>
      <c r="BG503" s="1"/>
      <c r="BT503" s="6"/>
      <c r="BU503" s="1"/>
      <c r="CH503" s="6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ht="13.5" customHeight="1">
      <c r="A504" s="1"/>
      <c r="P504" s="6"/>
      <c r="Q504" s="1"/>
      <c r="AD504" s="6"/>
      <c r="AE504" s="1"/>
      <c r="AR504" s="6"/>
      <c r="AS504" s="1"/>
      <c r="BF504" s="6"/>
      <c r="BG504" s="1"/>
      <c r="BT504" s="6"/>
      <c r="BU504" s="1"/>
      <c r="CH504" s="6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ht="13.5" customHeight="1">
      <c r="A505" s="1"/>
      <c r="P505" s="6"/>
      <c r="Q505" s="1"/>
      <c r="AD505" s="6"/>
      <c r="AE505" s="1"/>
      <c r="AR505" s="6"/>
      <c r="AS505" s="1"/>
      <c r="BF505" s="6"/>
      <c r="BG505" s="1"/>
      <c r="BT505" s="6"/>
      <c r="BU505" s="1"/>
      <c r="CH505" s="6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ht="13.5" customHeight="1">
      <c r="A506" s="1"/>
      <c r="P506" s="6"/>
      <c r="Q506" s="1"/>
      <c r="AD506" s="6"/>
      <c r="AE506" s="1"/>
      <c r="AR506" s="6"/>
      <c r="AS506" s="1"/>
      <c r="BF506" s="6"/>
      <c r="BG506" s="1"/>
      <c r="BT506" s="6"/>
      <c r="BU506" s="1"/>
      <c r="CH506" s="6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ht="13.5" customHeight="1">
      <c r="A507" s="1"/>
      <c r="P507" s="6"/>
      <c r="Q507" s="1"/>
      <c r="AD507" s="6"/>
      <c r="AE507" s="1"/>
      <c r="AR507" s="6"/>
      <c r="AS507" s="1"/>
      <c r="BF507" s="6"/>
      <c r="BG507" s="1"/>
      <c r="BT507" s="6"/>
      <c r="BU507" s="1"/>
      <c r="CH507" s="6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ht="13.5" customHeight="1">
      <c r="A508" s="1"/>
      <c r="P508" s="6"/>
      <c r="Q508" s="1"/>
      <c r="AD508" s="6"/>
      <c r="AE508" s="1"/>
      <c r="AR508" s="6"/>
      <c r="AS508" s="1"/>
      <c r="BF508" s="6"/>
      <c r="BG508" s="1"/>
      <c r="BT508" s="6"/>
      <c r="BU508" s="1"/>
      <c r="CH508" s="6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ht="13.5" customHeight="1">
      <c r="A509" s="1"/>
      <c r="P509" s="6"/>
      <c r="Q509" s="1"/>
      <c r="AD509" s="6"/>
      <c r="AE509" s="1"/>
      <c r="AR509" s="6"/>
      <c r="AS509" s="1"/>
      <c r="BF509" s="6"/>
      <c r="BG509" s="1"/>
      <c r="BT509" s="6"/>
      <c r="BU509" s="1"/>
      <c r="CH509" s="6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ht="13.5" customHeight="1">
      <c r="A510" s="1"/>
      <c r="P510" s="6"/>
      <c r="Q510" s="1"/>
      <c r="AD510" s="6"/>
      <c r="AE510" s="1"/>
      <c r="AR510" s="6"/>
      <c r="AS510" s="1"/>
      <c r="BF510" s="6"/>
      <c r="BG510" s="1"/>
      <c r="BT510" s="6"/>
      <c r="BU510" s="1"/>
      <c r="CH510" s="6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ht="13.5" customHeight="1">
      <c r="A511" s="1"/>
      <c r="P511" s="6"/>
      <c r="Q511" s="1"/>
      <c r="AD511" s="6"/>
      <c r="AE511" s="1"/>
      <c r="AR511" s="6"/>
      <c r="AS511" s="1"/>
      <c r="BF511" s="6"/>
      <c r="BG511" s="1"/>
      <c r="BT511" s="6"/>
      <c r="BU511" s="1"/>
      <c r="CH511" s="6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ht="13.5" customHeight="1">
      <c r="A512" s="1"/>
      <c r="P512" s="6"/>
      <c r="Q512" s="1"/>
      <c r="AD512" s="6"/>
      <c r="AE512" s="1"/>
      <c r="AR512" s="6"/>
      <c r="AS512" s="1"/>
      <c r="BF512" s="6"/>
      <c r="BG512" s="1"/>
      <c r="BT512" s="6"/>
      <c r="BU512" s="1"/>
      <c r="CH512" s="6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ht="13.5" customHeight="1">
      <c r="A513" s="1"/>
      <c r="P513" s="6"/>
      <c r="Q513" s="1"/>
      <c r="AD513" s="6"/>
      <c r="AE513" s="1"/>
      <c r="AR513" s="6"/>
      <c r="AS513" s="1"/>
      <c r="BF513" s="6"/>
      <c r="BG513" s="1"/>
      <c r="BT513" s="6"/>
      <c r="BU513" s="1"/>
      <c r="CH513" s="6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ht="13.5" customHeight="1">
      <c r="A514" s="1"/>
      <c r="P514" s="6"/>
      <c r="Q514" s="1"/>
      <c r="AD514" s="6"/>
      <c r="AE514" s="1"/>
      <c r="AR514" s="6"/>
      <c r="AS514" s="1"/>
      <c r="BF514" s="6"/>
      <c r="BG514" s="1"/>
      <c r="BT514" s="6"/>
      <c r="BU514" s="1"/>
      <c r="CH514" s="6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ht="13.5" customHeight="1">
      <c r="A515" s="1"/>
      <c r="P515" s="6"/>
      <c r="Q515" s="1"/>
      <c r="AD515" s="6"/>
      <c r="AE515" s="1"/>
      <c r="AR515" s="6"/>
      <c r="AS515" s="1"/>
      <c r="BF515" s="6"/>
      <c r="BG515" s="1"/>
      <c r="BT515" s="6"/>
      <c r="BU515" s="1"/>
      <c r="CH515" s="6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ht="13.5" customHeight="1">
      <c r="A516" s="1"/>
      <c r="P516" s="6"/>
      <c r="Q516" s="1"/>
      <c r="AD516" s="6"/>
      <c r="AE516" s="1"/>
      <c r="AR516" s="6"/>
      <c r="AS516" s="1"/>
      <c r="BF516" s="6"/>
      <c r="BG516" s="1"/>
      <c r="BT516" s="6"/>
      <c r="BU516" s="1"/>
      <c r="CH516" s="6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ht="13.5" customHeight="1">
      <c r="A517" s="1"/>
      <c r="P517" s="6"/>
      <c r="Q517" s="1"/>
      <c r="AD517" s="6"/>
      <c r="AE517" s="1"/>
      <c r="AR517" s="6"/>
      <c r="AS517" s="1"/>
      <c r="BF517" s="6"/>
      <c r="BG517" s="1"/>
      <c r="BT517" s="6"/>
      <c r="BU517" s="1"/>
      <c r="CH517" s="6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ht="13.5" customHeight="1">
      <c r="A518" s="1"/>
      <c r="P518" s="6"/>
      <c r="Q518" s="1"/>
      <c r="AD518" s="6"/>
      <c r="AE518" s="1"/>
      <c r="AR518" s="6"/>
      <c r="AS518" s="1"/>
      <c r="BF518" s="6"/>
      <c r="BG518" s="1"/>
      <c r="BT518" s="6"/>
      <c r="BU518" s="1"/>
      <c r="CH518" s="6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ht="13.5" customHeight="1">
      <c r="A519" s="1"/>
      <c r="P519" s="6"/>
      <c r="Q519" s="1"/>
      <c r="AD519" s="6"/>
      <c r="AE519" s="1"/>
      <c r="AR519" s="6"/>
      <c r="AS519" s="1"/>
      <c r="BF519" s="6"/>
      <c r="BG519" s="1"/>
      <c r="BT519" s="6"/>
      <c r="BU519" s="1"/>
      <c r="CH519" s="6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ht="13.5" customHeight="1">
      <c r="A520" s="1"/>
      <c r="P520" s="6"/>
      <c r="Q520" s="1"/>
      <c r="AD520" s="6"/>
      <c r="AE520" s="1"/>
      <c r="AR520" s="6"/>
      <c r="AS520" s="1"/>
      <c r="BF520" s="6"/>
      <c r="BG520" s="1"/>
      <c r="BT520" s="6"/>
      <c r="BU520" s="1"/>
      <c r="CH520" s="6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ht="13.5" customHeight="1">
      <c r="A521" s="1"/>
      <c r="P521" s="6"/>
      <c r="Q521" s="1"/>
      <c r="AD521" s="6"/>
      <c r="AE521" s="1"/>
      <c r="AR521" s="6"/>
      <c r="AS521" s="1"/>
      <c r="BF521" s="6"/>
      <c r="BG521" s="1"/>
      <c r="BT521" s="6"/>
      <c r="BU521" s="1"/>
      <c r="CH521" s="6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ht="13.5" customHeight="1">
      <c r="A522" s="1"/>
      <c r="P522" s="6"/>
      <c r="Q522" s="1"/>
      <c r="AD522" s="6"/>
      <c r="AE522" s="1"/>
      <c r="AR522" s="6"/>
      <c r="AS522" s="1"/>
      <c r="BF522" s="6"/>
      <c r="BG522" s="1"/>
      <c r="BT522" s="6"/>
      <c r="BU522" s="1"/>
      <c r="CH522" s="6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ht="13.5" customHeight="1">
      <c r="A523" s="1"/>
      <c r="P523" s="6"/>
      <c r="Q523" s="1"/>
      <c r="AD523" s="6"/>
      <c r="AE523" s="1"/>
      <c r="AR523" s="6"/>
      <c r="AS523" s="1"/>
      <c r="BF523" s="6"/>
      <c r="BG523" s="1"/>
      <c r="BT523" s="6"/>
      <c r="BU523" s="1"/>
      <c r="CH523" s="6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ht="13.5" customHeight="1">
      <c r="A524" s="1"/>
      <c r="P524" s="6"/>
      <c r="Q524" s="1"/>
      <c r="AD524" s="6"/>
      <c r="AE524" s="1"/>
      <c r="AR524" s="6"/>
      <c r="AS524" s="1"/>
      <c r="BF524" s="6"/>
      <c r="BG524" s="1"/>
      <c r="BT524" s="6"/>
      <c r="BU524" s="1"/>
      <c r="CH524" s="6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ht="13.5" customHeight="1">
      <c r="A525" s="1"/>
      <c r="P525" s="6"/>
      <c r="Q525" s="1"/>
      <c r="AD525" s="6"/>
      <c r="AE525" s="1"/>
      <c r="AR525" s="6"/>
      <c r="AS525" s="1"/>
      <c r="BF525" s="6"/>
      <c r="BG525" s="1"/>
      <c r="BT525" s="6"/>
      <c r="BU525" s="1"/>
      <c r="CH525" s="6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ht="13.5" customHeight="1">
      <c r="A526" s="1"/>
      <c r="P526" s="6"/>
      <c r="Q526" s="1"/>
      <c r="AD526" s="6"/>
      <c r="AE526" s="1"/>
      <c r="AR526" s="6"/>
      <c r="AS526" s="1"/>
      <c r="BF526" s="6"/>
      <c r="BG526" s="1"/>
      <c r="BT526" s="6"/>
      <c r="BU526" s="1"/>
      <c r="CH526" s="6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ht="13.5" customHeight="1">
      <c r="A527" s="1"/>
      <c r="P527" s="6"/>
      <c r="Q527" s="1"/>
      <c r="AD527" s="6"/>
      <c r="AE527" s="1"/>
      <c r="AR527" s="6"/>
      <c r="AS527" s="1"/>
      <c r="BF527" s="6"/>
      <c r="BG527" s="1"/>
      <c r="BT527" s="6"/>
      <c r="BU527" s="1"/>
      <c r="CH527" s="6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ht="13.5" customHeight="1">
      <c r="A528" s="1"/>
      <c r="P528" s="6"/>
      <c r="Q528" s="1"/>
      <c r="AD528" s="6"/>
      <c r="AE528" s="1"/>
      <c r="AR528" s="6"/>
      <c r="AS528" s="1"/>
      <c r="BF528" s="6"/>
      <c r="BG528" s="1"/>
      <c r="BT528" s="6"/>
      <c r="BU528" s="1"/>
      <c r="CH528" s="6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ht="13.5" customHeight="1">
      <c r="A529" s="1"/>
      <c r="P529" s="6"/>
      <c r="Q529" s="1"/>
      <c r="AD529" s="6"/>
      <c r="AE529" s="1"/>
      <c r="AR529" s="6"/>
      <c r="AS529" s="1"/>
      <c r="BF529" s="6"/>
      <c r="BG529" s="1"/>
      <c r="BT529" s="6"/>
      <c r="BU529" s="1"/>
      <c r="CH529" s="6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ht="13.5" customHeight="1">
      <c r="A530" s="1"/>
      <c r="P530" s="6"/>
      <c r="Q530" s="1"/>
      <c r="AD530" s="6"/>
      <c r="AE530" s="1"/>
      <c r="AR530" s="6"/>
      <c r="AS530" s="1"/>
      <c r="BF530" s="6"/>
      <c r="BG530" s="1"/>
      <c r="BT530" s="6"/>
      <c r="BU530" s="1"/>
      <c r="CH530" s="6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ht="13.5" customHeight="1">
      <c r="A531" s="1"/>
      <c r="P531" s="6"/>
      <c r="Q531" s="1"/>
      <c r="AD531" s="6"/>
      <c r="AE531" s="1"/>
      <c r="AR531" s="6"/>
      <c r="AS531" s="1"/>
      <c r="BF531" s="6"/>
      <c r="BG531" s="1"/>
      <c r="BT531" s="6"/>
      <c r="BU531" s="1"/>
      <c r="CH531" s="6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ht="13.5" customHeight="1">
      <c r="A532" s="1"/>
      <c r="P532" s="6"/>
      <c r="Q532" s="1"/>
      <c r="AD532" s="6"/>
      <c r="AE532" s="1"/>
      <c r="AR532" s="6"/>
      <c r="AS532" s="1"/>
      <c r="BF532" s="6"/>
      <c r="BG532" s="1"/>
      <c r="BT532" s="6"/>
      <c r="BU532" s="1"/>
      <c r="CH532" s="6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ht="13.5" customHeight="1">
      <c r="A533" s="1"/>
      <c r="P533" s="6"/>
      <c r="Q533" s="1"/>
      <c r="AD533" s="6"/>
      <c r="AE533" s="1"/>
      <c r="AR533" s="6"/>
      <c r="AS533" s="1"/>
      <c r="BF533" s="6"/>
      <c r="BG533" s="1"/>
      <c r="BT533" s="6"/>
      <c r="BU533" s="1"/>
      <c r="CH533" s="6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ht="13.5" customHeight="1">
      <c r="A534" s="1"/>
      <c r="P534" s="6"/>
      <c r="Q534" s="1"/>
      <c r="AD534" s="6"/>
      <c r="AE534" s="1"/>
      <c r="AR534" s="6"/>
      <c r="AS534" s="1"/>
      <c r="BF534" s="6"/>
      <c r="BG534" s="1"/>
      <c r="BT534" s="6"/>
      <c r="BU534" s="1"/>
      <c r="CH534" s="6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ht="13.5" customHeight="1">
      <c r="A535" s="1"/>
      <c r="P535" s="6"/>
      <c r="Q535" s="1"/>
      <c r="AD535" s="6"/>
      <c r="AE535" s="1"/>
      <c r="AR535" s="6"/>
      <c r="AS535" s="1"/>
      <c r="BF535" s="6"/>
      <c r="BG535" s="1"/>
      <c r="BT535" s="6"/>
      <c r="BU535" s="1"/>
      <c r="CH535" s="6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ht="13.5" customHeight="1">
      <c r="A536" s="1"/>
      <c r="P536" s="6"/>
      <c r="Q536" s="1"/>
      <c r="AD536" s="6"/>
      <c r="AE536" s="1"/>
      <c r="AR536" s="6"/>
      <c r="AS536" s="1"/>
      <c r="BF536" s="6"/>
      <c r="BG536" s="1"/>
      <c r="BT536" s="6"/>
      <c r="BU536" s="1"/>
      <c r="CH536" s="6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ht="13.5" customHeight="1">
      <c r="A537" s="1"/>
      <c r="P537" s="6"/>
      <c r="Q537" s="1"/>
      <c r="AD537" s="6"/>
      <c r="AE537" s="1"/>
      <c r="AR537" s="6"/>
      <c r="AS537" s="1"/>
      <c r="BF537" s="6"/>
      <c r="BG537" s="1"/>
      <c r="BT537" s="6"/>
      <c r="BU537" s="1"/>
      <c r="CH537" s="6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ht="13.5" customHeight="1">
      <c r="A538" s="1"/>
      <c r="P538" s="6"/>
      <c r="Q538" s="1"/>
      <c r="AD538" s="6"/>
      <c r="AE538" s="1"/>
      <c r="AR538" s="6"/>
      <c r="AS538" s="1"/>
      <c r="BF538" s="6"/>
      <c r="BG538" s="1"/>
      <c r="BT538" s="6"/>
      <c r="BU538" s="1"/>
      <c r="CH538" s="6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ht="13.5" customHeight="1">
      <c r="A539" s="1"/>
      <c r="P539" s="6"/>
      <c r="Q539" s="1"/>
      <c r="AD539" s="6"/>
      <c r="AE539" s="1"/>
      <c r="AR539" s="6"/>
      <c r="AS539" s="1"/>
      <c r="BF539" s="6"/>
      <c r="BG539" s="1"/>
      <c r="BT539" s="6"/>
      <c r="BU539" s="1"/>
      <c r="CH539" s="6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ht="13.5" customHeight="1">
      <c r="A540" s="1"/>
      <c r="P540" s="6"/>
      <c r="Q540" s="1"/>
      <c r="AD540" s="6"/>
      <c r="AE540" s="1"/>
      <c r="AR540" s="6"/>
      <c r="AS540" s="1"/>
      <c r="BF540" s="6"/>
      <c r="BG540" s="1"/>
      <c r="BT540" s="6"/>
      <c r="BU540" s="1"/>
      <c r="CH540" s="6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ht="13.5" customHeight="1">
      <c r="A541" s="1"/>
      <c r="P541" s="6"/>
      <c r="Q541" s="1"/>
      <c r="AD541" s="6"/>
      <c r="AE541" s="1"/>
      <c r="AR541" s="6"/>
      <c r="AS541" s="1"/>
      <c r="BF541" s="6"/>
      <c r="BG541" s="1"/>
      <c r="BT541" s="6"/>
      <c r="BU541" s="1"/>
      <c r="CH541" s="6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ht="13.5" customHeight="1">
      <c r="A542" s="1"/>
      <c r="P542" s="6"/>
      <c r="Q542" s="1"/>
      <c r="AD542" s="6"/>
      <c r="AE542" s="1"/>
      <c r="AR542" s="6"/>
      <c r="AS542" s="1"/>
      <c r="BF542" s="6"/>
      <c r="BG542" s="1"/>
      <c r="BT542" s="6"/>
      <c r="BU542" s="1"/>
      <c r="CH542" s="6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ht="13.5" customHeight="1">
      <c r="A543" s="1"/>
      <c r="P543" s="6"/>
      <c r="Q543" s="1"/>
      <c r="AD543" s="6"/>
      <c r="AE543" s="1"/>
      <c r="AR543" s="6"/>
      <c r="AS543" s="1"/>
      <c r="BF543" s="6"/>
      <c r="BG543" s="1"/>
      <c r="BT543" s="6"/>
      <c r="BU543" s="1"/>
      <c r="CH543" s="6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ht="13.5" customHeight="1">
      <c r="A544" s="1"/>
      <c r="P544" s="6"/>
      <c r="Q544" s="1"/>
      <c r="AD544" s="6"/>
      <c r="AE544" s="1"/>
      <c r="AR544" s="6"/>
      <c r="AS544" s="1"/>
      <c r="BF544" s="6"/>
      <c r="BG544" s="1"/>
      <c r="BT544" s="6"/>
      <c r="BU544" s="1"/>
      <c r="CH544" s="6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ht="13.5" customHeight="1">
      <c r="A545" s="1"/>
      <c r="P545" s="6"/>
      <c r="Q545" s="1"/>
      <c r="AD545" s="6"/>
      <c r="AE545" s="1"/>
      <c r="AR545" s="6"/>
      <c r="AS545" s="1"/>
      <c r="BF545" s="6"/>
      <c r="BG545" s="1"/>
      <c r="BT545" s="6"/>
      <c r="BU545" s="1"/>
      <c r="CH545" s="6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ht="13.5" customHeight="1">
      <c r="A546" s="1"/>
      <c r="P546" s="6"/>
      <c r="Q546" s="1"/>
      <c r="AD546" s="6"/>
      <c r="AE546" s="1"/>
      <c r="AR546" s="6"/>
      <c r="AS546" s="1"/>
      <c r="BF546" s="6"/>
      <c r="BG546" s="1"/>
      <c r="BT546" s="6"/>
      <c r="BU546" s="1"/>
      <c r="CH546" s="6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ht="13.5" customHeight="1">
      <c r="A547" s="1"/>
      <c r="P547" s="6"/>
      <c r="Q547" s="1"/>
      <c r="AD547" s="6"/>
      <c r="AE547" s="1"/>
      <c r="AR547" s="6"/>
      <c r="AS547" s="1"/>
      <c r="BF547" s="6"/>
      <c r="BG547" s="1"/>
      <c r="BT547" s="6"/>
      <c r="BU547" s="1"/>
      <c r="CH547" s="6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ht="13.5" customHeight="1">
      <c r="A548" s="1"/>
      <c r="P548" s="6"/>
      <c r="Q548" s="1"/>
      <c r="AD548" s="6"/>
      <c r="AE548" s="1"/>
      <c r="AR548" s="6"/>
      <c r="AS548" s="1"/>
      <c r="BF548" s="6"/>
      <c r="BG548" s="1"/>
      <c r="BT548" s="6"/>
      <c r="BU548" s="1"/>
      <c r="CH548" s="6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ht="13.5" customHeight="1">
      <c r="A549" s="1"/>
      <c r="P549" s="6"/>
      <c r="Q549" s="1"/>
      <c r="AD549" s="6"/>
      <c r="AE549" s="1"/>
      <c r="AR549" s="6"/>
      <c r="AS549" s="1"/>
      <c r="BF549" s="6"/>
      <c r="BG549" s="1"/>
      <c r="BT549" s="6"/>
      <c r="BU549" s="1"/>
      <c r="CH549" s="6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ht="13.5" customHeight="1">
      <c r="A550" s="1"/>
      <c r="P550" s="6"/>
      <c r="Q550" s="1"/>
      <c r="AD550" s="6"/>
      <c r="AE550" s="1"/>
      <c r="AR550" s="6"/>
      <c r="AS550" s="1"/>
      <c r="BF550" s="6"/>
      <c r="BG550" s="1"/>
      <c r="BT550" s="6"/>
      <c r="BU550" s="1"/>
      <c r="CH550" s="6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ht="13.5" customHeight="1">
      <c r="A551" s="1"/>
      <c r="P551" s="6"/>
      <c r="Q551" s="1"/>
      <c r="AD551" s="6"/>
      <c r="AE551" s="1"/>
      <c r="AR551" s="6"/>
      <c r="AS551" s="1"/>
      <c r="BF551" s="6"/>
      <c r="BG551" s="1"/>
      <c r="BT551" s="6"/>
      <c r="BU551" s="1"/>
      <c r="CH551" s="6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ht="13.5" customHeight="1">
      <c r="A552" s="1"/>
      <c r="P552" s="6"/>
      <c r="Q552" s="1"/>
      <c r="AD552" s="6"/>
      <c r="AE552" s="1"/>
      <c r="AR552" s="6"/>
      <c r="AS552" s="1"/>
      <c r="BF552" s="6"/>
      <c r="BG552" s="1"/>
      <c r="BT552" s="6"/>
      <c r="BU552" s="1"/>
      <c r="CH552" s="6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ht="13.5" customHeight="1">
      <c r="A553" s="1"/>
      <c r="P553" s="6"/>
      <c r="Q553" s="1"/>
      <c r="AD553" s="6"/>
      <c r="AE553" s="1"/>
      <c r="AR553" s="6"/>
      <c r="AS553" s="1"/>
      <c r="BF553" s="6"/>
      <c r="BG553" s="1"/>
      <c r="BT553" s="6"/>
      <c r="BU553" s="1"/>
      <c r="CH553" s="6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ht="13.5" customHeight="1">
      <c r="A554" s="1"/>
      <c r="P554" s="6"/>
      <c r="Q554" s="1"/>
      <c r="AD554" s="6"/>
      <c r="AE554" s="1"/>
      <c r="AR554" s="6"/>
      <c r="AS554" s="1"/>
      <c r="BF554" s="6"/>
      <c r="BG554" s="1"/>
      <c r="BT554" s="6"/>
      <c r="BU554" s="1"/>
      <c r="CH554" s="6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ht="13.5" customHeight="1">
      <c r="A555" s="1"/>
      <c r="P555" s="6"/>
      <c r="Q555" s="1"/>
      <c r="AD555" s="6"/>
      <c r="AE555" s="1"/>
      <c r="AR555" s="6"/>
      <c r="AS555" s="1"/>
      <c r="BF555" s="6"/>
      <c r="BG555" s="1"/>
      <c r="BT555" s="6"/>
      <c r="BU555" s="1"/>
      <c r="CH555" s="6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ht="13.5" customHeight="1">
      <c r="A556" s="1"/>
      <c r="P556" s="6"/>
      <c r="Q556" s="1"/>
      <c r="AD556" s="6"/>
      <c r="AE556" s="1"/>
      <c r="AR556" s="6"/>
      <c r="AS556" s="1"/>
      <c r="BF556" s="6"/>
      <c r="BG556" s="1"/>
      <c r="BT556" s="6"/>
      <c r="BU556" s="1"/>
      <c r="CH556" s="6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ht="13.5" customHeight="1">
      <c r="A557" s="1"/>
      <c r="P557" s="6"/>
      <c r="Q557" s="1"/>
      <c r="AD557" s="6"/>
      <c r="AE557" s="1"/>
      <c r="AR557" s="6"/>
      <c r="AS557" s="1"/>
      <c r="BF557" s="6"/>
      <c r="BG557" s="1"/>
      <c r="BT557" s="6"/>
      <c r="BU557" s="1"/>
      <c r="CH557" s="6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ht="13.5" customHeight="1">
      <c r="A558" s="1"/>
      <c r="P558" s="6"/>
      <c r="Q558" s="1"/>
      <c r="AD558" s="6"/>
      <c r="AE558" s="1"/>
      <c r="AR558" s="6"/>
      <c r="AS558" s="1"/>
      <c r="BF558" s="6"/>
      <c r="BG558" s="1"/>
      <c r="BT558" s="6"/>
      <c r="BU558" s="1"/>
      <c r="CH558" s="6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ht="13.5" customHeight="1">
      <c r="A559" s="1"/>
      <c r="P559" s="6"/>
      <c r="Q559" s="1"/>
      <c r="AD559" s="6"/>
      <c r="AE559" s="1"/>
      <c r="AR559" s="6"/>
      <c r="AS559" s="1"/>
      <c r="BF559" s="6"/>
      <c r="BG559" s="1"/>
      <c r="BT559" s="6"/>
      <c r="BU559" s="1"/>
      <c r="CH559" s="6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ht="13.5" customHeight="1">
      <c r="A560" s="1"/>
      <c r="P560" s="6"/>
      <c r="Q560" s="1"/>
      <c r="AD560" s="6"/>
      <c r="AE560" s="1"/>
      <c r="AR560" s="6"/>
      <c r="AS560" s="1"/>
      <c r="BF560" s="6"/>
      <c r="BG560" s="1"/>
      <c r="BT560" s="6"/>
      <c r="BU560" s="1"/>
      <c r="CH560" s="6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ht="13.5" customHeight="1">
      <c r="A561" s="1"/>
      <c r="P561" s="6"/>
      <c r="Q561" s="1"/>
      <c r="AD561" s="6"/>
      <c r="AE561" s="1"/>
      <c r="AR561" s="6"/>
      <c r="AS561" s="1"/>
      <c r="BF561" s="6"/>
      <c r="BG561" s="1"/>
      <c r="BT561" s="6"/>
      <c r="BU561" s="1"/>
      <c r="CH561" s="6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ht="13.5" customHeight="1">
      <c r="A562" s="1"/>
      <c r="P562" s="6"/>
      <c r="Q562" s="1"/>
      <c r="AD562" s="6"/>
      <c r="AE562" s="1"/>
      <c r="AR562" s="6"/>
      <c r="AS562" s="1"/>
      <c r="BF562" s="6"/>
      <c r="BG562" s="1"/>
      <c r="BT562" s="6"/>
      <c r="BU562" s="1"/>
      <c r="CH562" s="6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ht="13.5" customHeight="1">
      <c r="A563" s="1"/>
      <c r="P563" s="6"/>
      <c r="Q563" s="1"/>
      <c r="AD563" s="6"/>
      <c r="AE563" s="1"/>
      <c r="AR563" s="6"/>
      <c r="AS563" s="1"/>
      <c r="BF563" s="6"/>
      <c r="BG563" s="1"/>
      <c r="BT563" s="6"/>
      <c r="BU563" s="1"/>
      <c r="CH563" s="6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ht="13.5" customHeight="1">
      <c r="A564" s="1"/>
      <c r="P564" s="6"/>
      <c r="Q564" s="1"/>
      <c r="AD564" s="6"/>
      <c r="AE564" s="1"/>
      <c r="AR564" s="6"/>
      <c r="AS564" s="1"/>
      <c r="BF564" s="6"/>
      <c r="BG564" s="1"/>
      <c r="BT564" s="6"/>
      <c r="BU564" s="1"/>
      <c r="CH564" s="6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ht="13.5" customHeight="1">
      <c r="A565" s="1"/>
      <c r="P565" s="6"/>
      <c r="Q565" s="1"/>
      <c r="AD565" s="6"/>
      <c r="AE565" s="1"/>
      <c r="AR565" s="6"/>
      <c r="AS565" s="1"/>
      <c r="BF565" s="6"/>
      <c r="BG565" s="1"/>
      <c r="BT565" s="6"/>
      <c r="BU565" s="1"/>
      <c r="CH565" s="6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ht="13.5" customHeight="1">
      <c r="A566" s="1"/>
      <c r="P566" s="6"/>
      <c r="Q566" s="1"/>
      <c r="AD566" s="6"/>
      <c r="AE566" s="1"/>
      <c r="AR566" s="6"/>
      <c r="AS566" s="1"/>
      <c r="BF566" s="6"/>
      <c r="BG566" s="1"/>
      <c r="BT566" s="6"/>
      <c r="BU566" s="1"/>
      <c r="CH566" s="6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ht="13.5" customHeight="1">
      <c r="A567" s="1"/>
      <c r="P567" s="6"/>
      <c r="Q567" s="1"/>
      <c r="AD567" s="6"/>
      <c r="AE567" s="1"/>
      <c r="AR567" s="6"/>
      <c r="AS567" s="1"/>
      <c r="BF567" s="6"/>
      <c r="BG567" s="1"/>
      <c r="BT567" s="6"/>
      <c r="BU567" s="1"/>
      <c r="CH567" s="6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ht="13.5" customHeight="1">
      <c r="A568" s="1"/>
      <c r="P568" s="6"/>
      <c r="Q568" s="1"/>
      <c r="AD568" s="6"/>
      <c r="AE568" s="1"/>
      <c r="AR568" s="6"/>
      <c r="AS568" s="1"/>
      <c r="BF568" s="6"/>
      <c r="BG568" s="1"/>
      <c r="BT568" s="6"/>
      <c r="BU568" s="1"/>
      <c r="CH568" s="6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ht="13.5" customHeight="1">
      <c r="A569" s="1"/>
      <c r="P569" s="6"/>
      <c r="Q569" s="1"/>
      <c r="AD569" s="6"/>
      <c r="AE569" s="1"/>
      <c r="AR569" s="6"/>
      <c r="AS569" s="1"/>
      <c r="BF569" s="6"/>
      <c r="BG569" s="1"/>
      <c r="BT569" s="6"/>
      <c r="BU569" s="1"/>
      <c r="CH569" s="6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ht="13.5" customHeight="1">
      <c r="A570" s="1"/>
      <c r="P570" s="6"/>
      <c r="Q570" s="1"/>
      <c r="AD570" s="6"/>
      <c r="AE570" s="1"/>
      <c r="AR570" s="6"/>
      <c r="AS570" s="1"/>
      <c r="BF570" s="6"/>
      <c r="BG570" s="1"/>
      <c r="BT570" s="6"/>
      <c r="BU570" s="1"/>
      <c r="CH570" s="6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ht="13.5" customHeight="1">
      <c r="A571" s="1"/>
      <c r="P571" s="6"/>
      <c r="Q571" s="1"/>
      <c r="AD571" s="6"/>
      <c r="AE571" s="1"/>
      <c r="AR571" s="6"/>
      <c r="AS571" s="1"/>
      <c r="BF571" s="6"/>
      <c r="BG571" s="1"/>
      <c r="BT571" s="6"/>
      <c r="BU571" s="1"/>
      <c r="CH571" s="6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ht="13.5" customHeight="1">
      <c r="A572" s="1"/>
      <c r="P572" s="6"/>
      <c r="Q572" s="1"/>
      <c r="AD572" s="6"/>
      <c r="AE572" s="1"/>
      <c r="AR572" s="6"/>
      <c r="AS572" s="1"/>
      <c r="BF572" s="6"/>
      <c r="BG572" s="1"/>
      <c r="BT572" s="6"/>
      <c r="BU572" s="1"/>
      <c r="CH572" s="6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ht="13.5" customHeight="1">
      <c r="A573" s="1"/>
      <c r="P573" s="6"/>
      <c r="Q573" s="1"/>
      <c r="AD573" s="6"/>
      <c r="AE573" s="1"/>
      <c r="AR573" s="6"/>
      <c r="AS573" s="1"/>
      <c r="BF573" s="6"/>
      <c r="BG573" s="1"/>
      <c r="BT573" s="6"/>
      <c r="BU573" s="1"/>
      <c r="CH573" s="6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ht="13.5" customHeight="1">
      <c r="A574" s="1"/>
      <c r="P574" s="6"/>
      <c r="Q574" s="1"/>
      <c r="AD574" s="6"/>
      <c r="AE574" s="1"/>
      <c r="AR574" s="6"/>
      <c r="AS574" s="1"/>
      <c r="BF574" s="6"/>
      <c r="BG574" s="1"/>
      <c r="BT574" s="6"/>
      <c r="BU574" s="1"/>
      <c r="CH574" s="6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ht="13.5" customHeight="1">
      <c r="A575" s="1"/>
      <c r="P575" s="6"/>
      <c r="Q575" s="1"/>
      <c r="AD575" s="6"/>
      <c r="AE575" s="1"/>
      <c r="AR575" s="6"/>
      <c r="AS575" s="1"/>
      <c r="BF575" s="6"/>
      <c r="BG575" s="1"/>
      <c r="BT575" s="6"/>
      <c r="BU575" s="1"/>
      <c r="CH575" s="6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ht="13.5" customHeight="1">
      <c r="A576" s="1"/>
      <c r="P576" s="6"/>
      <c r="Q576" s="1"/>
      <c r="AD576" s="6"/>
      <c r="AE576" s="1"/>
      <c r="AR576" s="6"/>
      <c r="AS576" s="1"/>
      <c r="BF576" s="6"/>
      <c r="BG576" s="1"/>
      <c r="BT576" s="6"/>
      <c r="BU576" s="1"/>
      <c r="CH576" s="6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ht="13.5" customHeight="1">
      <c r="A577" s="1"/>
      <c r="P577" s="6"/>
      <c r="Q577" s="1"/>
      <c r="AD577" s="6"/>
      <c r="AE577" s="1"/>
      <c r="AR577" s="6"/>
      <c r="AS577" s="1"/>
      <c r="BF577" s="6"/>
      <c r="BG577" s="1"/>
      <c r="BT577" s="6"/>
      <c r="BU577" s="1"/>
      <c r="CH577" s="6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ht="13.5" customHeight="1">
      <c r="A578" s="1"/>
      <c r="P578" s="6"/>
      <c r="Q578" s="1"/>
      <c r="AD578" s="6"/>
      <c r="AE578" s="1"/>
      <c r="AR578" s="6"/>
      <c r="AS578" s="1"/>
      <c r="BF578" s="6"/>
      <c r="BG578" s="1"/>
      <c r="BT578" s="6"/>
      <c r="BU578" s="1"/>
      <c r="CH578" s="6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ht="13.5" customHeight="1">
      <c r="A579" s="1"/>
      <c r="P579" s="6"/>
      <c r="Q579" s="1"/>
      <c r="AD579" s="6"/>
      <c r="AE579" s="1"/>
      <c r="AR579" s="6"/>
      <c r="AS579" s="1"/>
      <c r="BF579" s="6"/>
      <c r="BG579" s="1"/>
      <c r="BT579" s="6"/>
      <c r="BU579" s="1"/>
      <c r="CH579" s="6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ht="13.5" customHeight="1">
      <c r="A580" s="1"/>
      <c r="P580" s="6"/>
      <c r="Q580" s="1"/>
      <c r="AD580" s="6"/>
      <c r="AE580" s="1"/>
      <c r="AR580" s="6"/>
      <c r="AS580" s="1"/>
      <c r="BF580" s="6"/>
      <c r="BG580" s="1"/>
      <c r="BT580" s="6"/>
      <c r="BU580" s="1"/>
      <c r="CH580" s="6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ht="13.5" customHeight="1">
      <c r="A581" s="1"/>
      <c r="P581" s="6"/>
      <c r="Q581" s="1"/>
      <c r="AD581" s="6"/>
      <c r="AE581" s="1"/>
      <c r="AR581" s="6"/>
      <c r="AS581" s="1"/>
      <c r="BF581" s="6"/>
      <c r="BG581" s="1"/>
      <c r="BT581" s="6"/>
      <c r="BU581" s="1"/>
      <c r="CH581" s="6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ht="13.5" customHeight="1">
      <c r="A582" s="1"/>
      <c r="P582" s="6"/>
      <c r="Q582" s="1"/>
      <c r="AD582" s="6"/>
      <c r="AE582" s="1"/>
      <c r="AR582" s="6"/>
      <c r="AS582" s="1"/>
      <c r="BF582" s="6"/>
      <c r="BG582" s="1"/>
      <c r="BT582" s="6"/>
      <c r="BU582" s="1"/>
      <c r="CH582" s="6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ht="13.5" customHeight="1">
      <c r="A583" s="1"/>
      <c r="P583" s="6"/>
      <c r="Q583" s="1"/>
      <c r="AD583" s="6"/>
      <c r="AE583" s="1"/>
      <c r="AR583" s="6"/>
      <c r="AS583" s="1"/>
      <c r="BF583" s="6"/>
      <c r="BG583" s="1"/>
      <c r="BT583" s="6"/>
      <c r="BU583" s="1"/>
      <c r="CH583" s="6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ht="13.5" customHeight="1">
      <c r="A584" s="1"/>
      <c r="P584" s="6"/>
      <c r="Q584" s="1"/>
      <c r="AD584" s="6"/>
      <c r="AE584" s="1"/>
      <c r="AR584" s="6"/>
      <c r="AS584" s="1"/>
      <c r="BF584" s="6"/>
      <c r="BG584" s="1"/>
      <c r="BT584" s="6"/>
      <c r="BU584" s="1"/>
      <c r="CH584" s="6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ht="13.5" customHeight="1">
      <c r="A585" s="1"/>
      <c r="P585" s="6"/>
      <c r="Q585" s="1"/>
      <c r="AD585" s="6"/>
      <c r="AE585" s="1"/>
      <c r="AR585" s="6"/>
      <c r="AS585" s="1"/>
      <c r="BF585" s="6"/>
      <c r="BG585" s="1"/>
      <c r="BT585" s="6"/>
      <c r="BU585" s="1"/>
      <c r="CH585" s="6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ht="13.5" customHeight="1">
      <c r="A586" s="1"/>
      <c r="P586" s="6"/>
      <c r="Q586" s="1"/>
      <c r="AD586" s="6"/>
      <c r="AE586" s="1"/>
      <c r="AR586" s="6"/>
      <c r="AS586" s="1"/>
      <c r="BF586" s="6"/>
      <c r="BG586" s="1"/>
      <c r="BT586" s="6"/>
      <c r="BU586" s="1"/>
      <c r="CH586" s="6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ht="13.5" customHeight="1">
      <c r="A587" s="1"/>
      <c r="P587" s="6"/>
      <c r="Q587" s="1"/>
      <c r="AD587" s="6"/>
      <c r="AE587" s="1"/>
      <c r="AR587" s="6"/>
      <c r="AS587" s="1"/>
      <c r="BF587" s="6"/>
      <c r="BG587" s="1"/>
      <c r="BT587" s="6"/>
      <c r="BU587" s="1"/>
      <c r="CH587" s="6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ht="13.5" customHeight="1">
      <c r="A588" s="1"/>
      <c r="P588" s="6"/>
      <c r="Q588" s="1"/>
      <c r="AD588" s="6"/>
      <c r="AE588" s="1"/>
      <c r="AR588" s="6"/>
      <c r="AS588" s="1"/>
      <c r="BF588" s="6"/>
      <c r="BG588" s="1"/>
      <c r="BT588" s="6"/>
      <c r="BU588" s="1"/>
      <c r="CH588" s="6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ht="13.5" customHeight="1">
      <c r="A589" s="1"/>
      <c r="P589" s="6"/>
      <c r="Q589" s="1"/>
      <c r="AD589" s="6"/>
      <c r="AE589" s="1"/>
      <c r="AR589" s="6"/>
      <c r="AS589" s="1"/>
      <c r="BF589" s="6"/>
      <c r="BG589" s="1"/>
      <c r="BT589" s="6"/>
      <c r="BU589" s="1"/>
      <c r="CH589" s="6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ht="13.5" customHeight="1">
      <c r="A590" s="1"/>
      <c r="P590" s="6"/>
      <c r="Q590" s="1"/>
      <c r="AD590" s="6"/>
      <c r="AE590" s="1"/>
      <c r="AR590" s="6"/>
      <c r="AS590" s="1"/>
      <c r="BF590" s="6"/>
      <c r="BG590" s="1"/>
      <c r="BT590" s="6"/>
      <c r="BU590" s="1"/>
      <c r="CH590" s="6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ht="13.5" customHeight="1">
      <c r="A591" s="1"/>
      <c r="P591" s="6"/>
      <c r="Q591" s="1"/>
      <c r="AD591" s="6"/>
      <c r="AE591" s="1"/>
      <c r="AR591" s="6"/>
      <c r="AS591" s="1"/>
      <c r="BF591" s="6"/>
      <c r="BG591" s="1"/>
      <c r="BT591" s="6"/>
      <c r="BU591" s="1"/>
      <c r="CH591" s="6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ht="13.5" customHeight="1">
      <c r="A592" s="1"/>
      <c r="P592" s="6"/>
      <c r="Q592" s="1"/>
      <c r="AD592" s="6"/>
      <c r="AE592" s="1"/>
      <c r="AR592" s="6"/>
      <c r="AS592" s="1"/>
      <c r="BF592" s="6"/>
      <c r="BG592" s="1"/>
      <c r="BT592" s="6"/>
      <c r="BU592" s="1"/>
      <c r="CH592" s="6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ht="13.5" customHeight="1">
      <c r="A593" s="1"/>
      <c r="P593" s="6"/>
      <c r="Q593" s="1"/>
      <c r="AD593" s="6"/>
      <c r="AE593" s="1"/>
      <c r="AR593" s="6"/>
      <c r="AS593" s="1"/>
      <c r="BF593" s="6"/>
      <c r="BG593" s="1"/>
      <c r="BT593" s="6"/>
      <c r="BU593" s="1"/>
      <c r="CH593" s="6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ht="13.5" customHeight="1">
      <c r="A594" s="1"/>
      <c r="P594" s="6"/>
      <c r="Q594" s="1"/>
      <c r="AD594" s="6"/>
      <c r="AE594" s="1"/>
      <c r="AR594" s="6"/>
      <c r="AS594" s="1"/>
      <c r="BF594" s="6"/>
      <c r="BG594" s="1"/>
      <c r="BT594" s="6"/>
      <c r="BU594" s="1"/>
      <c r="CH594" s="6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ht="13.5" customHeight="1">
      <c r="A595" s="1"/>
      <c r="P595" s="6"/>
      <c r="Q595" s="1"/>
      <c r="AD595" s="6"/>
      <c r="AE595" s="1"/>
      <c r="AR595" s="6"/>
      <c r="AS595" s="1"/>
      <c r="BF595" s="6"/>
      <c r="BG595" s="1"/>
      <c r="BT595" s="6"/>
      <c r="BU595" s="1"/>
      <c r="CH595" s="6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ht="13.5" customHeight="1">
      <c r="A596" s="1"/>
      <c r="P596" s="6"/>
      <c r="Q596" s="1"/>
      <c r="AD596" s="6"/>
      <c r="AE596" s="1"/>
      <c r="AR596" s="6"/>
      <c r="AS596" s="1"/>
      <c r="BF596" s="6"/>
      <c r="BG596" s="1"/>
      <c r="BT596" s="6"/>
      <c r="BU596" s="1"/>
      <c r="CH596" s="6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ht="13.5" customHeight="1">
      <c r="A597" s="1"/>
      <c r="P597" s="6"/>
      <c r="Q597" s="1"/>
      <c r="AD597" s="6"/>
      <c r="AE597" s="1"/>
      <c r="AR597" s="6"/>
      <c r="AS597" s="1"/>
      <c r="BF597" s="6"/>
      <c r="BG597" s="1"/>
      <c r="BT597" s="6"/>
      <c r="BU597" s="1"/>
      <c r="CH597" s="6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ht="13.5" customHeight="1">
      <c r="A598" s="1"/>
      <c r="P598" s="6"/>
      <c r="Q598" s="1"/>
      <c r="AD598" s="6"/>
      <c r="AE598" s="1"/>
      <c r="AR598" s="6"/>
      <c r="AS598" s="1"/>
      <c r="BF598" s="6"/>
      <c r="BG598" s="1"/>
      <c r="BT598" s="6"/>
      <c r="BU598" s="1"/>
      <c r="CH598" s="6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ht="13.5" customHeight="1">
      <c r="A599" s="1"/>
      <c r="P599" s="6"/>
      <c r="Q599" s="1"/>
      <c r="AD599" s="6"/>
      <c r="AE599" s="1"/>
      <c r="AR599" s="6"/>
      <c r="AS599" s="1"/>
      <c r="BF599" s="6"/>
      <c r="BG599" s="1"/>
      <c r="BT599" s="6"/>
      <c r="BU599" s="1"/>
      <c r="CH599" s="6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ht="13.5" customHeight="1">
      <c r="A600" s="1"/>
      <c r="P600" s="6"/>
      <c r="Q600" s="1"/>
      <c r="AD600" s="6"/>
      <c r="AE600" s="1"/>
      <c r="AR600" s="6"/>
      <c r="AS600" s="1"/>
      <c r="BF600" s="6"/>
      <c r="BG600" s="1"/>
      <c r="BT600" s="6"/>
      <c r="BU600" s="1"/>
      <c r="CH600" s="6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ht="13.5" customHeight="1">
      <c r="A601" s="1"/>
      <c r="P601" s="6"/>
      <c r="Q601" s="1"/>
      <c r="AD601" s="6"/>
      <c r="AE601" s="1"/>
      <c r="AR601" s="6"/>
      <c r="AS601" s="1"/>
      <c r="BF601" s="6"/>
      <c r="BG601" s="1"/>
      <c r="BT601" s="6"/>
      <c r="BU601" s="1"/>
      <c r="CH601" s="6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ht="13.5" customHeight="1">
      <c r="A602" s="1"/>
      <c r="P602" s="6"/>
      <c r="Q602" s="1"/>
      <c r="AD602" s="6"/>
      <c r="AE602" s="1"/>
      <c r="AR602" s="6"/>
      <c r="AS602" s="1"/>
      <c r="BF602" s="6"/>
      <c r="BG602" s="1"/>
      <c r="BT602" s="6"/>
      <c r="BU602" s="1"/>
      <c r="CH602" s="6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ht="13.5" customHeight="1">
      <c r="A603" s="1"/>
      <c r="P603" s="6"/>
      <c r="Q603" s="1"/>
      <c r="AD603" s="6"/>
      <c r="AE603" s="1"/>
      <c r="AR603" s="6"/>
      <c r="AS603" s="1"/>
      <c r="BF603" s="6"/>
      <c r="BG603" s="1"/>
      <c r="BT603" s="6"/>
      <c r="BU603" s="1"/>
      <c r="CH603" s="6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ht="13.5" customHeight="1">
      <c r="A604" s="1"/>
      <c r="P604" s="6"/>
      <c r="Q604" s="1"/>
      <c r="AD604" s="6"/>
      <c r="AE604" s="1"/>
      <c r="AR604" s="6"/>
      <c r="AS604" s="1"/>
      <c r="BF604" s="6"/>
      <c r="BG604" s="1"/>
      <c r="BT604" s="6"/>
      <c r="BU604" s="1"/>
      <c r="CH604" s="6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ht="13.5" customHeight="1">
      <c r="A605" s="1"/>
      <c r="P605" s="6"/>
      <c r="Q605" s="1"/>
      <c r="AD605" s="6"/>
      <c r="AE605" s="1"/>
      <c r="AR605" s="6"/>
      <c r="AS605" s="1"/>
      <c r="BF605" s="6"/>
      <c r="BG605" s="1"/>
      <c r="BT605" s="6"/>
      <c r="BU605" s="1"/>
      <c r="CH605" s="6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ht="13.5" customHeight="1">
      <c r="A606" s="1"/>
      <c r="P606" s="6"/>
      <c r="Q606" s="1"/>
      <c r="AD606" s="6"/>
      <c r="AE606" s="1"/>
      <c r="AR606" s="6"/>
      <c r="AS606" s="1"/>
      <c r="BF606" s="6"/>
      <c r="BG606" s="1"/>
      <c r="BT606" s="6"/>
      <c r="BU606" s="1"/>
      <c r="CH606" s="6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ht="13.5" customHeight="1">
      <c r="A607" s="1"/>
      <c r="P607" s="6"/>
      <c r="Q607" s="1"/>
      <c r="AD607" s="6"/>
      <c r="AE607" s="1"/>
      <c r="AR607" s="6"/>
      <c r="AS607" s="1"/>
      <c r="BF607" s="6"/>
      <c r="BG607" s="1"/>
      <c r="BT607" s="6"/>
      <c r="BU607" s="1"/>
      <c r="CH607" s="6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ht="13.5" customHeight="1">
      <c r="A608" s="1"/>
      <c r="P608" s="6"/>
      <c r="Q608" s="1"/>
      <c r="AD608" s="6"/>
      <c r="AE608" s="1"/>
      <c r="AR608" s="6"/>
      <c r="AS608" s="1"/>
      <c r="BF608" s="6"/>
      <c r="BG608" s="1"/>
      <c r="BT608" s="6"/>
      <c r="BU608" s="1"/>
      <c r="CH608" s="6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ht="13.5" customHeight="1">
      <c r="A609" s="1"/>
      <c r="P609" s="6"/>
      <c r="Q609" s="1"/>
      <c r="AD609" s="6"/>
      <c r="AE609" s="1"/>
      <c r="AR609" s="6"/>
      <c r="AS609" s="1"/>
      <c r="BF609" s="6"/>
      <c r="BG609" s="1"/>
      <c r="BT609" s="6"/>
      <c r="BU609" s="1"/>
      <c r="CH609" s="6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ht="13.5" customHeight="1">
      <c r="A610" s="1"/>
      <c r="P610" s="6"/>
      <c r="Q610" s="1"/>
      <c r="AD610" s="6"/>
      <c r="AE610" s="1"/>
      <c r="AR610" s="6"/>
      <c r="AS610" s="1"/>
      <c r="BF610" s="6"/>
      <c r="BG610" s="1"/>
      <c r="BT610" s="6"/>
      <c r="BU610" s="1"/>
      <c r="CH610" s="6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ht="13.5" customHeight="1">
      <c r="A611" s="1"/>
      <c r="P611" s="6"/>
      <c r="Q611" s="1"/>
      <c r="AD611" s="6"/>
      <c r="AE611" s="1"/>
      <c r="AR611" s="6"/>
      <c r="AS611" s="1"/>
      <c r="BF611" s="6"/>
      <c r="BG611" s="1"/>
      <c r="BT611" s="6"/>
      <c r="BU611" s="1"/>
      <c r="CH611" s="6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ht="13.5" customHeight="1">
      <c r="A612" s="1"/>
      <c r="P612" s="6"/>
      <c r="Q612" s="1"/>
      <c r="AD612" s="6"/>
      <c r="AE612" s="1"/>
      <c r="AR612" s="6"/>
      <c r="AS612" s="1"/>
      <c r="BF612" s="6"/>
      <c r="BG612" s="1"/>
      <c r="BT612" s="6"/>
      <c r="BU612" s="1"/>
      <c r="CH612" s="6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ht="13.5" customHeight="1">
      <c r="A613" s="1"/>
      <c r="P613" s="6"/>
      <c r="Q613" s="1"/>
      <c r="AD613" s="6"/>
      <c r="AE613" s="1"/>
      <c r="AR613" s="6"/>
      <c r="AS613" s="1"/>
      <c r="BF613" s="6"/>
      <c r="BG613" s="1"/>
      <c r="BT613" s="6"/>
      <c r="BU613" s="1"/>
      <c r="CH613" s="6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ht="13.5" customHeight="1">
      <c r="A614" s="1"/>
      <c r="P614" s="6"/>
      <c r="Q614" s="1"/>
      <c r="AD614" s="6"/>
      <c r="AE614" s="1"/>
      <c r="AR614" s="6"/>
      <c r="AS614" s="1"/>
      <c r="BF614" s="6"/>
      <c r="BG614" s="1"/>
      <c r="BT614" s="6"/>
      <c r="BU614" s="1"/>
      <c r="CH614" s="6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ht="13.5" customHeight="1">
      <c r="A615" s="1"/>
      <c r="P615" s="6"/>
      <c r="Q615" s="1"/>
      <c r="AD615" s="6"/>
      <c r="AE615" s="1"/>
      <c r="AR615" s="6"/>
      <c r="AS615" s="1"/>
      <c r="BF615" s="6"/>
      <c r="BG615" s="1"/>
      <c r="BT615" s="6"/>
      <c r="BU615" s="1"/>
      <c r="CH615" s="6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ht="13.5" customHeight="1">
      <c r="A616" s="1"/>
      <c r="P616" s="6"/>
      <c r="Q616" s="1"/>
      <c r="AD616" s="6"/>
      <c r="AE616" s="1"/>
      <c r="AR616" s="6"/>
      <c r="AS616" s="1"/>
      <c r="BF616" s="6"/>
      <c r="BG616" s="1"/>
      <c r="BT616" s="6"/>
      <c r="BU616" s="1"/>
      <c r="CH616" s="6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ht="13.5" customHeight="1">
      <c r="A617" s="1"/>
      <c r="P617" s="6"/>
      <c r="Q617" s="1"/>
      <c r="AD617" s="6"/>
      <c r="AE617" s="1"/>
      <c r="AR617" s="6"/>
      <c r="AS617" s="1"/>
      <c r="BF617" s="6"/>
      <c r="BG617" s="1"/>
      <c r="BT617" s="6"/>
      <c r="BU617" s="1"/>
      <c r="CH617" s="6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ht="13.5" customHeight="1">
      <c r="A618" s="1"/>
      <c r="P618" s="6"/>
      <c r="Q618" s="1"/>
      <c r="AD618" s="6"/>
      <c r="AE618" s="1"/>
      <c r="AR618" s="6"/>
      <c r="AS618" s="1"/>
      <c r="BF618" s="6"/>
      <c r="BG618" s="1"/>
      <c r="BT618" s="6"/>
      <c r="BU618" s="1"/>
      <c r="CH618" s="6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ht="13.5" customHeight="1">
      <c r="A619" s="1"/>
      <c r="P619" s="6"/>
      <c r="Q619" s="1"/>
      <c r="AD619" s="6"/>
      <c r="AE619" s="1"/>
      <c r="AR619" s="6"/>
      <c r="AS619" s="1"/>
      <c r="BF619" s="6"/>
      <c r="BG619" s="1"/>
      <c r="BT619" s="6"/>
      <c r="BU619" s="1"/>
      <c r="CH619" s="6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ht="13.5" customHeight="1">
      <c r="A620" s="1"/>
      <c r="P620" s="6"/>
      <c r="Q620" s="1"/>
      <c r="AD620" s="6"/>
      <c r="AE620" s="1"/>
      <c r="AR620" s="6"/>
      <c r="AS620" s="1"/>
      <c r="BF620" s="6"/>
      <c r="BG620" s="1"/>
      <c r="BT620" s="6"/>
      <c r="BU620" s="1"/>
      <c r="CH620" s="6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ht="13.5" customHeight="1">
      <c r="A621" s="1"/>
      <c r="P621" s="6"/>
      <c r="Q621" s="1"/>
      <c r="AD621" s="6"/>
      <c r="AE621" s="1"/>
      <c r="AR621" s="6"/>
      <c r="AS621" s="1"/>
      <c r="BF621" s="6"/>
      <c r="BG621" s="1"/>
      <c r="BT621" s="6"/>
      <c r="BU621" s="1"/>
      <c r="CH621" s="6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ht="13.5" customHeight="1">
      <c r="A622" s="1"/>
      <c r="P622" s="6"/>
      <c r="Q622" s="1"/>
      <c r="AD622" s="6"/>
      <c r="AE622" s="1"/>
      <c r="AR622" s="6"/>
      <c r="AS622" s="1"/>
      <c r="BF622" s="6"/>
      <c r="BG622" s="1"/>
      <c r="BT622" s="6"/>
      <c r="BU622" s="1"/>
      <c r="CH622" s="6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ht="13.5" customHeight="1">
      <c r="A623" s="1"/>
      <c r="P623" s="6"/>
      <c r="Q623" s="1"/>
      <c r="AD623" s="6"/>
      <c r="AE623" s="1"/>
      <c r="AR623" s="6"/>
      <c r="AS623" s="1"/>
      <c r="BF623" s="6"/>
      <c r="BG623" s="1"/>
      <c r="BT623" s="6"/>
      <c r="BU623" s="1"/>
      <c r="CH623" s="6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ht="13.5" customHeight="1">
      <c r="A624" s="1"/>
      <c r="P624" s="6"/>
      <c r="Q624" s="1"/>
      <c r="AD624" s="6"/>
      <c r="AE624" s="1"/>
      <c r="AR624" s="6"/>
      <c r="AS624" s="1"/>
      <c r="BF624" s="6"/>
      <c r="BG624" s="1"/>
      <c r="BT624" s="6"/>
      <c r="BU624" s="1"/>
      <c r="CH624" s="6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ht="13.5" customHeight="1">
      <c r="A625" s="1"/>
      <c r="P625" s="6"/>
      <c r="Q625" s="1"/>
      <c r="AD625" s="6"/>
      <c r="AE625" s="1"/>
      <c r="AR625" s="6"/>
      <c r="AS625" s="1"/>
      <c r="BF625" s="6"/>
      <c r="BG625" s="1"/>
      <c r="BT625" s="6"/>
      <c r="BU625" s="1"/>
      <c r="CH625" s="6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ht="13.5" customHeight="1">
      <c r="A626" s="1"/>
      <c r="P626" s="6"/>
      <c r="Q626" s="1"/>
      <c r="AD626" s="6"/>
      <c r="AE626" s="1"/>
      <c r="AR626" s="6"/>
      <c r="AS626" s="1"/>
      <c r="BF626" s="6"/>
      <c r="BG626" s="1"/>
      <c r="BT626" s="6"/>
      <c r="BU626" s="1"/>
      <c r="CH626" s="6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ht="13.5" customHeight="1">
      <c r="A627" s="1"/>
      <c r="P627" s="6"/>
      <c r="Q627" s="1"/>
      <c r="AD627" s="6"/>
      <c r="AE627" s="1"/>
      <c r="AR627" s="6"/>
      <c r="AS627" s="1"/>
      <c r="BF627" s="6"/>
      <c r="BG627" s="1"/>
      <c r="BT627" s="6"/>
      <c r="BU627" s="1"/>
      <c r="CH627" s="6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ht="13.5" customHeight="1">
      <c r="A628" s="1"/>
      <c r="P628" s="6"/>
      <c r="Q628" s="1"/>
      <c r="AD628" s="6"/>
      <c r="AE628" s="1"/>
      <c r="AR628" s="6"/>
      <c r="AS628" s="1"/>
      <c r="BF628" s="6"/>
      <c r="BG628" s="1"/>
      <c r="BT628" s="6"/>
      <c r="BU628" s="1"/>
      <c r="CH628" s="6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ht="13.5" customHeight="1">
      <c r="A629" s="1"/>
      <c r="P629" s="6"/>
      <c r="Q629" s="1"/>
      <c r="AD629" s="6"/>
      <c r="AE629" s="1"/>
      <c r="AR629" s="6"/>
      <c r="AS629" s="1"/>
      <c r="BF629" s="6"/>
      <c r="BG629" s="1"/>
      <c r="BT629" s="6"/>
      <c r="BU629" s="1"/>
      <c r="CH629" s="6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ht="13.5" customHeight="1">
      <c r="A630" s="1"/>
      <c r="P630" s="6"/>
      <c r="Q630" s="1"/>
      <c r="AD630" s="6"/>
      <c r="AE630" s="1"/>
      <c r="AR630" s="6"/>
      <c r="AS630" s="1"/>
      <c r="BF630" s="6"/>
      <c r="BG630" s="1"/>
      <c r="BT630" s="6"/>
      <c r="BU630" s="1"/>
      <c r="CH630" s="6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ht="13.5" customHeight="1">
      <c r="A631" s="1"/>
      <c r="P631" s="6"/>
      <c r="Q631" s="1"/>
      <c r="AD631" s="6"/>
      <c r="AE631" s="1"/>
      <c r="AR631" s="6"/>
      <c r="AS631" s="1"/>
      <c r="BF631" s="6"/>
      <c r="BG631" s="1"/>
      <c r="BT631" s="6"/>
      <c r="BU631" s="1"/>
      <c r="CH631" s="6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ht="13.5" customHeight="1">
      <c r="A632" s="1"/>
      <c r="P632" s="6"/>
      <c r="Q632" s="1"/>
      <c r="AD632" s="6"/>
      <c r="AE632" s="1"/>
      <c r="AR632" s="6"/>
      <c r="AS632" s="1"/>
      <c r="BF632" s="6"/>
      <c r="BG632" s="1"/>
      <c r="BT632" s="6"/>
      <c r="BU632" s="1"/>
      <c r="CH632" s="6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ht="13.5" customHeight="1">
      <c r="A633" s="1"/>
      <c r="P633" s="6"/>
      <c r="Q633" s="1"/>
      <c r="AD633" s="6"/>
      <c r="AE633" s="1"/>
      <c r="AR633" s="6"/>
      <c r="AS633" s="1"/>
      <c r="BF633" s="6"/>
      <c r="BG633" s="1"/>
      <c r="BT633" s="6"/>
      <c r="BU633" s="1"/>
      <c r="CH633" s="6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ht="13.5" customHeight="1">
      <c r="A634" s="1"/>
      <c r="P634" s="6"/>
      <c r="Q634" s="1"/>
      <c r="AD634" s="6"/>
      <c r="AE634" s="1"/>
      <c r="AR634" s="6"/>
      <c r="AS634" s="1"/>
      <c r="BF634" s="6"/>
      <c r="BG634" s="1"/>
      <c r="BT634" s="6"/>
      <c r="BU634" s="1"/>
      <c r="CH634" s="6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ht="13.5" customHeight="1">
      <c r="A635" s="1"/>
      <c r="P635" s="6"/>
      <c r="Q635" s="1"/>
      <c r="AD635" s="6"/>
      <c r="AE635" s="1"/>
      <c r="AR635" s="6"/>
      <c r="AS635" s="1"/>
      <c r="BF635" s="6"/>
      <c r="BG635" s="1"/>
      <c r="BT635" s="6"/>
      <c r="BU635" s="1"/>
      <c r="CH635" s="6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ht="13.5" customHeight="1">
      <c r="A636" s="1"/>
      <c r="P636" s="6"/>
      <c r="Q636" s="1"/>
      <c r="AD636" s="6"/>
      <c r="AE636" s="1"/>
      <c r="AR636" s="6"/>
      <c r="AS636" s="1"/>
      <c r="BF636" s="6"/>
      <c r="BG636" s="1"/>
      <c r="BT636" s="6"/>
      <c r="BU636" s="1"/>
      <c r="CH636" s="6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ht="13.5" customHeight="1">
      <c r="A637" s="1"/>
      <c r="P637" s="6"/>
      <c r="Q637" s="1"/>
      <c r="AD637" s="6"/>
      <c r="AE637" s="1"/>
      <c r="AR637" s="6"/>
      <c r="AS637" s="1"/>
      <c r="BF637" s="6"/>
      <c r="BG637" s="1"/>
      <c r="BT637" s="6"/>
      <c r="BU637" s="1"/>
      <c r="CH637" s="6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ht="13.5" customHeight="1">
      <c r="A638" s="1"/>
      <c r="P638" s="6"/>
      <c r="Q638" s="1"/>
      <c r="AD638" s="6"/>
      <c r="AE638" s="1"/>
      <c r="AR638" s="6"/>
      <c r="AS638" s="1"/>
      <c r="BF638" s="6"/>
      <c r="BG638" s="1"/>
      <c r="BT638" s="6"/>
      <c r="BU638" s="1"/>
      <c r="CH638" s="6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ht="13.5" customHeight="1">
      <c r="A639" s="1"/>
      <c r="P639" s="6"/>
      <c r="Q639" s="1"/>
      <c r="AD639" s="6"/>
      <c r="AE639" s="1"/>
      <c r="AR639" s="6"/>
      <c r="AS639" s="1"/>
      <c r="BF639" s="6"/>
      <c r="BG639" s="1"/>
      <c r="BT639" s="6"/>
      <c r="BU639" s="1"/>
      <c r="CH639" s="6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ht="13.5" customHeight="1">
      <c r="A640" s="1"/>
      <c r="P640" s="6"/>
      <c r="Q640" s="1"/>
      <c r="AD640" s="6"/>
      <c r="AE640" s="1"/>
      <c r="AR640" s="6"/>
      <c r="AS640" s="1"/>
      <c r="BF640" s="6"/>
      <c r="BG640" s="1"/>
      <c r="BT640" s="6"/>
      <c r="BU640" s="1"/>
      <c r="CH640" s="6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ht="13.5" customHeight="1">
      <c r="A641" s="1"/>
      <c r="P641" s="6"/>
      <c r="Q641" s="1"/>
      <c r="AD641" s="6"/>
      <c r="AE641" s="1"/>
      <c r="AR641" s="6"/>
      <c r="AS641" s="1"/>
      <c r="BF641" s="6"/>
      <c r="BG641" s="1"/>
      <c r="BT641" s="6"/>
      <c r="BU641" s="1"/>
      <c r="CH641" s="6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ht="13.5" customHeight="1">
      <c r="A642" s="1"/>
      <c r="P642" s="6"/>
      <c r="Q642" s="1"/>
      <c r="AD642" s="6"/>
      <c r="AE642" s="1"/>
      <c r="AR642" s="6"/>
      <c r="AS642" s="1"/>
      <c r="BF642" s="6"/>
      <c r="BG642" s="1"/>
      <c r="BT642" s="6"/>
      <c r="BU642" s="1"/>
      <c r="CH642" s="6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ht="13.5" customHeight="1">
      <c r="A643" s="1"/>
      <c r="P643" s="6"/>
      <c r="Q643" s="1"/>
      <c r="AD643" s="6"/>
      <c r="AE643" s="1"/>
      <c r="AR643" s="6"/>
      <c r="AS643" s="1"/>
      <c r="BF643" s="6"/>
      <c r="BG643" s="1"/>
      <c r="BT643" s="6"/>
      <c r="BU643" s="1"/>
      <c r="CH643" s="6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ht="13.5" customHeight="1">
      <c r="A644" s="1"/>
      <c r="P644" s="6"/>
      <c r="Q644" s="1"/>
      <c r="AD644" s="6"/>
      <c r="AE644" s="1"/>
      <c r="AR644" s="6"/>
      <c r="AS644" s="1"/>
      <c r="BF644" s="6"/>
      <c r="BG644" s="1"/>
      <c r="BT644" s="6"/>
      <c r="BU644" s="1"/>
      <c r="CH644" s="6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ht="13.5" customHeight="1">
      <c r="A645" s="1"/>
      <c r="P645" s="6"/>
      <c r="Q645" s="1"/>
      <c r="AD645" s="6"/>
      <c r="AE645" s="1"/>
      <c r="AR645" s="6"/>
      <c r="AS645" s="1"/>
      <c r="BF645" s="6"/>
      <c r="BG645" s="1"/>
      <c r="BT645" s="6"/>
      <c r="BU645" s="1"/>
      <c r="CH645" s="6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ht="13.5" customHeight="1">
      <c r="A646" s="1"/>
      <c r="P646" s="6"/>
      <c r="Q646" s="1"/>
      <c r="AD646" s="6"/>
      <c r="AE646" s="1"/>
      <c r="AR646" s="6"/>
      <c r="AS646" s="1"/>
      <c r="BF646" s="6"/>
      <c r="BG646" s="1"/>
      <c r="BT646" s="6"/>
      <c r="BU646" s="1"/>
      <c r="CH646" s="6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ht="13.5" customHeight="1">
      <c r="A647" s="1"/>
      <c r="P647" s="6"/>
      <c r="Q647" s="1"/>
      <c r="AD647" s="6"/>
      <c r="AE647" s="1"/>
      <c r="AR647" s="6"/>
      <c r="AS647" s="1"/>
      <c r="BF647" s="6"/>
      <c r="BG647" s="1"/>
      <c r="BT647" s="6"/>
      <c r="BU647" s="1"/>
      <c r="CH647" s="6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ht="13.5" customHeight="1">
      <c r="A648" s="1"/>
      <c r="P648" s="6"/>
      <c r="Q648" s="1"/>
      <c r="AD648" s="6"/>
      <c r="AE648" s="1"/>
      <c r="AR648" s="6"/>
      <c r="AS648" s="1"/>
      <c r="BF648" s="6"/>
      <c r="BG648" s="1"/>
      <c r="BT648" s="6"/>
      <c r="BU648" s="1"/>
      <c r="CH648" s="6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ht="13.5" customHeight="1">
      <c r="A649" s="1"/>
      <c r="P649" s="6"/>
      <c r="Q649" s="1"/>
      <c r="AD649" s="6"/>
      <c r="AE649" s="1"/>
      <c r="AR649" s="6"/>
      <c r="AS649" s="1"/>
      <c r="BF649" s="6"/>
      <c r="BG649" s="1"/>
      <c r="BT649" s="6"/>
      <c r="BU649" s="1"/>
      <c r="CH649" s="6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ht="13.5" customHeight="1">
      <c r="A650" s="1"/>
      <c r="P650" s="6"/>
      <c r="Q650" s="1"/>
      <c r="AD650" s="6"/>
      <c r="AE650" s="1"/>
      <c r="AR650" s="6"/>
      <c r="AS650" s="1"/>
      <c r="BF650" s="6"/>
      <c r="BG650" s="1"/>
      <c r="BT650" s="6"/>
      <c r="BU650" s="1"/>
      <c r="CH650" s="6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ht="13.5" customHeight="1">
      <c r="A651" s="1"/>
      <c r="P651" s="6"/>
      <c r="Q651" s="1"/>
      <c r="AD651" s="6"/>
      <c r="AE651" s="1"/>
      <c r="AR651" s="6"/>
      <c r="AS651" s="1"/>
      <c r="BF651" s="6"/>
      <c r="BG651" s="1"/>
      <c r="BT651" s="6"/>
      <c r="BU651" s="1"/>
      <c r="CH651" s="6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ht="13.5" customHeight="1">
      <c r="A652" s="1"/>
      <c r="P652" s="6"/>
      <c r="Q652" s="1"/>
      <c r="AD652" s="6"/>
      <c r="AE652" s="1"/>
      <c r="AR652" s="6"/>
      <c r="AS652" s="1"/>
      <c r="BF652" s="6"/>
      <c r="BG652" s="1"/>
      <c r="BT652" s="6"/>
      <c r="BU652" s="1"/>
      <c r="CH652" s="6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ht="13.5" customHeight="1">
      <c r="A653" s="1"/>
      <c r="P653" s="6"/>
      <c r="Q653" s="1"/>
      <c r="AD653" s="6"/>
      <c r="AE653" s="1"/>
      <c r="AR653" s="6"/>
      <c r="AS653" s="1"/>
      <c r="BF653" s="6"/>
      <c r="BG653" s="1"/>
      <c r="BT653" s="6"/>
      <c r="BU653" s="1"/>
      <c r="CH653" s="6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ht="13.5" customHeight="1">
      <c r="A654" s="1"/>
      <c r="P654" s="6"/>
      <c r="Q654" s="1"/>
      <c r="AD654" s="6"/>
      <c r="AE654" s="1"/>
      <c r="AR654" s="6"/>
      <c r="AS654" s="1"/>
      <c r="BF654" s="6"/>
      <c r="BG654" s="1"/>
      <c r="BT654" s="6"/>
      <c r="BU654" s="1"/>
      <c r="CH654" s="6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ht="13.5" customHeight="1">
      <c r="A655" s="1"/>
      <c r="P655" s="6"/>
      <c r="Q655" s="1"/>
      <c r="AD655" s="6"/>
      <c r="AE655" s="1"/>
      <c r="AR655" s="6"/>
      <c r="AS655" s="1"/>
      <c r="BF655" s="6"/>
      <c r="BG655" s="1"/>
      <c r="BT655" s="6"/>
      <c r="BU655" s="1"/>
      <c r="CH655" s="6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ht="13.5" customHeight="1">
      <c r="A656" s="1"/>
      <c r="P656" s="6"/>
      <c r="Q656" s="1"/>
      <c r="AD656" s="6"/>
      <c r="AE656" s="1"/>
      <c r="AR656" s="6"/>
      <c r="AS656" s="1"/>
      <c r="BF656" s="6"/>
      <c r="BG656" s="1"/>
      <c r="BT656" s="6"/>
      <c r="BU656" s="1"/>
      <c r="CH656" s="6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ht="13.5" customHeight="1">
      <c r="A657" s="1"/>
      <c r="P657" s="6"/>
      <c r="Q657" s="1"/>
      <c r="AD657" s="6"/>
      <c r="AE657" s="1"/>
      <c r="AR657" s="6"/>
      <c r="AS657" s="1"/>
      <c r="BF657" s="6"/>
      <c r="BG657" s="1"/>
      <c r="BT657" s="6"/>
      <c r="BU657" s="1"/>
      <c r="CH657" s="6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ht="13.5" customHeight="1">
      <c r="A658" s="1"/>
      <c r="P658" s="6"/>
      <c r="Q658" s="1"/>
      <c r="AD658" s="6"/>
      <c r="AE658" s="1"/>
      <c r="AR658" s="6"/>
      <c r="AS658" s="1"/>
      <c r="BF658" s="6"/>
      <c r="BG658" s="1"/>
      <c r="BT658" s="6"/>
      <c r="BU658" s="1"/>
      <c r="CH658" s="6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ht="13.5" customHeight="1">
      <c r="A659" s="1"/>
      <c r="P659" s="6"/>
      <c r="Q659" s="1"/>
      <c r="AD659" s="6"/>
      <c r="AE659" s="1"/>
      <c r="AR659" s="6"/>
      <c r="AS659" s="1"/>
      <c r="BF659" s="6"/>
      <c r="BG659" s="1"/>
      <c r="BT659" s="6"/>
      <c r="BU659" s="1"/>
      <c r="CH659" s="6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ht="13.5" customHeight="1">
      <c r="A660" s="1"/>
      <c r="P660" s="6"/>
      <c r="Q660" s="1"/>
      <c r="AD660" s="6"/>
      <c r="AE660" s="1"/>
      <c r="AR660" s="6"/>
      <c r="AS660" s="1"/>
      <c r="BF660" s="6"/>
      <c r="BG660" s="1"/>
      <c r="BT660" s="6"/>
      <c r="BU660" s="1"/>
      <c r="CH660" s="6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ht="13.5" customHeight="1">
      <c r="A661" s="1"/>
      <c r="P661" s="6"/>
      <c r="Q661" s="1"/>
      <c r="AD661" s="6"/>
      <c r="AE661" s="1"/>
      <c r="AR661" s="6"/>
      <c r="AS661" s="1"/>
      <c r="BF661" s="6"/>
      <c r="BG661" s="1"/>
      <c r="BT661" s="6"/>
      <c r="BU661" s="1"/>
      <c r="CH661" s="6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ht="13.5" customHeight="1">
      <c r="A662" s="1"/>
      <c r="P662" s="6"/>
      <c r="Q662" s="1"/>
      <c r="AD662" s="6"/>
      <c r="AE662" s="1"/>
      <c r="AR662" s="6"/>
      <c r="AS662" s="1"/>
      <c r="BF662" s="6"/>
      <c r="BG662" s="1"/>
      <c r="BT662" s="6"/>
      <c r="BU662" s="1"/>
      <c r="CH662" s="6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ht="13.5" customHeight="1">
      <c r="A663" s="1"/>
      <c r="P663" s="6"/>
      <c r="Q663" s="1"/>
      <c r="AD663" s="6"/>
      <c r="AE663" s="1"/>
      <c r="AR663" s="6"/>
      <c r="AS663" s="1"/>
      <c r="BF663" s="6"/>
      <c r="BG663" s="1"/>
      <c r="BT663" s="6"/>
      <c r="BU663" s="1"/>
      <c r="CH663" s="6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ht="13.5" customHeight="1">
      <c r="A664" s="1"/>
      <c r="P664" s="6"/>
      <c r="Q664" s="1"/>
      <c r="AD664" s="6"/>
      <c r="AE664" s="1"/>
      <c r="AR664" s="6"/>
      <c r="AS664" s="1"/>
      <c r="BF664" s="6"/>
      <c r="BG664" s="1"/>
      <c r="BT664" s="6"/>
      <c r="BU664" s="1"/>
      <c r="CH664" s="6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ht="13.5" customHeight="1">
      <c r="A665" s="1"/>
      <c r="P665" s="6"/>
      <c r="Q665" s="1"/>
      <c r="AD665" s="6"/>
      <c r="AE665" s="1"/>
      <c r="AR665" s="6"/>
      <c r="AS665" s="1"/>
      <c r="BF665" s="6"/>
      <c r="BG665" s="1"/>
      <c r="BT665" s="6"/>
      <c r="BU665" s="1"/>
      <c r="CH665" s="6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ht="13.5" customHeight="1">
      <c r="A666" s="1"/>
      <c r="P666" s="6"/>
      <c r="Q666" s="1"/>
      <c r="AD666" s="6"/>
      <c r="AE666" s="1"/>
      <c r="AR666" s="6"/>
      <c r="AS666" s="1"/>
      <c r="BF666" s="6"/>
      <c r="BG666" s="1"/>
      <c r="BT666" s="6"/>
      <c r="BU666" s="1"/>
      <c r="CH666" s="6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ht="13.5" customHeight="1">
      <c r="A667" s="1"/>
      <c r="P667" s="6"/>
      <c r="Q667" s="1"/>
      <c r="AD667" s="6"/>
      <c r="AE667" s="1"/>
      <c r="AR667" s="6"/>
      <c r="AS667" s="1"/>
      <c r="BF667" s="6"/>
      <c r="BG667" s="1"/>
      <c r="BT667" s="6"/>
      <c r="BU667" s="1"/>
      <c r="CH667" s="6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ht="13.5" customHeight="1">
      <c r="A668" s="1"/>
      <c r="P668" s="6"/>
      <c r="Q668" s="1"/>
      <c r="AD668" s="6"/>
      <c r="AE668" s="1"/>
      <c r="AR668" s="6"/>
      <c r="AS668" s="1"/>
      <c r="BF668" s="6"/>
      <c r="BG668" s="1"/>
      <c r="BT668" s="6"/>
      <c r="BU668" s="1"/>
      <c r="CH668" s="6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ht="13.5" customHeight="1">
      <c r="A669" s="1"/>
      <c r="P669" s="6"/>
      <c r="Q669" s="1"/>
      <c r="AD669" s="6"/>
      <c r="AE669" s="1"/>
      <c r="AR669" s="6"/>
      <c r="AS669" s="1"/>
      <c r="BF669" s="6"/>
      <c r="BG669" s="1"/>
      <c r="BT669" s="6"/>
      <c r="BU669" s="1"/>
      <c r="CH669" s="6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ht="13.5" customHeight="1">
      <c r="A670" s="1"/>
      <c r="P670" s="6"/>
      <c r="Q670" s="1"/>
      <c r="AD670" s="6"/>
      <c r="AE670" s="1"/>
      <c r="AR670" s="6"/>
      <c r="AS670" s="1"/>
      <c r="BF670" s="6"/>
      <c r="BG670" s="1"/>
      <c r="BT670" s="6"/>
      <c r="BU670" s="1"/>
      <c r="CH670" s="6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ht="13.5" customHeight="1">
      <c r="A671" s="1"/>
      <c r="P671" s="6"/>
      <c r="Q671" s="1"/>
      <c r="AD671" s="6"/>
      <c r="AE671" s="1"/>
      <c r="AR671" s="6"/>
      <c r="AS671" s="1"/>
      <c r="BF671" s="6"/>
      <c r="BG671" s="1"/>
      <c r="BT671" s="6"/>
      <c r="BU671" s="1"/>
      <c r="CH671" s="6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ht="13.5" customHeight="1">
      <c r="A672" s="1"/>
      <c r="P672" s="6"/>
      <c r="Q672" s="1"/>
      <c r="AD672" s="6"/>
      <c r="AE672" s="1"/>
      <c r="AR672" s="6"/>
      <c r="AS672" s="1"/>
      <c r="BF672" s="6"/>
      <c r="BG672" s="1"/>
      <c r="BT672" s="6"/>
      <c r="BU672" s="1"/>
      <c r="CH672" s="6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ht="13.5" customHeight="1">
      <c r="A673" s="1"/>
      <c r="P673" s="6"/>
      <c r="Q673" s="1"/>
      <c r="AD673" s="6"/>
      <c r="AE673" s="1"/>
      <c r="AR673" s="6"/>
      <c r="AS673" s="1"/>
      <c r="BF673" s="6"/>
      <c r="BG673" s="1"/>
      <c r="BT673" s="6"/>
      <c r="BU673" s="1"/>
      <c r="CH673" s="6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ht="13.5" customHeight="1">
      <c r="A674" s="1"/>
      <c r="P674" s="6"/>
      <c r="Q674" s="1"/>
      <c r="AD674" s="6"/>
      <c r="AE674" s="1"/>
      <c r="AR674" s="6"/>
      <c r="AS674" s="1"/>
      <c r="BF674" s="6"/>
      <c r="BG674" s="1"/>
      <c r="BT674" s="6"/>
      <c r="BU674" s="1"/>
      <c r="CH674" s="6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ht="13.5" customHeight="1">
      <c r="A675" s="1"/>
      <c r="P675" s="6"/>
      <c r="Q675" s="1"/>
      <c r="AD675" s="6"/>
      <c r="AE675" s="1"/>
      <c r="AR675" s="6"/>
      <c r="AS675" s="1"/>
      <c r="BF675" s="6"/>
      <c r="BG675" s="1"/>
      <c r="BT675" s="6"/>
      <c r="BU675" s="1"/>
      <c r="CH675" s="6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ht="13.5" customHeight="1">
      <c r="A676" s="1"/>
      <c r="P676" s="6"/>
      <c r="Q676" s="1"/>
      <c r="AD676" s="6"/>
      <c r="AE676" s="1"/>
      <c r="AR676" s="6"/>
      <c r="AS676" s="1"/>
      <c r="BF676" s="6"/>
      <c r="BG676" s="1"/>
      <c r="BT676" s="6"/>
      <c r="BU676" s="1"/>
      <c r="CH676" s="6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ht="13.5" customHeight="1">
      <c r="A677" s="1"/>
      <c r="P677" s="6"/>
      <c r="Q677" s="1"/>
      <c r="AD677" s="6"/>
      <c r="AE677" s="1"/>
      <c r="AR677" s="6"/>
      <c r="AS677" s="1"/>
      <c r="BF677" s="6"/>
      <c r="BG677" s="1"/>
      <c r="BT677" s="6"/>
      <c r="BU677" s="1"/>
      <c r="CH677" s="6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ht="13.5" customHeight="1">
      <c r="A678" s="1"/>
      <c r="P678" s="6"/>
      <c r="Q678" s="1"/>
      <c r="AD678" s="6"/>
      <c r="AE678" s="1"/>
      <c r="AR678" s="6"/>
      <c r="AS678" s="1"/>
      <c r="BF678" s="6"/>
      <c r="BG678" s="1"/>
      <c r="BT678" s="6"/>
      <c r="BU678" s="1"/>
      <c r="CH678" s="6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ht="13.5" customHeight="1">
      <c r="A679" s="1"/>
      <c r="P679" s="6"/>
      <c r="Q679" s="1"/>
      <c r="AD679" s="6"/>
      <c r="AE679" s="1"/>
      <c r="AR679" s="6"/>
      <c r="AS679" s="1"/>
      <c r="BF679" s="6"/>
      <c r="BG679" s="1"/>
      <c r="BT679" s="6"/>
      <c r="BU679" s="1"/>
      <c r="CH679" s="6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ht="13.5" customHeight="1">
      <c r="A680" s="1"/>
      <c r="P680" s="6"/>
      <c r="Q680" s="1"/>
      <c r="AD680" s="6"/>
      <c r="AE680" s="1"/>
      <c r="AR680" s="6"/>
      <c r="AS680" s="1"/>
      <c r="BF680" s="6"/>
      <c r="BG680" s="1"/>
      <c r="BT680" s="6"/>
      <c r="BU680" s="1"/>
      <c r="CH680" s="6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ht="13.5" customHeight="1">
      <c r="A681" s="1"/>
      <c r="P681" s="6"/>
      <c r="Q681" s="1"/>
      <c r="AD681" s="6"/>
      <c r="AE681" s="1"/>
      <c r="AR681" s="6"/>
      <c r="AS681" s="1"/>
      <c r="BF681" s="6"/>
      <c r="BG681" s="1"/>
      <c r="BT681" s="6"/>
      <c r="BU681" s="1"/>
      <c r="CH681" s="6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ht="13.5" customHeight="1">
      <c r="A682" s="1"/>
      <c r="P682" s="6"/>
      <c r="Q682" s="1"/>
      <c r="AD682" s="6"/>
      <c r="AE682" s="1"/>
      <c r="AR682" s="6"/>
      <c r="AS682" s="1"/>
      <c r="BF682" s="6"/>
      <c r="BG682" s="1"/>
      <c r="BT682" s="6"/>
      <c r="BU682" s="1"/>
      <c r="CH682" s="6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ht="13.5" customHeight="1">
      <c r="A683" s="1"/>
      <c r="P683" s="6"/>
      <c r="Q683" s="1"/>
      <c r="AD683" s="6"/>
      <c r="AE683" s="1"/>
      <c r="AR683" s="6"/>
      <c r="AS683" s="1"/>
      <c r="BF683" s="6"/>
      <c r="BG683" s="1"/>
      <c r="BT683" s="6"/>
      <c r="BU683" s="1"/>
      <c r="CH683" s="6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ht="13.5" customHeight="1">
      <c r="A684" s="1"/>
      <c r="P684" s="6"/>
      <c r="Q684" s="1"/>
      <c r="AD684" s="6"/>
      <c r="AE684" s="1"/>
      <c r="AR684" s="6"/>
      <c r="AS684" s="1"/>
      <c r="BF684" s="6"/>
      <c r="BG684" s="1"/>
      <c r="BT684" s="6"/>
      <c r="BU684" s="1"/>
      <c r="CH684" s="6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ht="13.5" customHeight="1">
      <c r="A685" s="1"/>
      <c r="P685" s="6"/>
      <c r="Q685" s="1"/>
      <c r="AD685" s="6"/>
      <c r="AE685" s="1"/>
      <c r="AR685" s="6"/>
      <c r="AS685" s="1"/>
      <c r="BF685" s="6"/>
      <c r="BG685" s="1"/>
      <c r="BT685" s="6"/>
      <c r="BU685" s="1"/>
      <c r="CH685" s="6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ht="13.5" customHeight="1">
      <c r="A686" s="1"/>
      <c r="P686" s="6"/>
      <c r="Q686" s="1"/>
      <c r="AD686" s="6"/>
      <c r="AE686" s="1"/>
      <c r="AR686" s="6"/>
      <c r="AS686" s="1"/>
      <c r="BF686" s="6"/>
      <c r="BG686" s="1"/>
      <c r="BT686" s="6"/>
      <c r="BU686" s="1"/>
      <c r="CH686" s="6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ht="13.5" customHeight="1">
      <c r="A687" s="1"/>
      <c r="P687" s="6"/>
      <c r="Q687" s="1"/>
      <c r="AD687" s="6"/>
      <c r="AE687" s="1"/>
      <c r="AR687" s="6"/>
      <c r="AS687" s="1"/>
      <c r="BF687" s="6"/>
      <c r="BG687" s="1"/>
      <c r="BT687" s="6"/>
      <c r="BU687" s="1"/>
      <c r="CH687" s="6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ht="13.5" customHeight="1">
      <c r="A688" s="1"/>
      <c r="P688" s="6"/>
      <c r="Q688" s="1"/>
      <c r="AD688" s="6"/>
      <c r="AE688" s="1"/>
      <c r="AR688" s="6"/>
      <c r="AS688" s="1"/>
      <c r="BF688" s="6"/>
      <c r="BG688" s="1"/>
      <c r="BT688" s="6"/>
      <c r="BU688" s="1"/>
      <c r="CH688" s="6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ht="13.5" customHeight="1">
      <c r="A689" s="1"/>
      <c r="P689" s="6"/>
      <c r="Q689" s="1"/>
      <c r="AD689" s="6"/>
      <c r="AE689" s="1"/>
      <c r="AR689" s="6"/>
      <c r="AS689" s="1"/>
      <c r="BF689" s="6"/>
      <c r="BG689" s="1"/>
      <c r="BT689" s="6"/>
      <c r="BU689" s="1"/>
      <c r="CH689" s="6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ht="13.5" customHeight="1">
      <c r="A690" s="1"/>
      <c r="P690" s="6"/>
      <c r="Q690" s="1"/>
      <c r="AD690" s="6"/>
      <c r="AE690" s="1"/>
      <c r="AR690" s="6"/>
      <c r="AS690" s="1"/>
      <c r="BF690" s="6"/>
      <c r="BG690" s="1"/>
      <c r="BT690" s="6"/>
      <c r="BU690" s="1"/>
      <c r="CH690" s="6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ht="13.5" customHeight="1">
      <c r="A691" s="1"/>
      <c r="P691" s="6"/>
      <c r="Q691" s="1"/>
      <c r="AD691" s="6"/>
      <c r="AE691" s="1"/>
      <c r="AR691" s="6"/>
      <c r="AS691" s="1"/>
      <c r="BF691" s="6"/>
      <c r="BG691" s="1"/>
      <c r="BT691" s="6"/>
      <c r="BU691" s="1"/>
      <c r="CH691" s="6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ht="13.5" customHeight="1">
      <c r="A692" s="1"/>
      <c r="P692" s="6"/>
      <c r="Q692" s="1"/>
      <c r="AD692" s="6"/>
      <c r="AE692" s="1"/>
      <c r="AR692" s="6"/>
      <c r="AS692" s="1"/>
      <c r="BF692" s="6"/>
      <c r="BG692" s="1"/>
      <c r="BT692" s="6"/>
      <c r="BU692" s="1"/>
      <c r="CH692" s="6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ht="13.5" customHeight="1">
      <c r="A693" s="1"/>
      <c r="P693" s="6"/>
      <c r="Q693" s="1"/>
      <c r="AD693" s="6"/>
      <c r="AE693" s="1"/>
      <c r="AR693" s="6"/>
      <c r="AS693" s="1"/>
      <c r="BF693" s="6"/>
      <c r="BG693" s="1"/>
      <c r="BT693" s="6"/>
      <c r="BU693" s="1"/>
      <c r="CH693" s="6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ht="13.5" customHeight="1">
      <c r="A694" s="1"/>
      <c r="P694" s="6"/>
      <c r="Q694" s="1"/>
      <c r="AD694" s="6"/>
      <c r="AE694" s="1"/>
      <c r="AR694" s="6"/>
      <c r="AS694" s="1"/>
      <c r="BF694" s="6"/>
      <c r="BG694" s="1"/>
      <c r="BT694" s="6"/>
      <c r="BU694" s="1"/>
      <c r="CH694" s="6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ht="13.5" customHeight="1">
      <c r="A695" s="1"/>
      <c r="P695" s="6"/>
      <c r="Q695" s="1"/>
      <c r="AD695" s="6"/>
      <c r="AE695" s="1"/>
      <c r="AR695" s="6"/>
      <c r="AS695" s="1"/>
      <c r="BF695" s="6"/>
      <c r="BG695" s="1"/>
      <c r="BT695" s="6"/>
      <c r="BU695" s="1"/>
      <c r="CH695" s="6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ht="13.5" customHeight="1">
      <c r="A696" s="1"/>
      <c r="P696" s="6"/>
      <c r="Q696" s="1"/>
      <c r="AD696" s="6"/>
      <c r="AE696" s="1"/>
      <c r="AR696" s="6"/>
      <c r="AS696" s="1"/>
      <c r="BF696" s="6"/>
      <c r="BG696" s="1"/>
      <c r="BT696" s="6"/>
      <c r="BU696" s="1"/>
      <c r="CH696" s="6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ht="13.5" customHeight="1">
      <c r="A697" s="1"/>
      <c r="P697" s="6"/>
      <c r="Q697" s="1"/>
      <c r="AD697" s="6"/>
      <c r="AE697" s="1"/>
      <c r="AR697" s="6"/>
      <c r="AS697" s="1"/>
      <c r="BF697" s="6"/>
      <c r="BG697" s="1"/>
      <c r="BT697" s="6"/>
      <c r="BU697" s="1"/>
      <c r="CH697" s="6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ht="13.5" customHeight="1">
      <c r="A698" s="1"/>
      <c r="P698" s="6"/>
      <c r="Q698" s="1"/>
      <c r="AD698" s="6"/>
      <c r="AE698" s="1"/>
      <c r="AR698" s="6"/>
      <c r="AS698" s="1"/>
      <c r="BF698" s="6"/>
      <c r="BG698" s="1"/>
      <c r="BT698" s="6"/>
      <c r="BU698" s="1"/>
      <c r="CH698" s="6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ht="13.5" customHeight="1">
      <c r="A699" s="1"/>
      <c r="P699" s="6"/>
      <c r="Q699" s="1"/>
      <c r="AD699" s="6"/>
      <c r="AE699" s="1"/>
      <c r="AR699" s="6"/>
      <c r="AS699" s="1"/>
      <c r="BF699" s="6"/>
      <c r="BG699" s="1"/>
      <c r="BT699" s="6"/>
      <c r="BU699" s="1"/>
      <c r="CH699" s="6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ht="13.5" customHeight="1">
      <c r="A700" s="1"/>
      <c r="P700" s="6"/>
      <c r="Q700" s="1"/>
      <c r="AD700" s="6"/>
      <c r="AE700" s="1"/>
      <c r="AR700" s="6"/>
      <c r="AS700" s="1"/>
      <c r="BF700" s="6"/>
      <c r="BG700" s="1"/>
      <c r="BT700" s="6"/>
      <c r="BU700" s="1"/>
      <c r="CH700" s="6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ht="13.5" customHeight="1">
      <c r="A701" s="1"/>
      <c r="P701" s="6"/>
      <c r="Q701" s="1"/>
      <c r="AD701" s="6"/>
      <c r="AE701" s="1"/>
      <c r="AR701" s="6"/>
      <c r="AS701" s="1"/>
      <c r="BF701" s="6"/>
      <c r="BG701" s="1"/>
      <c r="BT701" s="6"/>
      <c r="BU701" s="1"/>
      <c r="CH701" s="6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ht="13.5" customHeight="1">
      <c r="A702" s="1"/>
      <c r="P702" s="6"/>
      <c r="Q702" s="1"/>
      <c r="AD702" s="6"/>
      <c r="AE702" s="1"/>
      <c r="AR702" s="6"/>
      <c r="AS702" s="1"/>
      <c r="BF702" s="6"/>
      <c r="BG702" s="1"/>
      <c r="BT702" s="6"/>
      <c r="BU702" s="1"/>
      <c r="CH702" s="6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ht="13.5" customHeight="1">
      <c r="A703" s="1"/>
      <c r="P703" s="6"/>
      <c r="Q703" s="1"/>
      <c r="AD703" s="6"/>
      <c r="AE703" s="1"/>
      <c r="AR703" s="6"/>
      <c r="AS703" s="1"/>
      <c r="BF703" s="6"/>
      <c r="BG703" s="1"/>
      <c r="BT703" s="6"/>
      <c r="BU703" s="1"/>
      <c r="CH703" s="6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ht="13.5" customHeight="1">
      <c r="A704" s="1"/>
      <c r="P704" s="6"/>
      <c r="Q704" s="1"/>
      <c r="AD704" s="6"/>
      <c r="AE704" s="1"/>
      <c r="AR704" s="6"/>
      <c r="AS704" s="1"/>
      <c r="BF704" s="6"/>
      <c r="BG704" s="1"/>
      <c r="BT704" s="6"/>
      <c r="BU704" s="1"/>
      <c r="CH704" s="6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ht="13.5" customHeight="1">
      <c r="A705" s="1"/>
      <c r="P705" s="6"/>
      <c r="Q705" s="1"/>
      <c r="AD705" s="6"/>
      <c r="AE705" s="1"/>
      <c r="AR705" s="6"/>
      <c r="AS705" s="1"/>
      <c r="BF705" s="6"/>
      <c r="BG705" s="1"/>
      <c r="BT705" s="6"/>
      <c r="BU705" s="1"/>
      <c r="CH705" s="6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ht="13.5" customHeight="1">
      <c r="A706" s="1"/>
      <c r="P706" s="6"/>
      <c r="Q706" s="1"/>
      <c r="AD706" s="6"/>
      <c r="AE706" s="1"/>
      <c r="AR706" s="6"/>
      <c r="AS706" s="1"/>
      <c r="BF706" s="6"/>
      <c r="BG706" s="1"/>
      <c r="BT706" s="6"/>
      <c r="BU706" s="1"/>
      <c r="CH706" s="6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ht="13.5" customHeight="1">
      <c r="A707" s="1"/>
      <c r="P707" s="6"/>
      <c r="Q707" s="1"/>
      <c r="AD707" s="6"/>
      <c r="AE707" s="1"/>
      <c r="AR707" s="6"/>
      <c r="AS707" s="1"/>
      <c r="BF707" s="6"/>
      <c r="BG707" s="1"/>
      <c r="BT707" s="6"/>
      <c r="BU707" s="1"/>
      <c r="CH707" s="6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ht="13.5" customHeight="1">
      <c r="A708" s="1"/>
      <c r="P708" s="6"/>
      <c r="Q708" s="1"/>
      <c r="AD708" s="6"/>
      <c r="AE708" s="1"/>
      <c r="AR708" s="6"/>
      <c r="AS708" s="1"/>
      <c r="BF708" s="6"/>
      <c r="BG708" s="1"/>
      <c r="BT708" s="6"/>
      <c r="BU708" s="1"/>
      <c r="CH708" s="6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ht="13.5" customHeight="1">
      <c r="A709" s="1"/>
      <c r="P709" s="6"/>
      <c r="Q709" s="1"/>
      <c r="AD709" s="6"/>
      <c r="AE709" s="1"/>
      <c r="AR709" s="6"/>
      <c r="AS709" s="1"/>
      <c r="BF709" s="6"/>
      <c r="BG709" s="1"/>
      <c r="BT709" s="6"/>
      <c r="BU709" s="1"/>
      <c r="CH709" s="6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ht="13.5" customHeight="1">
      <c r="A710" s="1"/>
      <c r="P710" s="6"/>
      <c r="Q710" s="1"/>
      <c r="AD710" s="6"/>
      <c r="AE710" s="1"/>
      <c r="AR710" s="6"/>
      <c r="AS710" s="1"/>
      <c r="BF710" s="6"/>
      <c r="BG710" s="1"/>
      <c r="BT710" s="6"/>
      <c r="BU710" s="1"/>
      <c r="CH710" s="6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ht="13.5" customHeight="1">
      <c r="A711" s="1"/>
      <c r="P711" s="6"/>
      <c r="Q711" s="1"/>
      <c r="AD711" s="6"/>
      <c r="AE711" s="1"/>
      <c r="AR711" s="6"/>
      <c r="AS711" s="1"/>
      <c r="BF711" s="6"/>
      <c r="BG711" s="1"/>
      <c r="BT711" s="6"/>
      <c r="BU711" s="1"/>
      <c r="CH711" s="6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ht="13.5" customHeight="1">
      <c r="A712" s="1"/>
      <c r="P712" s="6"/>
      <c r="Q712" s="1"/>
      <c r="AD712" s="6"/>
      <c r="AE712" s="1"/>
      <c r="AR712" s="6"/>
      <c r="AS712" s="1"/>
      <c r="BF712" s="6"/>
      <c r="BG712" s="1"/>
      <c r="BT712" s="6"/>
      <c r="BU712" s="1"/>
      <c r="CH712" s="6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ht="13.5" customHeight="1">
      <c r="A713" s="1"/>
      <c r="P713" s="6"/>
      <c r="Q713" s="1"/>
      <c r="AD713" s="6"/>
      <c r="AE713" s="1"/>
      <c r="AR713" s="6"/>
      <c r="AS713" s="1"/>
      <c r="BF713" s="6"/>
      <c r="BG713" s="1"/>
      <c r="BT713" s="6"/>
      <c r="BU713" s="1"/>
      <c r="CH713" s="6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ht="13.5" customHeight="1">
      <c r="A714" s="1"/>
      <c r="P714" s="6"/>
      <c r="Q714" s="1"/>
      <c r="AD714" s="6"/>
      <c r="AE714" s="1"/>
      <c r="AR714" s="6"/>
      <c r="AS714" s="1"/>
      <c r="BF714" s="6"/>
      <c r="BG714" s="1"/>
      <c r="BT714" s="6"/>
      <c r="BU714" s="1"/>
      <c r="CH714" s="6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ht="13.5" customHeight="1">
      <c r="A715" s="1"/>
      <c r="P715" s="6"/>
      <c r="Q715" s="1"/>
      <c r="AD715" s="6"/>
      <c r="AE715" s="1"/>
      <c r="AR715" s="6"/>
      <c r="AS715" s="1"/>
      <c r="BF715" s="6"/>
      <c r="BG715" s="1"/>
      <c r="BT715" s="6"/>
      <c r="BU715" s="1"/>
      <c r="CH715" s="6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ht="13.5" customHeight="1">
      <c r="A716" s="1"/>
      <c r="P716" s="6"/>
      <c r="Q716" s="1"/>
      <c r="AD716" s="6"/>
      <c r="AE716" s="1"/>
      <c r="AR716" s="6"/>
      <c r="AS716" s="1"/>
      <c r="BF716" s="6"/>
      <c r="BG716" s="1"/>
      <c r="BT716" s="6"/>
      <c r="BU716" s="1"/>
      <c r="CH716" s="6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ht="13.5" customHeight="1">
      <c r="A717" s="1"/>
      <c r="P717" s="6"/>
      <c r="Q717" s="1"/>
      <c r="AD717" s="6"/>
      <c r="AE717" s="1"/>
      <c r="AR717" s="6"/>
      <c r="AS717" s="1"/>
      <c r="BF717" s="6"/>
      <c r="BG717" s="1"/>
      <c r="BT717" s="6"/>
      <c r="BU717" s="1"/>
      <c r="CH717" s="6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ht="13.5" customHeight="1">
      <c r="A718" s="1"/>
      <c r="P718" s="6"/>
      <c r="Q718" s="1"/>
      <c r="AD718" s="6"/>
      <c r="AE718" s="1"/>
      <c r="AR718" s="6"/>
      <c r="AS718" s="1"/>
      <c r="BF718" s="6"/>
      <c r="BG718" s="1"/>
      <c r="BT718" s="6"/>
      <c r="BU718" s="1"/>
      <c r="CH718" s="6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ht="13.5" customHeight="1">
      <c r="A719" s="1"/>
      <c r="P719" s="6"/>
      <c r="Q719" s="1"/>
      <c r="AD719" s="6"/>
      <c r="AE719" s="1"/>
      <c r="AR719" s="6"/>
      <c r="AS719" s="1"/>
      <c r="BF719" s="6"/>
      <c r="BG719" s="1"/>
      <c r="BT719" s="6"/>
      <c r="BU719" s="1"/>
      <c r="CH719" s="6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ht="13.5" customHeight="1">
      <c r="A720" s="1"/>
      <c r="P720" s="6"/>
      <c r="Q720" s="1"/>
      <c r="AD720" s="6"/>
      <c r="AE720" s="1"/>
      <c r="AR720" s="6"/>
      <c r="AS720" s="1"/>
      <c r="BF720" s="6"/>
      <c r="BG720" s="1"/>
      <c r="BT720" s="6"/>
      <c r="BU720" s="1"/>
      <c r="CH720" s="6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ht="13.5" customHeight="1">
      <c r="A721" s="1"/>
      <c r="P721" s="6"/>
      <c r="Q721" s="1"/>
      <c r="AD721" s="6"/>
      <c r="AE721" s="1"/>
      <c r="AR721" s="6"/>
      <c r="AS721" s="1"/>
      <c r="BF721" s="6"/>
      <c r="BG721" s="1"/>
      <c r="BT721" s="6"/>
      <c r="BU721" s="1"/>
      <c r="CH721" s="6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ht="13.5" customHeight="1">
      <c r="A722" s="1"/>
      <c r="P722" s="6"/>
      <c r="Q722" s="1"/>
      <c r="AD722" s="6"/>
      <c r="AE722" s="1"/>
      <c r="AR722" s="6"/>
      <c r="AS722" s="1"/>
      <c r="BF722" s="6"/>
      <c r="BG722" s="1"/>
      <c r="BT722" s="6"/>
      <c r="BU722" s="1"/>
      <c r="CH722" s="6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ht="13.5" customHeight="1">
      <c r="A723" s="1"/>
      <c r="P723" s="6"/>
      <c r="Q723" s="1"/>
      <c r="AD723" s="6"/>
      <c r="AE723" s="1"/>
      <c r="AR723" s="6"/>
      <c r="AS723" s="1"/>
      <c r="BF723" s="6"/>
      <c r="BG723" s="1"/>
      <c r="BT723" s="6"/>
      <c r="BU723" s="1"/>
      <c r="CH723" s="6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ht="13.5" customHeight="1">
      <c r="A724" s="1"/>
      <c r="P724" s="6"/>
      <c r="Q724" s="1"/>
      <c r="AD724" s="6"/>
      <c r="AE724" s="1"/>
      <c r="AR724" s="6"/>
      <c r="AS724" s="1"/>
      <c r="BF724" s="6"/>
      <c r="BG724" s="1"/>
      <c r="BT724" s="6"/>
      <c r="BU724" s="1"/>
      <c r="CH724" s="6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ht="13.5" customHeight="1">
      <c r="A725" s="1"/>
      <c r="P725" s="6"/>
      <c r="Q725" s="1"/>
      <c r="AD725" s="6"/>
      <c r="AE725" s="1"/>
      <c r="AR725" s="6"/>
      <c r="AS725" s="1"/>
      <c r="BF725" s="6"/>
      <c r="BG725" s="1"/>
      <c r="BT725" s="6"/>
      <c r="BU725" s="1"/>
      <c r="CH725" s="6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ht="13.5" customHeight="1">
      <c r="A726" s="1"/>
      <c r="P726" s="6"/>
      <c r="Q726" s="1"/>
      <c r="AD726" s="6"/>
      <c r="AE726" s="1"/>
      <c r="AR726" s="6"/>
      <c r="AS726" s="1"/>
      <c r="BF726" s="6"/>
      <c r="BG726" s="1"/>
      <c r="BT726" s="6"/>
      <c r="BU726" s="1"/>
      <c r="CH726" s="6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ht="13.5" customHeight="1">
      <c r="A727" s="1"/>
      <c r="P727" s="6"/>
      <c r="Q727" s="1"/>
      <c r="AD727" s="6"/>
      <c r="AE727" s="1"/>
      <c r="AR727" s="6"/>
      <c r="AS727" s="1"/>
      <c r="BF727" s="6"/>
      <c r="BG727" s="1"/>
      <c r="BT727" s="6"/>
      <c r="BU727" s="1"/>
      <c r="CH727" s="6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ht="13.5" customHeight="1">
      <c r="A728" s="1"/>
      <c r="P728" s="6"/>
      <c r="Q728" s="1"/>
      <c r="AD728" s="6"/>
      <c r="AE728" s="1"/>
      <c r="AR728" s="6"/>
      <c r="AS728" s="1"/>
      <c r="BF728" s="6"/>
      <c r="BG728" s="1"/>
      <c r="BT728" s="6"/>
      <c r="BU728" s="1"/>
      <c r="CH728" s="6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ht="13.5" customHeight="1">
      <c r="A729" s="1"/>
      <c r="P729" s="6"/>
      <c r="Q729" s="1"/>
      <c r="AD729" s="6"/>
      <c r="AE729" s="1"/>
      <c r="AR729" s="6"/>
      <c r="AS729" s="1"/>
      <c r="BF729" s="6"/>
      <c r="BG729" s="1"/>
      <c r="BT729" s="6"/>
      <c r="BU729" s="1"/>
      <c r="CH729" s="6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ht="13.5" customHeight="1">
      <c r="A730" s="1"/>
      <c r="P730" s="6"/>
      <c r="Q730" s="1"/>
      <c r="AD730" s="6"/>
      <c r="AE730" s="1"/>
      <c r="AR730" s="6"/>
      <c r="AS730" s="1"/>
      <c r="BF730" s="6"/>
      <c r="BG730" s="1"/>
      <c r="BT730" s="6"/>
      <c r="BU730" s="1"/>
      <c r="CH730" s="6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ht="13.5" customHeight="1">
      <c r="A731" s="1"/>
      <c r="P731" s="6"/>
      <c r="Q731" s="1"/>
      <c r="AD731" s="6"/>
      <c r="AE731" s="1"/>
      <c r="AR731" s="6"/>
      <c r="AS731" s="1"/>
      <c r="BF731" s="6"/>
      <c r="BG731" s="1"/>
      <c r="BT731" s="6"/>
      <c r="BU731" s="1"/>
      <c r="CH731" s="6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ht="13.5" customHeight="1">
      <c r="A732" s="1"/>
      <c r="P732" s="6"/>
      <c r="Q732" s="1"/>
      <c r="AD732" s="6"/>
      <c r="AE732" s="1"/>
      <c r="AR732" s="6"/>
      <c r="AS732" s="1"/>
      <c r="BF732" s="6"/>
      <c r="BG732" s="1"/>
      <c r="BT732" s="6"/>
      <c r="BU732" s="1"/>
      <c r="CH732" s="6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ht="13.5" customHeight="1">
      <c r="A733" s="1"/>
      <c r="P733" s="6"/>
      <c r="Q733" s="1"/>
      <c r="AD733" s="6"/>
      <c r="AE733" s="1"/>
      <c r="AR733" s="6"/>
      <c r="AS733" s="1"/>
      <c r="BF733" s="6"/>
      <c r="BG733" s="1"/>
      <c r="BT733" s="6"/>
      <c r="BU733" s="1"/>
      <c r="CH733" s="6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ht="13.5" customHeight="1">
      <c r="A734" s="1"/>
      <c r="P734" s="6"/>
      <c r="Q734" s="1"/>
      <c r="AD734" s="6"/>
      <c r="AE734" s="1"/>
      <c r="AR734" s="6"/>
      <c r="AS734" s="1"/>
      <c r="BF734" s="6"/>
      <c r="BG734" s="1"/>
      <c r="BT734" s="6"/>
      <c r="BU734" s="1"/>
      <c r="CH734" s="6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ht="13.5" customHeight="1">
      <c r="A735" s="1"/>
      <c r="P735" s="6"/>
      <c r="Q735" s="1"/>
      <c r="AD735" s="6"/>
      <c r="AE735" s="1"/>
      <c r="AR735" s="6"/>
      <c r="AS735" s="1"/>
      <c r="BF735" s="6"/>
      <c r="BG735" s="1"/>
      <c r="BT735" s="6"/>
      <c r="BU735" s="1"/>
      <c r="CH735" s="6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ht="13.5" customHeight="1">
      <c r="A736" s="1"/>
      <c r="P736" s="6"/>
      <c r="Q736" s="1"/>
      <c r="AD736" s="6"/>
      <c r="AE736" s="1"/>
      <c r="AR736" s="6"/>
      <c r="AS736" s="1"/>
      <c r="BF736" s="6"/>
      <c r="BG736" s="1"/>
      <c r="BT736" s="6"/>
      <c r="BU736" s="1"/>
      <c r="CH736" s="6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ht="13.5" customHeight="1">
      <c r="A737" s="1"/>
      <c r="P737" s="6"/>
      <c r="Q737" s="1"/>
      <c r="AD737" s="6"/>
      <c r="AE737" s="1"/>
      <c r="AR737" s="6"/>
      <c r="AS737" s="1"/>
      <c r="BF737" s="6"/>
      <c r="BG737" s="1"/>
      <c r="BT737" s="6"/>
      <c r="BU737" s="1"/>
      <c r="CH737" s="6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ht="13.5" customHeight="1">
      <c r="A738" s="1"/>
      <c r="P738" s="6"/>
      <c r="Q738" s="1"/>
      <c r="AD738" s="6"/>
      <c r="AE738" s="1"/>
      <c r="AR738" s="6"/>
      <c r="AS738" s="1"/>
      <c r="BF738" s="6"/>
      <c r="BG738" s="1"/>
      <c r="BT738" s="6"/>
      <c r="BU738" s="1"/>
      <c r="CH738" s="6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ht="13.5" customHeight="1">
      <c r="A739" s="1"/>
      <c r="P739" s="6"/>
      <c r="Q739" s="1"/>
      <c r="AD739" s="6"/>
      <c r="AE739" s="1"/>
      <c r="AR739" s="6"/>
      <c r="AS739" s="1"/>
      <c r="BF739" s="6"/>
      <c r="BG739" s="1"/>
      <c r="BT739" s="6"/>
      <c r="BU739" s="1"/>
      <c r="CH739" s="6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ht="13.5" customHeight="1">
      <c r="A740" s="1"/>
      <c r="P740" s="6"/>
      <c r="Q740" s="1"/>
      <c r="AD740" s="6"/>
      <c r="AE740" s="1"/>
      <c r="AR740" s="6"/>
      <c r="AS740" s="1"/>
      <c r="BF740" s="6"/>
      <c r="BG740" s="1"/>
      <c r="BT740" s="6"/>
      <c r="BU740" s="1"/>
      <c r="CH740" s="6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ht="13.5" customHeight="1">
      <c r="A741" s="1"/>
      <c r="P741" s="6"/>
      <c r="Q741" s="1"/>
      <c r="AD741" s="6"/>
      <c r="AE741" s="1"/>
      <c r="AR741" s="6"/>
      <c r="AS741" s="1"/>
      <c r="BF741" s="6"/>
      <c r="BG741" s="1"/>
      <c r="BT741" s="6"/>
      <c r="BU741" s="1"/>
      <c r="CH741" s="6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ht="13.5" customHeight="1">
      <c r="A742" s="1"/>
      <c r="P742" s="6"/>
      <c r="Q742" s="1"/>
      <c r="AD742" s="6"/>
      <c r="AE742" s="1"/>
      <c r="AR742" s="6"/>
      <c r="AS742" s="1"/>
      <c r="BF742" s="6"/>
      <c r="BG742" s="1"/>
      <c r="BT742" s="6"/>
      <c r="BU742" s="1"/>
      <c r="CH742" s="6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ht="13.5" customHeight="1">
      <c r="A743" s="1"/>
      <c r="P743" s="6"/>
      <c r="Q743" s="1"/>
      <c r="AD743" s="6"/>
      <c r="AE743" s="1"/>
      <c r="AR743" s="6"/>
      <c r="AS743" s="1"/>
      <c r="BF743" s="6"/>
      <c r="BG743" s="1"/>
      <c r="BT743" s="6"/>
      <c r="BU743" s="1"/>
      <c r="CH743" s="6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ht="13.5" customHeight="1">
      <c r="A744" s="1"/>
      <c r="P744" s="6"/>
      <c r="Q744" s="1"/>
      <c r="AD744" s="6"/>
      <c r="AE744" s="1"/>
      <c r="AR744" s="6"/>
      <c r="AS744" s="1"/>
      <c r="BF744" s="6"/>
      <c r="BG744" s="1"/>
      <c r="BT744" s="6"/>
      <c r="BU744" s="1"/>
      <c r="CH744" s="6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ht="13.5" customHeight="1">
      <c r="A745" s="1"/>
      <c r="P745" s="6"/>
      <c r="Q745" s="1"/>
      <c r="AD745" s="6"/>
      <c r="AE745" s="1"/>
      <c r="AR745" s="6"/>
      <c r="AS745" s="1"/>
      <c r="BF745" s="6"/>
      <c r="BG745" s="1"/>
      <c r="BT745" s="6"/>
      <c r="BU745" s="1"/>
      <c r="CH745" s="6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ht="13.5" customHeight="1">
      <c r="A746" s="1"/>
      <c r="P746" s="6"/>
      <c r="Q746" s="1"/>
      <c r="AD746" s="6"/>
      <c r="AE746" s="1"/>
      <c r="AR746" s="6"/>
      <c r="AS746" s="1"/>
      <c r="BF746" s="6"/>
      <c r="BG746" s="1"/>
      <c r="BT746" s="6"/>
      <c r="BU746" s="1"/>
      <c r="CH746" s="6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ht="13.5" customHeight="1">
      <c r="A747" s="1"/>
      <c r="P747" s="6"/>
      <c r="Q747" s="1"/>
      <c r="AD747" s="6"/>
      <c r="AE747" s="1"/>
      <c r="AR747" s="6"/>
      <c r="AS747" s="1"/>
      <c r="BF747" s="6"/>
      <c r="BG747" s="1"/>
      <c r="BT747" s="6"/>
      <c r="BU747" s="1"/>
      <c r="CH747" s="6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ht="13.5" customHeight="1">
      <c r="A748" s="1"/>
      <c r="P748" s="6"/>
      <c r="Q748" s="1"/>
      <c r="AD748" s="6"/>
      <c r="AE748" s="1"/>
      <c r="AR748" s="6"/>
      <c r="AS748" s="1"/>
      <c r="BF748" s="6"/>
      <c r="BG748" s="1"/>
      <c r="BT748" s="6"/>
      <c r="BU748" s="1"/>
      <c r="CH748" s="6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ht="13.5" customHeight="1">
      <c r="A749" s="1"/>
      <c r="P749" s="6"/>
      <c r="Q749" s="1"/>
      <c r="AD749" s="6"/>
      <c r="AE749" s="1"/>
      <c r="AR749" s="6"/>
      <c r="AS749" s="1"/>
      <c r="BF749" s="6"/>
      <c r="BG749" s="1"/>
      <c r="BT749" s="6"/>
      <c r="BU749" s="1"/>
      <c r="CH749" s="6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ht="13.5" customHeight="1">
      <c r="A750" s="1"/>
      <c r="P750" s="6"/>
      <c r="Q750" s="1"/>
      <c r="AD750" s="6"/>
      <c r="AE750" s="1"/>
      <c r="AR750" s="6"/>
      <c r="AS750" s="1"/>
      <c r="BF750" s="6"/>
      <c r="BG750" s="1"/>
      <c r="BT750" s="6"/>
      <c r="BU750" s="1"/>
      <c r="CH750" s="6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ht="13.5" customHeight="1">
      <c r="A751" s="1"/>
      <c r="P751" s="6"/>
      <c r="Q751" s="1"/>
      <c r="AD751" s="6"/>
      <c r="AE751" s="1"/>
      <c r="AR751" s="6"/>
      <c r="AS751" s="1"/>
      <c r="BF751" s="6"/>
      <c r="BG751" s="1"/>
      <c r="BT751" s="6"/>
      <c r="BU751" s="1"/>
      <c r="CH751" s="6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ht="13.5" customHeight="1">
      <c r="A752" s="1"/>
      <c r="P752" s="6"/>
      <c r="Q752" s="1"/>
      <c r="AD752" s="6"/>
      <c r="AE752" s="1"/>
      <c r="AR752" s="6"/>
      <c r="AS752" s="1"/>
      <c r="BF752" s="6"/>
      <c r="BG752" s="1"/>
      <c r="BT752" s="6"/>
      <c r="BU752" s="1"/>
      <c r="CH752" s="6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ht="13.5" customHeight="1">
      <c r="A753" s="1"/>
      <c r="P753" s="6"/>
      <c r="Q753" s="1"/>
      <c r="AD753" s="6"/>
      <c r="AE753" s="1"/>
      <c r="AR753" s="6"/>
      <c r="AS753" s="1"/>
      <c r="BF753" s="6"/>
      <c r="BG753" s="1"/>
      <c r="BT753" s="6"/>
      <c r="BU753" s="1"/>
      <c r="CH753" s="6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ht="13.5" customHeight="1">
      <c r="A754" s="1"/>
      <c r="P754" s="6"/>
      <c r="Q754" s="1"/>
      <c r="AD754" s="6"/>
      <c r="AE754" s="1"/>
      <c r="AR754" s="6"/>
      <c r="AS754" s="1"/>
      <c r="BF754" s="6"/>
      <c r="BG754" s="1"/>
      <c r="BT754" s="6"/>
      <c r="BU754" s="1"/>
      <c r="CH754" s="6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ht="13.5" customHeight="1">
      <c r="A755" s="1"/>
      <c r="P755" s="6"/>
      <c r="Q755" s="1"/>
      <c r="AD755" s="6"/>
      <c r="AE755" s="1"/>
      <c r="AR755" s="6"/>
      <c r="AS755" s="1"/>
      <c r="BF755" s="6"/>
      <c r="BG755" s="1"/>
      <c r="BT755" s="6"/>
      <c r="BU755" s="1"/>
      <c r="CH755" s="6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ht="13.5" customHeight="1">
      <c r="A756" s="1"/>
      <c r="P756" s="6"/>
      <c r="Q756" s="1"/>
      <c r="AD756" s="6"/>
      <c r="AE756" s="1"/>
      <c r="AR756" s="6"/>
      <c r="AS756" s="1"/>
      <c r="BF756" s="6"/>
      <c r="BG756" s="1"/>
      <c r="BT756" s="6"/>
      <c r="BU756" s="1"/>
      <c r="CH756" s="6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ht="13.5" customHeight="1">
      <c r="A757" s="1"/>
      <c r="P757" s="6"/>
      <c r="Q757" s="1"/>
      <c r="AD757" s="6"/>
      <c r="AE757" s="1"/>
      <c r="AR757" s="6"/>
      <c r="AS757" s="1"/>
      <c r="BF757" s="6"/>
      <c r="BG757" s="1"/>
      <c r="BT757" s="6"/>
      <c r="BU757" s="1"/>
      <c r="CH757" s="6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ht="13.5" customHeight="1">
      <c r="A758" s="1"/>
      <c r="P758" s="6"/>
      <c r="Q758" s="1"/>
      <c r="AD758" s="6"/>
      <c r="AE758" s="1"/>
      <c r="AR758" s="6"/>
      <c r="AS758" s="1"/>
      <c r="BF758" s="6"/>
      <c r="BG758" s="1"/>
      <c r="BT758" s="6"/>
      <c r="BU758" s="1"/>
      <c r="CH758" s="6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ht="13.5" customHeight="1">
      <c r="A759" s="1"/>
      <c r="P759" s="6"/>
      <c r="Q759" s="1"/>
      <c r="AD759" s="6"/>
      <c r="AE759" s="1"/>
      <c r="AR759" s="6"/>
      <c r="AS759" s="1"/>
      <c r="BF759" s="6"/>
      <c r="BG759" s="1"/>
      <c r="BT759" s="6"/>
      <c r="BU759" s="1"/>
      <c r="CH759" s="6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ht="13.5" customHeight="1">
      <c r="A760" s="1"/>
      <c r="P760" s="6"/>
      <c r="Q760" s="1"/>
      <c r="AD760" s="6"/>
      <c r="AE760" s="1"/>
      <c r="AR760" s="6"/>
      <c r="AS760" s="1"/>
      <c r="BF760" s="6"/>
      <c r="BG760" s="1"/>
      <c r="BT760" s="6"/>
      <c r="BU760" s="1"/>
      <c r="CH760" s="6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ht="13.5" customHeight="1">
      <c r="A761" s="1"/>
      <c r="P761" s="6"/>
      <c r="Q761" s="1"/>
      <c r="AD761" s="6"/>
      <c r="AE761" s="1"/>
      <c r="AR761" s="6"/>
      <c r="AS761" s="1"/>
      <c r="BF761" s="6"/>
      <c r="BG761" s="1"/>
      <c r="BT761" s="6"/>
      <c r="BU761" s="1"/>
      <c r="CH761" s="6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ht="13.5" customHeight="1">
      <c r="A762" s="1"/>
      <c r="P762" s="6"/>
      <c r="Q762" s="1"/>
      <c r="AD762" s="6"/>
      <c r="AE762" s="1"/>
      <c r="AR762" s="6"/>
      <c r="AS762" s="1"/>
      <c r="BF762" s="6"/>
      <c r="BG762" s="1"/>
      <c r="BT762" s="6"/>
      <c r="BU762" s="1"/>
      <c r="CH762" s="6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ht="13.5" customHeight="1">
      <c r="A763" s="1"/>
      <c r="P763" s="6"/>
      <c r="Q763" s="1"/>
      <c r="AD763" s="6"/>
      <c r="AE763" s="1"/>
      <c r="AR763" s="6"/>
      <c r="AS763" s="1"/>
      <c r="BF763" s="6"/>
      <c r="BG763" s="1"/>
      <c r="BT763" s="6"/>
      <c r="BU763" s="1"/>
      <c r="CH763" s="6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ht="13.5" customHeight="1">
      <c r="A764" s="1"/>
      <c r="P764" s="6"/>
      <c r="Q764" s="1"/>
      <c r="AD764" s="6"/>
      <c r="AE764" s="1"/>
      <c r="AR764" s="6"/>
      <c r="AS764" s="1"/>
      <c r="BF764" s="6"/>
      <c r="BG764" s="1"/>
      <c r="BT764" s="6"/>
      <c r="BU764" s="1"/>
      <c r="CH764" s="6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ht="13.5" customHeight="1">
      <c r="A765" s="1"/>
      <c r="P765" s="6"/>
      <c r="Q765" s="1"/>
      <c r="AD765" s="6"/>
      <c r="AE765" s="1"/>
      <c r="AR765" s="6"/>
      <c r="AS765" s="1"/>
      <c r="BF765" s="6"/>
      <c r="BG765" s="1"/>
      <c r="BT765" s="6"/>
      <c r="BU765" s="1"/>
      <c r="CH765" s="6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ht="13.5" customHeight="1">
      <c r="A766" s="1"/>
      <c r="P766" s="6"/>
      <c r="Q766" s="1"/>
      <c r="AD766" s="6"/>
      <c r="AE766" s="1"/>
      <c r="AR766" s="6"/>
      <c r="AS766" s="1"/>
      <c r="BF766" s="6"/>
      <c r="BG766" s="1"/>
      <c r="BT766" s="6"/>
      <c r="BU766" s="1"/>
      <c r="CH766" s="6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ht="13.5" customHeight="1">
      <c r="A767" s="1"/>
      <c r="P767" s="6"/>
      <c r="Q767" s="1"/>
      <c r="AD767" s="6"/>
      <c r="AE767" s="1"/>
      <c r="AR767" s="6"/>
      <c r="AS767" s="1"/>
      <c r="BF767" s="6"/>
      <c r="BG767" s="1"/>
      <c r="BT767" s="6"/>
      <c r="BU767" s="1"/>
      <c r="CH767" s="6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ht="13.5" customHeight="1">
      <c r="A768" s="1"/>
      <c r="P768" s="6"/>
      <c r="Q768" s="1"/>
      <c r="AD768" s="6"/>
      <c r="AE768" s="1"/>
      <c r="AR768" s="6"/>
      <c r="AS768" s="1"/>
      <c r="BF768" s="6"/>
      <c r="BG768" s="1"/>
      <c r="BT768" s="6"/>
      <c r="BU768" s="1"/>
      <c r="CH768" s="6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ht="13.5" customHeight="1">
      <c r="A769" s="1"/>
      <c r="P769" s="6"/>
      <c r="Q769" s="1"/>
      <c r="AD769" s="6"/>
      <c r="AE769" s="1"/>
      <c r="AR769" s="6"/>
      <c r="AS769" s="1"/>
      <c r="BF769" s="6"/>
      <c r="BG769" s="1"/>
      <c r="BT769" s="6"/>
      <c r="BU769" s="1"/>
      <c r="CH769" s="6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ht="13.5" customHeight="1">
      <c r="A770" s="1"/>
      <c r="P770" s="6"/>
      <c r="Q770" s="1"/>
      <c r="AD770" s="6"/>
      <c r="AE770" s="1"/>
      <c r="AR770" s="6"/>
      <c r="AS770" s="1"/>
      <c r="BF770" s="6"/>
      <c r="BG770" s="1"/>
      <c r="BT770" s="6"/>
      <c r="BU770" s="1"/>
      <c r="CH770" s="6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ht="13.5" customHeight="1">
      <c r="A771" s="1"/>
      <c r="P771" s="6"/>
      <c r="Q771" s="1"/>
      <c r="AD771" s="6"/>
      <c r="AE771" s="1"/>
      <c r="AR771" s="6"/>
      <c r="AS771" s="1"/>
      <c r="BF771" s="6"/>
      <c r="BG771" s="1"/>
      <c r="BT771" s="6"/>
      <c r="BU771" s="1"/>
      <c r="CH771" s="6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ht="13.5" customHeight="1">
      <c r="A772" s="1"/>
      <c r="P772" s="6"/>
      <c r="Q772" s="1"/>
      <c r="AD772" s="6"/>
      <c r="AE772" s="1"/>
      <c r="AR772" s="6"/>
      <c r="AS772" s="1"/>
      <c r="BF772" s="6"/>
      <c r="BG772" s="1"/>
      <c r="BT772" s="6"/>
      <c r="BU772" s="1"/>
      <c r="CH772" s="6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ht="13.5" customHeight="1">
      <c r="A773" s="1"/>
      <c r="P773" s="6"/>
      <c r="Q773" s="1"/>
      <c r="AD773" s="6"/>
      <c r="AE773" s="1"/>
      <c r="AR773" s="6"/>
      <c r="AS773" s="1"/>
      <c r="BF773" s="6"/>
      <c r="BG773" s="1"/>
      <c r="BT773" s="6"/>
      <c r="BU773" s="1"/>
      <c r="CH773" s="6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ht="13.5" customHeight="1">
      <c r="A774" s="1"/>
      <c r="P774" s="6"/>
      <c r="Q774" s="1"/>
      <c r="AD774" s="6"/>
      <c r="AE774" s="1"/>
      <c r="AR774" s="6"/>
      <c r="AS774" s="1"/>
      <c r="BF774" s="6"/>
      <c r="BG774" s="1"/>
      <c r="BT774" s="6"/>
      <c r="BU774" s="1"/>
      <c r="CH774" s="6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ht="13.5" customHeight="1">
      <c r="A775" s="1"/>
      <c r="P775" s="6"/>
      <c r="Q775" s="1"/>
      <c r="AD775" s="6"/>
      <c r="AE775" s="1"/>
      <c r="AR775" s="6"/>
      <c r="AS775" s="1"/>
      <c r="BF775" s="6"/>
      <c r="BG775" s="1"/>
      <c r="BT775" s="6"/>
      <c r="BU775" s="1"/>
      <c r="CH775" s="6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ht="13.5" customHeight="1">
      <c r="A776" s="1"/>
      <c r="P776" s="6"/>
      <c r="Q776" s="1"/>
      <c r="AD776" s="6"/>
      <c r="AE776" s="1"/>
      <c r="AR776" s="6"/>
      <c r="AS776" s="1"/>
      <c r="BF776" s="6"/>
      <c r="BG776" s="1"/>
      <c r="BT776" s="6"/>
      <c r="BU776" s="1"/>
      <c r="CH776" s="6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ht="13.5" customHeight="1">
      <c r="A777" s="1"/>
      <c r="P777" s="6"/>
      <c r="Q777" s="1"/>
      <c r="AD777" s="6"/>
      <c r="AE777" s="1"/>
      <c r="AR777" s="6"/>
      <c r="AS777" s="1"/>
      <c r="BF777" s="6"/>
      <c r="BG777" s="1"/>
      <c r="BT777" s="6"/>
      <c r="BU777" s="1"/>
      <c r="CH777" s="6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ht="13.5" customHeight="1">
      <c r="A778" s="1"/>
      <c r="P778" s="6"/>
      <c r="Q778" s="1"/>
      <c r="AD778" s="6"/>
      <c r="AE778" s="1"/>
      <c r="AR778" s="6"/>
      <c r="AS778" s="1"/>
      <c r="BF778" s="6"/>
      <c r="BG778" s="1"/>
      <c r="BT778" s="6"/>
      <c r="BU778" s="1"/>
      <c r="CH778" s="6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ht="13.5" customHeight="1">
      <c r="A779" s="1"/>
      <c r="P779" s="6"/>
      <c r="Q779" s="1"/>
      <c r="AD779" s="6"/>
      <c r="AE779" s="1"/>
      <c r="AR779" s="6"/>
      <c r="AS779" s="1"/>
      <c r="BF779" s="6"/>
      <c r="BG779" s="1"/>
      <c r="BT779" s="6"/>
      <c r="BU779" s="1"/>
      <c r="CH779" s="6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ht="13.5" customHeight="1">
      <c r="A780" s="1"/>
      <c r="P780" s="6"/>
      <c r="Q780" s="1"/>
      <c r="AD780" s="6"/>
      <c r="AE780" s="1"/>
      <c r="AR780" s="6"/>
      <c r="AS780" s="1"/>
      <c r="BF780" s="6"/>
      <c r="BG780" s="1"/>
      <c r="BT780" s="6"/>
      <c r="BU780" s="1"/>
      <c r="CH780" s="6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ht="13.5" customHeight="1">
      <c r="A781" s="1"/>
      <c r="P781" s="6"/>
      <c r="Q781" s="1"/>
      <c r="AD781" s="6"/>
      <c r="AE781" s="1"/>
      <c r="AR781" s="6"/>
      <c r="AS781" s="1"/>
      <c r="BF781" s="6"/>
      <c r="BG781" s="1"/>
      <c r="BT781" s="6"/>
      <c r="BU781" s="1"/>
      <c r="CH781" s="6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ht="13.5" customHeight="1">
      <c r="A782" s="1"/>
      <c r="P782" s="6"/>
      <c r="Q782" s="1"/>
      <c r="AD782" s="6"/>
      <c r="AE782" s="1"/>
      <c r="AR782" s="6"/>
      <c r="AS782" s="1"/>
      <c r="BF782" s="6"/>
      <c r="BG782" s="1"/>
      <c r="BT782" s="6"/>
      <c r="BU782" s="1"/>
      <c r="CH782" s="6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ht="13.5" customHeight="1">
      <c r="A783" s="1"/>
      <c r="P783" s="6"/>
      <c r="Q783" s="1"/>
      <c r="AD783" s="6"/>
      <c r="AE783" s="1"/>
      <c r="AR783" s="6"/>
      <c r="AS783" s="1"/>
      <c r="BF783" s="6"/>
      <c r="BG783" s="1"/>
      <c r="BT783" s="6"/>
      <c r="BU783" s="1"/>
      <c r="CH783" s="6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ht="13.5" customHeight="1">
      <c r="A784" s="1"/>
      <c r="P784" s="6"/>
      <c r="Q784" s="1"/>
      <c r="AD784" s="6"/>
      <c r="AE784" s="1"/>
      <c r="AR784" s="6"/>
      <c r="AS784" s="1"/>
      <c r="BF784" s="6"/>
      <c r="BG784" s="1"/>
      <c r="BT784" s="6"/>
      <c r="BU784" s="1"/>
      <c r="CH784" s="6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ht="13.5" customHeight="1">
      <c r="A785" s="1"/>
      <c r="P785" s="6"/>
      <c r="Q785" s="1"/>
      <c r="AD785" s="6"/>
      <c r="AE785" s="1"/>
      <c r="AR785" s="6"/>
      <c r="AS785" s="1"/>
      <c r="BF785" s="6"/>
      <c r="BG785" s="1"/>
      <c r="BT785" s="6"/>
      <c r="BU785" s="1"/>
      <c r="CH785" s="6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ht="13.5" customHeight="1">
      <c r="A786" s="1"/>
      <c r="P786" s="6"/>
      <c r="Q786" s="1"/>
      <c r="AD786" s="6"/>
      <c r="AE786" s="1"/>
      <c r="AR786" s="6"/>
      <c r="AS786" s="1"/>
      <c r="BF786" s="6"/>
      <c r="BG786" s="1"/>
      <c r="BT786" s="6"/>
      <c r="BU786" s="1"/>
      <c r="CH786" s="6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ht="13.5" customHeight="1">
      <c r="A787" s="1"/>
      <c r="P787" s="6"/>
      <c r="Q787" s="1"/>
      <c r="AD787" s="6"/>
      <c r="AE787" s="1"/>
      <c r="AR787" s="6"/>
      <c r="AS787" s="1"/>
      <c r="BF787" s="6"/>
      <c r="BG787" s="1"/>
      <c r="BT787" s="6"/>
      <c r="BU787" s="1"/>
      <c r="CH787" s="6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ht="13.5" customHeight="1">
      <c r="A788" s="1"/>
      <c r="P788" s="6"/>
      <c r="Q788" s="1"/>
      <c r="AD788" s="6"/>
      <c r="AE788" s="1"/>
      <c r="AR788" s="6"/>
      <c r="AS788" s="1"/>
      <c r="BF788" s="6"/>
      <c r="BG788" s="1"/>
      <c r="BT788" s="6"/>
      <c r="BU788" s="1"/>
      <c r="CH788" s="6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ht="13.5" customHeight="1">
      <c r="A789" s="1"/>
      <c r="P789" s="6"/>
      <c r="Q789" s="1"/>
      <c r="AD789" s="6"/>
      <c r="AE789" s="1"/>
      <c r="AR789" s="6"/>
      <c r="AS789" s="1"/>
      <c r="BF789" s="6"/>
      <c r="BG789" s="1"/>
      <c r="BT789" s="6"/>
      <c r="BU789" s="1"/>
      <c r="CH789" s="6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ht="13.5" customHeight="1">
      <c r="A790" s="1"/>
      <c r="P790" s="6"/>
      <c r="Q790" s="1"/>
      <c r="AD790" s="6"/>
      <c r="AE790" s="1"/>
      <c r="AR790" s="6"/>
      <c r="AS790" s="1"/>
      <c r="BF790" s="6"/>
      <c r="BG790" s="1"/>
      <c r="BT790" s="6"/>
      <c r="BU790" s="1"/>
      <c r="CH790" s="6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ht="13.5" customHeight="1">
      <c r="A791" s="1"/>
      <c r="P791" s="6"/>
      <c r="Q791" s="1"/>
      <c r="AD791" s="6"/>
      <c r="AE791" s="1"/>
      <c r="AR791" s="6"/>
      <c r="AS791" s="1"/>
      <c r="BF791" s="6"/>
      <c r="BG791" s="1"/>
      <c r="BT791" s="6"/>
      <c r="BU791" s="1"/>
      <c r="CH791" s="6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ht="13.5" customHeight="1">
      <c r="A792" s="1"/>
      <c r="P792" s="6"/>
      <c r="Q792" s="1"/>
      <c r="AD792" s="6"/>
      <c r="AE792" s="1"/>
      <c r="AR792" s="6"/>
      <c r="AS792" s="1"/>
      <c r="BF792" s="6"/>
      <c r="BG792" s="1"/>
      <c r="BT792" s="6"/>
      <c r="BU792" s="1"/>
      <c r="CH792" s="6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ht="13.5" customHeight="1">
      <c r="A793" s="1"/>
      <c r="P793" s="6"/>
      <c r="Q793" s="1"/>
      <c r="AD793" s="6"/>
      <c r="AE793" s="1"/>
      <c r="AR793" s="6"/>
      <c r="AS793" s="1"/>
      <c r="BF793" s="6"/>
      <c r="BG793" s="1"/>
      <c r="BT793" s="6"/>
      <c r="BU793" s="1"/>
      <c r="CH793" s="6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ht="13.5" customHeight="1">
      <c r="A794" s="1"/>
      <c r="P794" s="6"/>
      <c r="Q794" s="1"/>
      <c r="AD794" s="6"/>
      <c r="AE794" s="1"/>
      <c r="AR794" s="6"/>
      <c r="AS794" s="1"/>
      <c r="BF794" s="6"/>
      <c r="BG794" s="1"/>
      <c r="BT794" s="6"/>
      <c r="BU794" s="1"/>
      <c r="CH794" s="6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ht="13.5" customHeight="1">
      <c r="A795" s="1"/>
      <c r="P795" s="6"/>
      <c r="Q795" s="1"/>
      <c r="AD795" s="6"/>
      <c r="AE795" s="1"/>
      <c r="AR795" s="6"/>
      <c r="AS795" s="1"/>
      <c r="BF795" s="6"/>
      <c r="BG795" s="1"/>
      <c r="BT795" s="6"/>
      <c r="BU795" s="1"/>
      <c r="CH795" s="6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ht="13.5" customHeight="1">
      <c r="A796" s="1"/>
      <c r="P796" s="6"/>
      <c r="Q796" s="1"/>
      <c r="AD796" s="6"/>
      <c r="AE796" s="1"/>
      <c r="AR796" s="6"/>
      <c r="AS796" s="1"/>
      <c r="BF796" s="6"/>
      <c r="BG796" s="1"/>
      <c r="BT796" s="6"/>
      <c r="BU796" s="1"/>
      <c r="CH796" s="6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ht="13.5" customHeight="1">
      <c r="A797" s="1"/>
      <c r="P797" s="6"/>
      <c r="Q797" s="1"/>
      <c r="AD797" s="6"/>
      <c r="AE797" s="1"/>
      <c r="AR797" s="6"/>
      <c r="AS797" s="1"/>
      <c r="BF797" s="6"/>
      <c r="BG797" s="1"/>
      <c r="BT797" s="6"/>
      <c r="BU797" s="1"/>
      <c r="CH797" s="6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ht="13.5" customHeight="1">
      <c r="A798" s="1"/>
      <c r="P798" s="6"/>
      <c r="Q798" s="1"/>
      <c r="AD798" s="6"/>
      <c r="AE798" s="1"/>
      <c r="AR798" s="6"/>
      <c r="AS798" s="1"/>
      <c r="BF798" s="6"/>
      <c r="BG798" s="1"/>
      <c r="BT798" s="6"/>
      <c r="BU798" s="1"/>
      <c r="CH798" s="6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ht="13.5" customHeight="1">
      <c r="A799" s="1"/>
      <c r="P799" s="6"/>
      <c r="Q799" s="1"/>
      <c r="AD799" s="6"/>
      <c r="AE799" s="1"/>
      <c r="AR799" s="6"/>
      <c r="AS799" s="1"/>
      <c r="BF799" s="6"/>
      <c r="BG799" s="1"/>
      <c r="BT799" s="6"/>
      <c r="BU799" s="1"/>
      <c r="CH799" s="6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ht="13.5" customHeight="1">
      <c r="A800" s="1"/>
      <c r="P800" s="6"/>
      <c r="Q800" s="1"/>
      <c r="AD800" s="6"/>
      <c r="AE800" s="1"/>
      <c r="AR800" s="6"/>
      <c r="AS800" s="1"/>
      <c r="BF800" s="6"/>
      <c r="BG800" s="1"/>
      <c r="BT800" s="6"/>
      <c r="BU800" s="1"/>
      <c r="CH800" s="6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ht="13.5" customHeight="1">
      <c r="A801" s="1"/>
      <c r="P801" s="6"/>
      <c r="Q801" s="1"/>
      <c r="AD801" s="6"/>
      <c r="AE801" s="1"/>
      <c r="AR801" s="6"/>
      <c r="AS801" s="1"/>
      <c r="BF801" s="6"/>
      <c r="BG801" s="1"/>
      <c r="BT801" s="6"/>
      <c r="BU801" s="1"/>
      <c r="CH801" s="6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ht="13.5" customHeight="1">
      <c r="A802" s="1"/>
      <c r="P802" s="6"/>
      <c r="Q802" s="1"/>
      <c r="AD802" s="6"/>
      <c r="AE802" s="1"/>
      <c r="AR802" s="6"/>
      <c r="AS802" s="1"/>
      <c r="BF802" s="6"/>
      <c r="BG802" s="1"/>
      <c r="BT802" s="6"/>
      <c r="BU802" s="1"/>
      <c r="CH802" s="6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ht="13.5" customHeight="1">
      <c r="A803" s="1"/>
      <c r="P803" s="6"/>
      <c r="Q803" s="1"/>
      <c r="AD803" s="6"/>
      <c r="AE803" s="1"/>
      <c r="AR803" s="6"/>
      <c r="AS803" s="1"/>
      <c r="BF803" s="6"/>
      <c r="BG803" s="1"/>
      <c r="BT803" s="6"/>
      <c r="BU803" s="1"/>
      <c r="CH803" s="6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ht="13.5" customHeight="1">
      <c r="A804" s="1"/>
      <c r="P804" s="6"/>
      <c r="Q804" s="1"/>
      <c r="AD804" s="6"/>
      <c r="AE804" s="1"/>
      <c r="AR804" s="6"/>
      <c r="AS804" s="1"/>
      <c r="BF804" s="6"/>
      <c r="BG804" s="1"/>
      <c r="BT804" s="6"/>
      <c r="BU804" s="1"/>
      <c r="CH804" s="6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ht="13.5" customHeight="1">
      <c r="A805" s="1"/>
      <c r="P805" s="6"/>
      <c r="Q805" s="1"/>
      <c r="AD805" s="6"/>
      <c r="AE805" s="1"/>
      <c r="AR805" s="6"/>
      <c r="AS805" s="1"/>
      <c r="BF805" s="6"/>
      <c r="BG805" s="1"/>
      <c r="BT805" s="6"/>
      <c r="BU805" s="1"/>
      <c r="CH805" s="6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ht="13.5" customHeight="1">
      <c r="A806" s="1"/>
      <c r="P806" s="6"/>
      <c r="Q806" s="1"/>
      <c r="AD806" s="6"/>
      <c r="AE806" s="1"/>
      <c r="AR806" s="6"/>
      <c r="AS806" s="1"/>
      <c r="BF806" s="6"/>
      <c r="BG806" s="1"/>
      <c r="BT806" s="6"/>
      <c r="BU806" s="1"/>
      <c r="CH806" s="6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ht="13.5" customHeight="1">
      <c r="A807" s="1"/>
      <c r="P807" s="6"/>
      <c r="Q807" s="1"/>
      <c r="AD807" s="6"/>
      <c r="AE807" s="1"/>
      <c r="AR807" s="6"/>
      <c r="AS807" s="1"/>
      <c r="BF807" s="6"/>
      <c r="BG807" s="1"/>
      <c r="BT807" s="6"/>
      <c r="BU807" s="1"/>
      <c r="CH807" s="6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ht="13.5" customHeight="1">
      <c r="A808" s="1"/>
      <c r="P808" s="6"/>
      <c r="Q808" s="1"/>
      <c r="AD808" s="6"/>
      <c r="AE808" s="1"/>
      <c r="AR808" s="6"/>
      <c r="AS808" s="1"/>
      <c r="BF808" s="6"/>
      <c r="BG808" s="1"/>
      <c r="BT808" s="6"/>
      <c r="BU808" s="1"/>
      <c r="CH808" s="6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ht="13.5" customHeight="1">
      <c r="A809" s="1"/>
      <c r="P809" s="6"/>
      <c r="Q809" s="1"/>
      <c r="AD809" s="6"/>
      <c r="AE809" s="1"/>
      <c r="AR809" s="6"/>
      <c r="AS809" s="1"/>
      <c r="BF809" s="6"/>
      <c r="BG809" s="1"/>
      <c r="BT809" s="6"/>
      <c r="BU809" s="1"/>
      <c r="CH809" s="6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ht="13.5" customHeight="1">
      <c r="A810" s="1"/>
      <c r="P810" s="6"/>
      <c r="Q810" s="1"/>
      <c r="AD810" s="6"/>
      <c r="AE810" s="1"/>
      <c r="AR810" s="6"/>
      <c r="AS810" s="1"/>
      <c r="BF810" s="6"/>
      <c r="BG810" s="1"/>
      <c r="BT810" s="6"/>
      <c r="BU810" s="1"/>
      <c r="CH810" s="6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ht="13.5" customHeight="1">
      <c r="A811" s="1"/>
      <c r="P811" s="6"/>
      <c r="Q811" s="1"/>
      <c r="AD811" s="6"/>
      <c r="AE811" s="1"/>
      <c r="AR811" s="6"/>
      <c r="AS811" s="1"/>
      <c r="BF811" s="6"/>
      <c r="BG811" s="1"/>
      <c r="BT811" s="6"/>
      <c r="BU811" s="1"/>
      <c r="CH811" s="6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ht="13.5" customHeight="1">
      <c r="A812" s="1"/>
      <c r="P812" s="6"/>
      <c r="Q812" s="1"/>
      <c r="AD812" s="6"/>
      <c r="AE812" s="1"/>
      <c r="AR812" s="6"/>
      <c r="AS812" s="1"/>
      <c r="BF812" s="6"/>
      <c r="BG812" s="1"/>
      <c r="BT812" s="6"/>
      <c r="BU812" s="1"/>
      <c r="CH812" s="6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ht="13.5" customHeight="1">
      <c r="A813" s="1"/>
      <c r="P813" s="6"/>
      <c r="Q813" s="1"/>
      <c r="AD813" s="6"/>
      <c r="AE813" s="1"/>
      <c r="AR813" s="6"/>
      <c r="AS813" s="1"/>
      <c r="BF813" s="6"/>
      <c r="BG813" s="1"/>
      <c r="BT813" s="6"/>
      <c r="BU813" s="1"/>
      <c r="CH813" s="6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ht="13.5" customHeight="1">
      <c r="A814" s="1"/>
      <c r="P814" s="6"/>
      <c r="Q814" s="1"/>
      <c r="AD814" s="6"/>
      <c r="AE814" s="1"/>
      <c r="AR814" s="6"/>
      <c r="AS814" s="1"/>
      <c r="BF814" s="6"/>
      <c r="BG814" s="1"/>
      <c r="BT814" s="6"/>
      <c r="BU814" s="1"/>
      <c r="CH814" s="6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ht="13.5" customHeight="1">
      <c r="A815" s="1"/>
      <c r="P815" s="6"/>
      <c r="Q815" s="1"/>
      <c r="AD815" s="6"/>
      <c r="AE815" s="1"/>
      <c r="AR815" s="6"/>
      <c r="AS815" s="1"/>
      <c r="BF815" s="6"/>
      <c r="BG815" s="1"/>
      <c r="BT815" s="6"/>
      <c r="BU815" s="1"/>
      <c r="CH815" s="6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ht="13.5" customHeight="1">
      <c r="A816" s="1"/>
      <c r="P816" s="6"/>
      <c r="Q816" s="1"/>
      <c r="AD816" s="6"/>
      <c r="AE816" s="1"/>
      <c r="AR816" s="6"/>
      <c r="AS816" s="1"/>
      <c r="BF816" s="6"/>
      <c r="BG816" s="1"/>
      <c r="BT816" s="6"/>
      <c r="BU816" s="1"/>
      <c r="CH816" s="6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ht="13.5" customHeight="1">
      <c r="A817" s="1"/>
      <c r="P817" s="6"/>
      <c r="Q817" s="1"/>
      <c r="AD817" s="6"/>
      <c r="AE817" s="1"/>
      <c r="AR817" s="6"/>
      <c r="AS817" s="1"/>
      <c r="BF817" s="6"/>
      <c r="BG817" s="1"/>
      <c r="BT817" s="6"/>
      <c r="BU817" s="1"/>
      <c r="CH817" s="6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ht="13.5" customHeight="1">
      <c r="A818" s="1"/>
      <c r="P818" s="6"/>
      <c r="Q818" s="1"/>
      <c r="AD818" s="6"/>
      <c r="AE818" s="1"/>
      <c r="AR818" s="6"/>
      <c r="AS818" s="1"/>
      <c r="BF818" s="6"/>
      <c r="BG818" s="1"/>
      <c r="BT818" s="6"/>
      <c r="BU818" s="1"/>
      <c r="CH818" s="6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ht="13.5" customHeight="1">
      <c r="A819" s="1"/>
      <c r="P819" s="6"/>
      <c r="Q819" s="1"/>
      <c r="AD819" s="6"/>
      <c r="AE819" s="1"/>
      <c r="AR819" s="6"/>
      <c r="AS819" s="1"/>
      <c r="BF819" s="6"/>
      <c r="BG819" s="1"/>
      <c r="BT819" s="6"/>
      <c r="BU819" s="1"/>
      <c r="CH819" s="6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ht="13.5" customHeight="1">
      <c r="A820" s="1"/>
      <c r="P820" s="6"/>
      <c r="Q820" s="1"/>
      <c r="AD820" s="6"/>
      <c r="AE820" s="1"/>
      <c r="AR820" s="6"/>
      <c r="AS820" s="1"/>
      <c r="BF820" s="6"/>
      <c r="BG820" s="1"/>
      <c r="BT820" s="6"/>
      <c r="BU820" s="1"/>
      <c r="CH820" s="6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ht="13.5" customHeight="1">
      <c r="A821" s="1"/>
      <c r="P821" s="6"/>
      <c r="Q821" s="1"/>
      <c r="AD821" s="6"/>
      <c r="AE821" s="1"/>
      <c r="AR821" s="6"/>
      <c r="AS821" s="1"/>
      <c r="BF821" s="6"/>
      <c r="BG821" s="1"/>
      <c r="BT821" s="6"/>
      <c r="BU821" s="1"/>
      <c r="CH821" s="6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ht="13.5" customHeight="1">
      <c r="A822" s="1"/>
      <c r="P822" s="6"/>
      <c r="Q822" s="1"/>
      <c r="AD822" s="6"/>
      <c r="AE822" s="1"/>
      <c r="AR822" s="6"/>
      <c r="AS822" s="1"/>
      <c r="BF822" s="6"/>
      <c r="BG822" s="1"/>
      <c r="BT822" s="6"/>
      <c r="BU822" s="1"/>
      <c r="CH822" s="6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ht="13.5" customHeight="1">
      <c r="A823" s="1"/>
      <c r="P823" s="6"/>
      <c r="Q823" s="1"/>
      <c r="AD823" s="6"/>
      <c r="AE823" s="1"/>
      <c r="AR823" s="6"/>
      <c r="AS823" s="1"/>
      <c r="BF823" s="6"/>
      <c r="BG823" s="1"/>
      <c r="BT823" s="6"/>
      <c r="BU823" s="1"/>
      <c r="CH823" s="6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ht="13.5" customHeight="1">
      <c r="A824" s="1"/>
      <c r="P824" s="6"/>
      <c r="Q824" s="1"/>
      <c r="AD824" s="6"/>
      <c r="AE824" s="1"/>
      <c r="AR824" s="6"/>
      <c r="AS824" s="1"/>
      <c r="BF824" s="6"/>
      <c r="BG824" s="1"/>
      <c r="BT824" s="6"/>
      <c r="BU824" s="1"/>
      <c r="CH824" s="6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ht="13.5" customHeight="1">
      <c r="A825" s="1"/>
      <c r="P825" s="6"/>
      <c r="Q825" s="1"/>
      <c r="AD825" s="6"/>
      <c r="AE825" s="1"/>
      <c r="AR825" s="6"/>
      <c r="AS825" s="1"/>
      <c r="BF825" s="6"/>
      <c r="BG825" s="1"/>
      <c r="BT825" s="6"/>
      <c r="BU825" s="1"/>
      <c r="CH825" s="6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ht="13.5" customHeight="1">
      <c r="A826" s="1"/>
      <c r="P826" s="6"/>
      <c r="Q826" s="1"/>
      <c r="AD826" s="6"/>
      <c r="AE826" s="1"/>
      <c r="AR826" s="6"/>
      <c r="AS826" s="1"/>
      <c r="BF826" s="6"/>
      <c r="BG826" s="1"/>
      <c r="BT826" s="6"/>
      <c r="BU826" s="1"/>
      <c r="CH826" s="6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ht="13.5" customHeight="1">
      <c r="A827" s="1"/>
      <c r="P827" s="6"/>
      <c r="Q827" s="1"/>
      <c r="AD827" s="6"/>
      <c r="AE827" s="1"/>
      <c r="AR827" s="6"/>
      <c r="AS827" s="1"/>
      <c r="BF827" s="6"/>
      <c r="BG827" s="1"/>
      <c r="BT827" s="6"/>
      <c r="BU827" s="1"/>
      <c r="CH827" s="6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ht="13.5" customHeight="1">
      <c r="A828" s="1"/>
      <c r="P828" s="6"/>
      <c r="Q828" s="1"/>
      <c r="AD828" s="6"/>
      <c r="AE828" s="1"/>
      <c r="AR828" s="6"/>
      <c r="AS828" s="1"/>
      <c r="BF828" s="6"/>
      <c r="BG828" s="1"/>
      <c r="BT828" s="6"/>
      <c r="BU828" s="1"/>
      <c r="CH828" s="6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ht="13.5" customHeight="1">
      <c r="A829" s="1"/>
      <c r="P829" s="6"/>
      <c r="Q829" s="1"/>
      <c r="AD829" s="6"/>
      <c r="AE829" s="1"/>
      <c r="AR829" s="6"/>
      <c r="AS829" s="1"/>
      <c r="BF829" s="6"/>
      <c r="BG829" s="1"/>
      <c r="BT829" s="6"/>
      <c r="BU829" s="1"/>
      <c r="CH829" s="6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ht="13.5" customHeight="1">
      <c r="A830" s="1"/>
      <c r="P830" s="6"/>
      <c r="Q830" s="1"/>
      <c r="AD830" s="6"/>
      <c r="AE830" s="1"/>
      <c r="AR830" s="6"/>
      <c r="AS830" s="1"/>
      <c r="BF830" s="6"/>
      <c r="BG830" s="1"/>
      <c r="BT830" s="6"/>
      <c r="BU830" s="1"/>
      <c r="CH830" s="6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ht="13.5" customHeight="1">
      <c r="A831" s="1"/>
      <c r="P831" s="6"/>
      <c r="Q831" s="1"/>
      <c r="AD831" s="6"/>
      <c r="AE831" s="1"/>
      <c r="AR831" s="6"/>
      <c r="AS831" s="1"/>
      <c r="BF831" s="6"/>
      <c r="BG831" s="1"/>
      <c r="BT831" s="6"/>
      <c r="BU831" s="1"/>
      <c r="CH831" s="6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ht="13.5" customHeight="1">
      <c r="A832" s="1"/>
      <c r="P832" s="6"/>
      <c r="Q832" s="1"/>
      <c r="AD832" s="6"/>
      <c r="AE832" s="1"/>
      <c r="AR832" s="6"/>
      <c r="AS832" s="1"/>
      <c r="BF832" s="6"/>
      <c r="BG832" s="1"/>
      <c r="BT832" s="6"/>
      <c r="BU832" s="1"/>
      <c r="CH832" s="6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ht="13.5" customHeight="1">
      <c r="A833" s="1"/>
      <c r="P833" s="6"/>
      <c r="Q833" s="1"/>
      <c r="AD833" s="6"/>
      <c r="AE833" s="1"/>
      <c r="AR833" s="6"/>
      <c r="AS833" s="1"/>
      <c r="BF833" s="6"/>
      <c r="BG833" s="1"/>
      <c r="BT833" s="6"/>
      <c r="BU833" s="1"/>
      <c r="CH833" s="6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ht="13.5" customHeight="1">
      <c r="A834" s="1"/>
      <c r="P834" s="6"/>
      <c r="Q834" s="1"/>
      <c r="AD834" s="6"/>
      <c r="AE834" s="1"/>
      <c r="AR834" s="6"/>
      <c r="AS834" s="1"/>
      <c r="BF834" s="6"/>
      <c r="BG834" s="1"/>
      <c r="BT834" s="6"/>
      <c r="BU834" s="1"/>
      <c r="CH834" s="6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ht="13.5" customHeight="1">
      <c r="A835" s="1"/>
      <c r="P835" s="6"/>
      <c r="Q835" s="1"/>
      <c r="AD835" s="6"/>
      <c r="AE835" s="1"/>
      <c r="AR835" s="6"/>
      <c r="AS835" s="1"/>
      <c r="BF835" s="6"/>
      <c r="BG835" s="1"/>
      <c r="BT835" s="6"/>
      <c r="BU835" s="1"/>
      <c r="CH835" s="6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ht="13.5" customHeight="1">
      <c r="A836" s="1"/>
      <c r="P836" s="6"/>
      <c r="Q836" s="1"/>
      <c r="AD836" s="6"/>
      <c r="AE836" s="1"/>
      <c r="AR836" s="6"/>
      <c r="AS836" s="1"/>
      <c r="BF836" s="6"/>
      <c r="BG836" s="1"/>
      <c r="BT836" s="6"/>
      <c r="BU836" s="1"/>
      <c r="CH836" s="6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ht="13.5" customHeight="1">
      <c r="A837" s="1"/>
      <c r="P837" s="6"/>
      <c r="Q837" s="1"/>
      <c r="AD837" s="6"/>
      <c r="AE837" s="1"/>
      <c r="AR837" s="6"/>
      <c r="AS837" s="1"/>
      <c r="BF837" s="6"/>
      <c r="BG837" s="1"/>
      <c r="BT837" s="6"/>
      <c r="BU837" s="1"/>
      <c r="CH837" s="6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ht="13.5" customHeight="1">
      <c r="A838" s="1"/>
      <c r="P838" s="6"/>
      <c r="Q838" s="1"/>
      <c r="AD838" s="6"/>
      <c r="AE838" s="1"/>
      <c r="AR838" s="6"/>
      <c r="AS838" s="1"/>
      <c r="BF838" s="6"/>
      <c r="BG838" s="1"/>
      <c r="BT838" s="6"/>
      <c r="BU838" s="1"/>
      <c r="CH838" s="6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ht="13.5" customHeight="1">
      <c r="A839" s="1"/>
      <c r="P839" s="6"/>
      <c r="Q839" s="1"/>
      <c r="AD839" s="6"/>
      <c r="AE839" s="1"/>
      <c r="AR839" s="6"/>
      <c r="AS839" s="1"/>
      <c r="BF839" s="6"/>
      <c r="BG839" s="1"/>
      <c r="BT839" s="6"/>
      <c r="BU839" s="1"/>
      <c r="CH839" s="6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ht="13.5" customHeight="1">
      <c r="A840" s="1"/>
      <c r="P840" s="6"/>
      <c r="Q840" s="1"/>
      <c r="AD840" s="6"/>
      <c r="AE840" s="1"/>
      <c r="AR840" s="6"/>
      <c r="AS840" s="1"/>
      <c r="BF840" s="6"/>
      <c r="BG840" s="1"/>
      <c r="BT840" s="6"/>
      <c r="BU840" s="1"/>
      <c r="CH840" s="6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ht="13.5" customHeight="1">
      <c r="A841" s="1"/>
      <c r="P841" s="6"/>
      <c r="Q841" s="1"/>
      <c r="AD841" s="6"/>
      <c r="AE841" s="1"/>
      <c r="AR841" s="6"/>
      <c r="AS841" s="1"/>
      <c r="BF841" s="6"/>
      <c r="BG841" s="1"/>
      <c r="BT841" s="6"/>
      <c r="BU841" s="1"/>
      <c r="CH841" s="6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ht="13.5" customHeight="1">
      <c r="A842" s="1"/>
      <c r="P842" s="6"/>
      <c r="Q842" s="1"/>
      <c r="AD842" s="6"/>
      <c r="AE842" s="1"/>
      <c r="AR842" s="6"/>
      <c r="AS842" s="1"/>
      <c r="BF842" s="6"/>
      <c r="BG842" s="1"/>
      <c r="BT842" s="6"/>
      <c r="BU842" s="1"/>
      <c r="CH842" s="6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ht="13.5" customHeight="1">
      <c r="A843" s="1"/>
      <c r="P843" s="6"/>
      <c r="Q843" s="1"/>
      <c r="AD843" s="6"/>
      <c r="AE843" s="1"/>
      <c r="AR843" s="6"/>
      <c r="AS843" s="1"/>
      <c r="BF843" s="6"/>
      <c r="BG843" s="1"/>
      <c r="BT843" s="6"/>
      <c r="BU843" s="1"/>
      <c r="CH843" s="6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ht="13.5" customHeight="1">
      <c r="A844" s="1"/>
      <c r="P844" s="6"/>
      <c r="Q844" s="1"/>
      <c r="AD844" s="6"/>
      <c r="AE844" s="1"/>
      <c r="AR844" s="6"/>
      <c r="AS844" s="1"/>
      <c r="BF844" s="6"/>
      <c r="BG844" s="1"/>
      <c r="BT844" s="6"/>
      <c r="BU844" s="1"/>
      <c r="CH844" s="6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ht="13.5" customHeight="1">
      <c r="A845" s="1"/>
      <c r="P845" s="6"/>
      <c r="Q845" s="1"/>
      <c r="AD845" s="6"/>
      <c r="AE845" s="1"/>
      <c r="AR845" s="6"/>
      <c r="AS845" s="1"/>
      <c r="BF845" s="6"/>
      <c r="BG845" s="1"/>
      <c r="BT845" s="6"/>
      <c r="BU845" s="1"/>
      <c r="CH845" s="6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ht="13.5" customHeight="1">
      <c r="A846" s="1"/>
      <c r="P846" s="6"/>
      <c r="Q846" s="1"/>
      <c r="AD846" s="6"/>
      <c r="AE846" s="1"/>
      <c r="AR846" s="6"/>
      <c r="AS846" s="1"/>
      <c r="BF846" s="6"/>
      <c r="BG846" s="1"/>
      <c r="BT846" s="6"/>
      <c r="BU846" s="1"/>
      <c r="CH846" s="6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ht="13.5" customHeight="1">
      <c r="A847" s="1"/>
      <c r="P847" s="6"/>
      <c r="Q847" s="1"/>
      <c r="AD847" s="6"/>
      <c r="AE847" s="1"/>
      <c r="AR847" s="6"/>
      <c r="AS847" s="1"/>
      <c r="BF847" s="6"/>
      <c r="BG847" s="1"/>
      <c r="BT847" s="6"/>
      <c r="BU847" s="1"/>
      <c r="CH847" s="6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ht="13.5" customHeight="1">
      <c r="A848" s="1"/>
      <c r="P848" s="6"/>
      <c r="Q848" s="1"/>
      <c r="AD848" s="6"/>
      <c r="AE848" s="1"/>
      <c r="AR848" s="6"/>
      <c r="AS848" s="1"/>
      <c r="BF848" s="6"/>
      <c r="BG848" s="1"/>
      <c r="BT848" s="6"/>
      <c r="BU848" s="1"/>
      <c r="CH848" s="6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ht="13.5" customHeight="1">
      <c r="A849" s="1"/>
      <c r="P849" s="6"/>
      <c r="Q849" s="1"/>
      <c r="AD849" s="6"/>
      <c r="AE849" s="1"/>
      <c r="AR849" s="6"/>
      <c r="AS849" s="1"/>
      <c r="BF849" s="6"/>
      <c r="BG849" s="1"/>
      <c r="BT849" s="6"/>
      <c r="BU849" s="1"/>
      <c r="CH849" s="6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ht="13.5" customHeight="1">
      <c r="A850" s="1"/>
      <c r="P850" s="6"/>
      <c r="Q850" s="1"/>
      <c r="AD850" s="6"/>
      <c r="AE850" s="1"/>
      <c r="AR850" s="6"/>
      <c r="AS850" s="1"/>
      <c r="BF850" s="6"/>
      <c r="BG850" s="1"/>
      <c r="BT850" s="6"/>
      <c r="BU850" s="1"/>
      <c r="CH850" s="6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ht="13.5" customHeight="1">
      <c r="A851" s="1"/>
      <c r="P851" s="6"/>
      <c r="Q851" s="1"/>
      <c r="AD851" s="6"/>
      <c r="AE851" s="1"/>
      <c r="AR851" s="6"/>
      <c r="AS851" s="1"/>
      <c r="BF851" s="6"/>
      <c r="BG851" s="1"/>
      <c r="BT851" s="6"/>
      <c r="BU851" s="1"/>
      <c r="CH851" s="6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ht="13.5" customHeight="1">
      <c r="A852" s="1"/>
      <c r="P852" s="6"/>
      <c r="Q852" s="1"/>
      <c r="AD852" s="6"/>
      <c r="AE852" s="1"/>
      <c r="AR852" s="6"/>
      <c r="AS852" s="1"/>
      <c r="BF852" s="6"/>
      <c r="BG852" s="1"/>
      <c r="BT852" s="6"/>
      <c r="BU852" s="1"/>
      <c r="CH852" s="6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ht="13.5" customHeight="1">
      <c r="A853" s="1"/>
      <c r="P853" s="6"/>
      <c r="Q853" s="1"/>
      <c r="AD853" s="6"/>
      <c r="AE853" s="1"/>
      <c r="AR853" s="6"/>
      <c r="AS853" s="1"/>
      <c r="BF853" s="6"/>
      <c r="BG853" s="1"/>
      <c r="BT853" s="6"/>
      <c r="BU853" s="1"/>
      <c r="CH853" s="6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ht="13.5" customHeight="1">
      <c r="A854" s="1"/>
      <c r="P854" s="6"/>
      <c r="Q854" s="1"/>
      <c r="AD854" s="6"/>
      <c r="AE854" s="1"/>
      <c r="AR854" s="6"/>
      <c r="AS854" s="1"/>
      <c r="BF854" s="6"/>
      <c r="BG854" s="1"/>
      <c r="BT854" s="6"/>
      <c r="BU854" s="1"/>
      <c r="CH854" s="6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ht="13.5" customHeight="1">
      <c r="A855" s="1"/>
      <c r="P855" s="6"/>
      <c r="Q855" s="1"/>
      <c r="AD855" s="6"/>
      <c r="AE855" s="1"/>
      <c r="AR855" s="6"/>
      <c r="AS855" s="1"/>
      <c r="BF855" s="6"/>
      <c r="BG855" s="1"/>
      <c r="BT855" s="6"/>
      <c r="BU855" s="1"/>
      <c r="CH855" s="6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ht="13.5" customHeight="1">
      <c r="A856" s="1"/>
      <c r="P856" s="6"/>
      <c r="Q856" s="1"/>
      <c r="AD856" s="6"/>
      <c r="AE856" s="1"/>
      <c r="AR856" s="6"/>
      <c r="AS856" s="1"/>
      <c r="BF856" s="6"/>
      <c r="BG856" s="1"/>
      <c r="BT856" s="6"/>
      <c r="BU856" s="1"/>
      <c r="CH856" s="6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ht="13.5" customHeight="1">
      <c r="A857" s="1"/>
      <c r="P857" s="6"/>
      <c r="Q857" s="1"/>
      <c r="AD857" s="6"/>
      <c r="AE857" s="1"/>
      <c r="AR857" s="6"/>
      <c r="AS857" s="1"/>
      <c r="BF857" s="6"/>
      <c r="BG857" s="1"/>
      <c r="BT857" s="6"/>
      <c r="BU857" s="1"/>
      <c r="CH857" s="6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ht="13.5" customHeight="1">
      <c r="A858" s="1"/>
      <c r="P858" s="6"/>
      <c r="Q858" s="1"/>
      <c r="AD858" s="6"/>
      <c r="AE858" s="1"/>
      <c r="AR858" s="6"/>
      <c r="AS858" s="1"/>
      <c r="BF858" s="6"/>
      <c r="BG858" s="1"/>
      <c r="BT858" s="6"/>
      <c r="BU858" s="1"/>
      <c r="CH858" s="6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ht="13.5" customHeight="1">
      <c r="A859" s="1"/>
      <c r="P859" s="6"/>
      <c r="Q859" s="1"/>
      <c r="AD859" s="6"/>
      <c r="AE859" s="1"/>
      <c r="AR859" s="6"/>
      <c r="AS859" s="1"/>
      <c r="BF859" s="6"/>
      <c r="BG859" s="1"/>
      <c r="BT859" s="6"/>
      <c r="BU859" s="1"/>
      <c r="CH859" s="6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ht="13.5" customHeight="1">
      <c r="A860" s="1"/>
      <c r="P860" s="6"/>
      <c r="Q860" s="1"/>
      <c r="AD860" s="6"/>
      <c r="AE860" s="1"/>
      <c r="AR860" s="6"/>
      <c r="AS860" s="1"/>
      <c r="BF860" s="6"/>
      <c r="BG860" s="1"/>
      <c r="BT860" s="6"/>
      <c r="BU860" s="1"/>
      <c r="CH860" s="6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ht="13.5" customHeight="1">
      <c r="A861" s="1"/>
      <c r="P861" s="6"/>
      <c r="Q861" s="1"/>
      <c r="AD861" s="6"/>
      <c r="AE861" s="1"/>
      <c r="AR861" s="6"/>
      <c r="AS861" s="1"/>
      <c r="BF861" s="6"/>
      <c r="BG861" s="1"/>
      <c r="BT861" s="6"/>
      <c r="BU861" s="1"/>
      <c r="CH861" s="6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ht="13.5" customHeight="1">
      <c r="A862" s="1"/>
      <c r="P862" s="6"/>
      <c r="Q862" s="1"/>
      <c r="AD862" s="6"/>
      <c r="AE862" s="1"/>
      <c r="AR862" s="6"/>
      <c r="AS862" s="1"/>
      <c r="BF862" s="6"/>
      <c r="BG862" s="1"/>
      <c r="BT862" s="6"/>
      <c r="BU862" s="1"/>
      <c r="CH862" s="6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ht="13.5" customHeight="1">
      <c r="A863" s="1"/>
      <c r="P863" s="6"/>
      <c r="Q863" s="1"/>
      <c r="AD863" s="6"/>
      <c r="AE863" s="1"/>
      <c r="AR863" s="6"/>
      <c r="AS863" s="1"/>
      <c r="BF863" s="6"/>
      <c r="BG863" s="1"/>
      <c r="BT863" s="6"/>
      <c r="BU863" s="1"/>
      <c r="CH863" s="6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ht="13.5" customHeight="1">
      <c r="A864" s="1"/>
      <c r="P864" s="6"/>
      <c r="Q864" s="1"/>
      <c r="AD864" s="6"/>
      <c r="AE864" s="1"/>
      <c r="AR864" s="6"/>
      <c r="AS864" s="1"/>
      <c r="BF864" s="6"/>
      <c r="BG864" s="1"/>
      <c r="BT864" s="6"/>
      <c r="BU864" s="1"/>
      <c r="CH864" s="6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ht="13.5" customHeight="1">
      <c r="A865" s="1"/>
      <c r="P865" s="6"/>
      <c r="Q865" s="1"/>
      <c r="AD865" s="6"/>
      <c r="AE865" s="1"/>
      <c r="AR865" s="6"/>
      <c r="AS865" s="1"/>
      <c r="BF865" s="6"/>
      <c r="BG865" s="1"/>
      <c r="BT865" s="6"/>
      <c r="BU865" s="1"/>
      <c r="CH865" s="6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ht="13.5" customHeight="1">
      <c r="A866" s="1"/>
      <c r="P866" s="6"/>
      <c r="Q866" s="1"/>
      <c r="AD866" s="6"/>
      <c r="AE866" s="1"/>
      <c r="AR866" s="6"/>
      <c r="AS866" s="1"/>
      <c r="BF866" s="6"/>
      <c r="BG866" s="1"/>
      <c r="BT866" s="6"/>
      <c r="BU866" s="1"/>
      <c r="CH866" s="6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ht="13.5" customHeight="1">
      <c r="A867" s="1"/>
      <c r="P867" s="6"/>
      <c r="Q867" s="1"/>
      <c r="AD867" s="6"/>
      <c r="AE867" s="1"/>
      <c r="AR867" s="6"/>
      <c r="AS867" s="1"/>
      <c r="BF867" s="6"/>
      <c r="BG867" s="1"/>
      <c r="BT867" s="6"/>
      <c r="BU867" s="1"/>
      <c r="CH867" s="6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ht="13.5" customHeight="1">
      <c r="A868" s="1"/>
      <c r="P868" s="6"/>
      <c r="Q868" s="1"/>
      <c r="AD868" s="6"/>
      <c r="AE868" s="1"/>
      <c r="AR868" s="6"/>
      <c r="AS868" s="1"/>
      <c r="BF868" s="6"/>
      <c r="BG868" s="1"/>
      <c r="BT868" s="6"/>
      <c r="BU868" s="1"/>
      <c r="CH868" s="6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ht="13.5" customHeight="1">
      <c r="A869" s="1"/>
      <c r="P869" s="6"/>
      <c r="Q869" s="1"/>
      <c r="AD869" s="6"/>
      <c r="AE869" s="1"/>
      <c r="AR869" s="6"/>
      <c r="AS869" s="1"/>
      <c r="BF869" s="6"/>
      <c r="BG869" s="1"/>
      <c r="BT869" s="6"/>
      <c r="BU869" s="1"/>
      <c r="CH869" s="6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ht="13.5" customHeight="1">
      <c r="A870" s="1"/>
      <c r="P870" s="6"/>
      <c r="Q870" s="1"/>
      <c r="AD870" s="6"/>
      <c r="AE870" s="1"/>
      <c r="AR870" s="6"/>
      <c r="AS870" s="1"/>
      <c r="BF870" s="6"/>
      <c r="BG870" s="1"/>
      <c r="BT870" s="6"/>
      <c r="BU870" s="1"/>
      <c r="CH870" s="6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ht="13.5" customHeight="1">
      <c r="A871" s="1"/>
      <c r="P871" s="6"/>
      <c r="Q871" s="1"/>
      <c r="AD871" s="6"/>
      <c r="AE871" s="1"/>
      <c r="AR871" s="6"/>
      <c r="AS871" s="1"/>
      <c r="BF871" s="6"/>
      <c r="BG871" s="1"/>
      <c r="BT871" s="6"/>
      <c r="BU871" s="1"/>
      <c r="CH871" s="6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ht="13.5" customHeight="1">
      <c r="A872" s="1"/>
      <c r="P872" s="6"/>
      <c r="Q872" s="1"/>
      <c r="AD872" s="6"/>
      <c r="AE872" s="1"/>
      <c r="AR872" s="6"/>
      <c r="AS872" s="1"/>
      <c r="BF872" s="6"/>
      <c r="BG872" s="1"/>
      <c r="BT872" s="6"/>
      <c r="BU872" s="1"/>
      <c r="CH872" s="6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ht="13.5" customHeight="1">
      <c r="A873" s="1"/>
      <c r="P873" s="6"/>
      <c r="Q873" s="1"/>
      <c r="AD873" s="6"/>
      <c r="AE873" s="1"/>
      <c r="AR873" s="6"/>
      <c r="AS873" s="1"/>
      <c r="BF873" s="6"/>
      <c r="BG873" s="1"/>
      <c r="BT873" s="6"/>
      <c r="BU873" s="1"/>
      <c r="CH873" s="6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ht="13.5" customHeight="1">
      <c r="A874" s="1"/>
      <c r="P874" s="6"/>
      <c r="Q874" s="1"/>
      <c r="AD874" s="6"/>
      <c r="AE874" s="1"/>
      <c r="AR874" s="6"/>
      <c r="AS874" s="1"/>
      <c r="BF874" s="6"/>
      <c r="BG874" s="1"/>
      <c r="BT874" s="6"/>
      <c r="BU874" s="1"/>
      <c r="CH874" s="6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ht="13.5" customHeight="1">
      <c r="A875" s="1"/>
      <c r="P875" s="6"/>
      <c r="Q875" s="1"/>
      <c r="AD875" s="6"/>
      <c r="AE875" s="1"/>
      <c r="AR875" s="6"/>
      <c r="AS875" s="1"/>
      <c r="BF875" s="6"/>
      <c r="BG875" s="1"/>
      <c r="BT875" s="6"/>
      <c r="BU875" s="1"/>
      <c r="CH875" s="6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ht="13.5" customHeight="1">
      <c r="A876" s="1"/>
      <c r="P876" s="6"/>
      <c r="Q876" s="1"/>
      <c r="AD876" s="6"/>
      <c r="AE876" s="1"/>
      <c r="AR876" s="6"/>
      <c r="AS876" s="1"/>
      <c r="BF876" s="6"/>
      <c r="BG876" s="1"/>
      <c r="BT876" s="6"/>
      <c r="BU876" s="1"/>
      <c r="CH876" s="6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ht="13.5" customHeight="1">
      <c r="A877" s="1"/>
      <c r="P877" s="6"/>
      <c r="Q877" s="1"/>
      <c r="AD877" s="6"/>
      <c r="AE877" s="1"/>
      <c r="AR877" s="6"/>
      <c r="AS877" s="1"/>
      <c r="BF877" s="6"/>
      <c r="BG877" s="1"/>
      <c r="BT877" s="6"/>
      <c r="BU877" s="1"/>
      <c r="CH877" s="6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ht="13.5" customHeight="1">
      <c r="A878" s="1"/>
      <c r="P878" s="6"/>
      <c r="Q878" s="1"/>
      <c r="AD878" s="6"/>
      <c r="AE878" s="1"/>
      <c r="AR878" s="6"/>
      <c r="AS878" s="1"/>
      <c r="BF878" s="6"/>
      <c r="BG878" s="1"/>
      <c r="BT878" s="6"/>
      <c r="BU878" s="1"/>
      <c r="CH878" s="6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ht="13.5" customHeight="1">
      <c r="A879" s="1"/>
      <c r="P879" s="6"/>
      <c r="Q879" s="1"/>
      <c r="AD879" s="6"/>
      <c r="AE879" s="1"/>
      <c r="AR879" s="6"/>
      <c r="AS879" s="1"/>
      <c r="BF879" s="6"/>
      <c r="BG879" s="1"/>
      <c r="BT879" s="6"/>
      <c r="BU879" s="1"/>
      <c r="CH879" s="6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ht="13.5" customHeight="1">
      <c r="A880" s="1"/>
      <c r="P880" s="6"/>
      <c r="Q880" s="1"/>
      <c r="AD880" s="6"/>
      <c r="AE880" s="1"/>
      <c r="AR880" s="6"/>
      <c r="AS880" s="1"/>
      <c r="BF880" s="6"/>
      <c r="BG880" s="1"/>
      <c r="BT880" s="6"/>
      <c r="BU880" s="1"/>
      <c r="CH880" s="6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ht="13.5" customHeight="1">
      <c r="A881" s="1"/>
      <c r="P881" s="6"/>
      <c r="Q881" s="1"/>
      <c r="AD881" s="6"/>
      <c r="AE881" s="1"/>
      <c r="AR881" s="6"/>
      <c r="AS881" s="1"/>
      <c r="BF881" s="6"/>
      <c r="BG881" s="1"/>
      <c r="BT881" s="6"/>
      <c r="BU881" s="1"/>
      <c r="CH881" s="6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ht="13.5" customHeight="1">
      <c r="A882" s="1"/>
      <c r="P882" s="6"/>
      <c r="Q882" s="1"/>
      <c r="AD882" s="6"/>
      <c r="AE882" s="1"/>
      <c r="AR882" s="6"/>
      <c r="AS882" s="1"/>
      <c r="BF882" s="6"/>
      <c r="BG882" s="1"/>
      <c r="BT882" s="6"/>
      <c r="BU882" s="1"/>
      <c r="CH882" s="6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ht="13.5" customHeight="1">
      <c r="A883" s="1"/>
      <c r="P883" s="6"/>
      <c r="Q883" s="1"/>
      <c r="AD883" s="6"/>
      <c r="AE883" s="1"/>
      <c r="AR883" s="6"/>
      <c r="AS883" s="1"/>
      <c r="BF883" s="6"/>
      <c r="BG883" s="1"/>
      <c r="BT883" s="6"/>
      <c r="BU883" s="1"/>
      <c r="CH883" s="6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ht="13.5" customHeight="1">
      <c r="A884" s="1"/>
      <c r="P884" s="6"/>
      <c r="Q884" s="1"/>
      <c r="AD884" s="6"/>
      <c r="AE884" s="1"/>
      <c r="AR884" s="6"/>
      <c r="AS884" s="1"/>
      <c r="BF884" s="6"/>
      <c r="BG884" s="1"/>
      <c r="BT884" s="6"/>
      <c r="BU884" s="1"/>
      <c r="CH884" s="6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ht="13.5" customHeight="1">
      <c r="A885" s="1"/>
      <c r="P885" s="6"/>
      <c r="Q885" s="1"/>
      <c r="AD885" s="6"/>
      <c r="AE885" s="1"/>
      <c r="AR885" s="6"/>
      <c r="AS885" s="1"/>
      <c r="BF885" s="6"/>
      <c r="BG885" s="1"/>
      <c r="BT885" s="6"/>
      <c r="BU885" s="1"/>
      <c r="CH885" s="6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ht="13.5" customHeight="1">
      <c r="A886" s="1"/>
      <c r="P886" s="6"/>
      <c r="Q886" s="1"/>
      <c r="AD886" s="6"/>
      <c r="AE886" s="1"/>
      <c r="AR886" s="6"/>
      <c r="AS886" s="1"/>
      <c r="BF886" s="6"/>
      <c r="BG886" s="1"/>
      <c r="BT886" s="6"/>
      <c r="BU886" s="1"/>
      <c r="CH886" s="6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ht="13.5" customHeight="1">
      <c r="A887" s="1"/>
      <c r="P887" s="6"/>
      <c r="Q887" s="1"/>
      <c r="AD887" s="6"/>
      <c r="AE887" s="1"/>
      <c r="AR887" s="6"/>
      <c r="AS887" s="1"/>
      <c r="BF887" s="6"/>
      <c r="BG887" s="1"/>
      <c r="BT887" s="6"/>
      <c r="BU887" s="1"/>
      <c r="CH887" s="6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ht="13.5" customHeight="1">
      <c r="A888" s="1"/>
      <c r="P888" s="6"/>
      <c r="Q888" s="1"/>
      <c r="AD888" s="6"/>
      <c r="AE888" s="1"/>
      <c r="AR888" s="6"/>
      <c r="AS888" s="1"/>
      <c r="BF888" s="6"/>
      <c r="BG888" s="1"/>
      <c r="BT888" s="6"/>
      <c r="BU888" s="1"/>
      <c r="CH888" s="6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ht="13.5" customHeight="1">
      <c r="A889" s="1"/>
      <c r="P889" s="6"/>
      <c r="Q889" s="1"/>
      <c r="AD889" s="6"/>
      <c r="AE889" s="1"/>
      <c r="AR889" s="6"/>
      <c r="AS889" s="1"/>
      <c r="BF889" s="6"/>
      <c r="BG889" s="1"/>
      <c r="BT889" s="6"/>
      <c r="BU889" s="1"/>
      <c r="CH889" s="6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ht="13.5" customHeight="1">
      <c r="A890" s="1"/>
      <c r="P890" s="6"/>
      <c r="Q890" s="1"/>
      <c r="AD890" s="6"/>
      <c r="AE890" s="1"/>
      <c r="AR890" s="6"/>
      <c r="AS890" s="1"/>
      <c r="BF890" s="6"/>
      <c r="BG890" s="1"/>
      <c r="BT890" s="6"/>
      <c r="BU890" s="1"/>
      <c r="CH890" s="6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ht="13.5" customHeight="1">
      <c r="A891" s="1"/>
      <c r="P891" s="6"/>
      <c r="Q891" s="1"/>
      <c r="AD891" s="6"/>
      <c r="AE891" s="1"/>
      <c r="AR891" s="6"/>
      <c r="AS891" s="1"/>
      <c r="BF891" s="6"/>
      <c r="BG891" s="1"/>
      <c r="BT891" s="6"/>
      <c r="BU891" s="1"/>
      <c r="CH891" s="6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ht="13.5" customHeight="1">
      <c r="A892" s="1"/>
      <c r="P892" s="6"/>
      <c r="Q892" s="1"/>
      <c r="AD892" s="6"/>
      <c r="AE892" s="1"/>
      <c r="AR892" s="6"/>
      <c r="AS892" s="1"/>
      <c r="BF892" s="6"/>
      <c r="BG892" s="1"/>
      <c r="BT892" s="6"/>
      <c r="BU892" s="1"/>
      <c r="CH892" s="6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ht="13.5" customHeight="1">
      <c r="A893" s="1"/>
      <c r="P893" s="6"/>
      <c r="Q893" s="1"/>
      <c r="AD893" s="6"/>
      <c r="AE893" s="1"/>
      <c r="AR893" s="6"/>
      <c r="AS893" s="1"/>
      <c r="BF893" s="6"/>
      <c r="BG893" s="1"/>
      <c r="BT893" s="6"/>
      <c r="BU893" s="1"/>
      <c r="CH893" s="6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ht="13.5" customHeight="1">
      <c r="A894" s="1"/>
      <c r="P894" s="6"/>
      <c r="Q894" s="1"/>
      <c r="AD894" s="6"/>
      <c r="AE894" s="1"/>
      <c r="AR894" s="6"/>
      <c r="AS894" s="1"/>
      <c r="BF894" s="6"/>
      <c r="BG894" s="1"/>
      <c r="BT894" s="6"/>
      <c r="BU894" s="1"/>
      <c r="CH894" s="6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ht="13.5" customHeight="1">
      <c r="A895" s="1"/>
      <c r="P895" s="6"/>
      <c r="Q895" s="1"/>
      <c r="AD895" s="6"/>
      <c r="AE895" s="1"/>
      <c r="AR895" s="6"/>
      <c r="AS895" s="1"/>
      <c r="BF895" s="6"/>
      <c r="BG895" s="1"/>
      <c r="BT895" s="6"/>
      <c r="BU895" s="1"/>
      <c r="CH895" s="6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ht="13.5" customHeight="1">
      <c r="A896" s="1"/>
      <c r="P896" s="6"/>
      <c r="Q896" s="1"/>
      <c r="AD896" s="6"/>
      <c r="AE896" s="1"/>
      <c r="AR896" s="6"/>
      <c r="AS896" s="1"/>
      <c r="BF896" s="6"/>
      <c r="BG896" s="1"/>
      <c r="BT896" s="6"/>
      <c r="BU896" s="1"/>
      <c r="CH896" s="6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ht="13.5" customHeight="1">
      <c r="A897" s="1"/>
      <c r="P897" s="6"/>
      <c r="Q897" s="1"/>
      <c r="AD897" s="6"/>
      <c r="AE897" s="1"/>
      <c r="AR897" s="6"/>
      <c r="AS897" s="1"/>
      <c r="BF897" s="6"/>
      <c r="BG897" s="1"/>
      <c r="BT897" s="6"/>
      <c r="BU897" s="1"/>
      <c r="CH897" s="6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ht="13.5" customHeight="1">
      <c r="A898" s="1"/>
      <c r="P898" s="6"/>
      <c r="Q898" s="1"/>
      <c r="AD898" s="6"/>
      <c r="AE898" s="1"/>
      <c r="AR898" s="6"/>
      <c r="AS898" s="1"/>
      <c r="BF898" s="6"/>
      <c r="BG898" s="1"/>
      <c r="BT898" s="6"/>
      <c r="BU898" s="1"/>
      <c r="CH898" s="6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ht="13.5" customHeight="1">
      <c r="A899" s="1"/>
      <c r="P899" s="6"/>
      <c r="Q899" s="1"/>
      <c r="AD899" s="6"/>
      <c r="AE899" s="1"/>
      <c r="AR899" s="6"/>
      <c r="AS899" s="1"/>
      <c r="BF899" s="6"/>
      <c r="BG899" s="1"/>
      <c r="BT899" s="6"/>
      <c r="BU899" s="1"/>
      <c r="CH899" s="6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ht="13.5" customHeight="1">
      <c r="A900" s="1"/>
      <c r="P900" s="6"/>
      <c r="Q900" s="1"/>
      <c r="AD900" s="6"/>
      <c r="AE900" s="1"/>
      <c r="AR900" s="6"/>
      <c r="AS900" s="1"/>
      <c r="BF900" s="6"/>
      <c r="BG900" s="1"/>
      <c r="BT900" s="6"/>
      <c r="BU900" s="1"/>
      <c r="CH900" s="6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ht="13.5" customHeight="1">
      <c r="A901" s="1"/>
      <c r="P901" s="6"/>
      <c r="Q901" s="1"/>
      <c r="AD901" s="6"/>
      <c r="AE901" s="1"/>
      <c r="AR901" s="6"/>
      <c r="AS901" s="1"/>
      <c r="BF901" s="6"/>
      <c r="BG901" s="1"/>
      <c r="BT901" s="6"/>
      <c r="BU901" s="1"/>
      <c r="CH901" s="6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ht="13.5" customHeight="1">
      <c r="A902" s="1"/>
      <c r="P902" s="6"/>
      <c r="Q902" s="1"/>
      <c r="AD902" s="6"/>
      <c r="AE902" s="1"/>
      <c r="AR902" s="6"/>
      <c r="AS902" s="1"/>
      <c r="BF902" s="6"/>
      <c r="BG902" s="1"/>
      <c r="BT902" s="6"/>
      <c r="BU902" s="1"/>
      <c r="CH902" s="6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ht="13.5" customHeight="1">
      <c r="A903" s="1"/>
      <c r="P903" s="6"/>
      <c r="Q903" s="1"/>
      <c r="AD903" s="6"/>
      <c r="AE903" s="1"/>
      <c r="AR903" s="6"/>
      <c r="AS903" s="1"/>
      <c r="BF903" s="6"/>
      <c r="BG903" s="1"/>
      <c r="BT903" s="6"/>
      <c r="BU903" s="1"/>
      <c r="CH903" s="6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ht="13.5" customHeight="1">
      <c r="A904" s="1"/>
      <c r="P904" s="6"/>
      <c r="Q904" s="1"/>
      <c r="AD904" s="6"/>
      <c r="AE904" s="1"/>
      <c r="AR904" s="6"/>
      <c r="AS904" s="1"/>
      <c r="BF904" s="6"/>
      <c r="BG904" s="1"/>
      <c r="BT904" s="6"/>
      <c r="BU904" s="1"/>
      <c r="CH904" s="6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ht="13.5" customHeight="1">
      <c r="A905" s="1"/>
      <c r="P905" s="6"/>
      <c r="Q905" s="1"/>
      <c r="AD905" s="6"/>
      <c r="AE905" s="1"/>
      <c r="AR905" s="6"/>
      <c r="AS905" s="1"/>
      <c r="BF905" s="6"/>
      <c r="BG905" s="1"/>
      <c r="BT905" s="6"/>
      <c r="BU905" s="1"/>
      <c r="CH905" s="6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ht="13.5" customHeight="1">
      <c r="A906" s="1"/>
      <c r="P906" s="6"/>
      <c r="Q906" s="1"/>
      <c r="AD906" s="6"/>
      <c r="AE906" s="1"/>
      <c r="AR906" s="6"/>
      <c r="AS906" s="1"/>
      <c r="BF906" s="6"/>
      <c r="BG906" s="1"/>
      <c r="BT906" s="6"/>
      <c r="BU906" s="1"/>
      <c r="CH906" s="6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ht="13.5" customHeight="1">
      <c r="A907" s="1"/>
      <c r="P907" s="6"/>
      <c r="Q907" s="1"/>
      <c r="AD907" s="6"/>
      <c r="AE907" s="1"/>
      <c r="AR907" s="6"/>
      <c r="AS907" s="1"/>
      <c r="BF907" s="6"/>
      <c r="BG907" s="1"/>
      <c r="BT907" s="6"/>
      <c r="BU907" s="1"/>
      <c r="CH907" s="6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ht="13.5" customHeight="1">
      <c r="A908" s="1"/>
      <c r="P908" s="6"/>
      <c r="Q908" s="1"/>
      <c r="AD908" s="6"/>
      <c r="AE908" s="1"/>
      <c r="AR908" s="6"/>
      <c r="AS908" s="1"/>
      <c r="BF908" s="6"/>
      <c r="BG908" s="1"/>
      <c r="BT908" s="6"/>
      <c r="BU908" s="1"/>
      <c r="CH908" s="6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ht="13.5" customHeight="1">
      <c r="A909" s="1"/>
      <c r="P909" s="6"/>
      <c r="Q909" s="1"/>
      <c r="AD909" s="6"/>
      <c r="AE909" s="1"/>
      <c r="AR909" s="6"/>
      <c r="AS909" s="1"/>
      <c r="BF909" s="6"/>
      <c r="BG909" s="1"/>
      <c r="BT909" s="6"/>
      <c r="BU909" s="1"/>
      <c r="CH909" s="6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ht="13.5" customHeight="1">
      <c r="A910" s="1"/>
      <c r="P910" s="6"/>
      <c r="Q910" s="1"/>
      <c r="AD910" s="6"/>
      <c r="AE910" s="1"/>
      <c r="AR910" s="6"/>
      <c r="AS910" s="1"/>
      <c r="BF910" s="6"/>
      <c r="BG910" s="1"/>
      <c r="BT910" s="6"/>
      <c r="BU910" s="1"/>
      <c r="CH910" s="6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ht="13.5" customHeight="1">
      <c r="A911" s="1"/>
      <c r="P911" s="6"/>
      <c r="Q911" s="1"/>
      <c r="AD911" s="6"/>
      <c r="AE911" s="1"/>
      <c r="AR911" s="6"/>
      <c r="AS911" s="1"/>
      <c r="BF911" s="6"/>
      <c r="BG911" s="1"/>
      <c r="BT911" s="6"/>
      <c r="BU911" s="1"/>
      <c r="CH911" s="6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ht="13.5" customHeight="1">
      <c r="A912" s="1"/>
      <c r="P912" s="6"/>
      <c r="Q912" s="1"/>
      <c r="AD912" s="6"/>
      <c r="AE912" s="1"/>
      <c r="AR912" s="6"/>
      <c r="AS912" s="1"/>
      <c r="BF912" s="6"/>
      <c r="BG912" s="1"/>
      <c r="BT912" s="6"/>
      <c r="BU912" s="1"/>
      <c r="CH912" s="6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ht="13.5" customHeight="1">
      <c r="A913" s="1"/>
      <c r="P913" s="6"/>
      <c r="Q913" s="1"/>
      <c r="AD913" s="6"/>
      <c r="AE913" s="1"/>
      <c r="AR913" s="6"/>
      <c r="AS913" s="1"/>
      <c r="BF913" s="6"/>
      <c r="BG913" s="1"/>
      <c r="BT913" s="6"/>
      <c r="BU913" s="1"/>
      <c r="CH913" s="6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ht="13.5" customHeight="1">
      <c r="A914" s="1"/>
      <c r="P914" s="6"/>
      <c r="Q914" s="1"/>
      <c r="AD914" s="6"/>
      <c r="AE914" s="1"/>
      <c r="AR914" s="6"/>
      <c r="AS914" s="1"/>
      <c r="BF914" s="6"/>
      <c r="BG914" s="1"/>
      <c r="BT914" s="6"/>
      <c r="BU914" s="1"/>
      <c r="CH914" s="6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ht="13.5" customHeight="1">
      <c r="A915" s="1"/>
      <c r="P915" s="6"/>
      <c r="Q915" s="1"/>
      <c r="AD915" s="6"/>
      <c r="AE915" s="1"/>
      <c r="AR915" s="6"/>
      <c r="AS915" s="1"/>
      <c r="BF915" s="6"/>
      <c r="BG915" s="1"/>
      <c r="BT915" s="6"/>
      <c r="BU915" s="1"/>
      <c r="CH915" s="6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ht="13.5" customHeight="1">
      <c r="A916" s="1"/>
      <c r="P916" s="6"/>
      <c r="Q916" s="1"/>
      <c r="AD916" s="6"/>
      <c r="AE916" s="1"/>
      <c r="AR916" s="6"/>
      <c r="AS916" s="1"/>
      <c r="BF916" s="6"/>
      <c r="BG916" s="1"/>
      <c r="BT916" s="6"/>
      <c r="BU916" s="1"/>
      <c r="CH916" s="6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ht="13.5" customHeight="1">
      <c r="A917" s="1"/>
      <c r="P917" s="6"/>
      <c r="Q917" s="1"/>
      <c r="AD917" s="6"/>
      <c r="AE917" s="1"/>
      <c r="AR917" s="6"/>
      <c r="AS917" s="1"/>
      <c r="BF917" s="6"/>
      <c r="BG917" s="1"/>
      <c r="BT917" s="6"/>
      <c r="BU917" s="1"/>
      <c r="CH917" s="6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ht="13.5" customHeight="1">
      <c r="A918" s="1"/>
      <c r="P918" s="6"/>
      <c r="Q918" s="1"/>
      <c r="AD918" s="6"/>
      <c r="AE918" s="1"/>
      <c r="AR918" s="6"/>
      <c r="AS918" s="1"/>
      <c r="BF918" s="6"/>
      <c r="BG918" s="1"/>
      <c r="BT918" s="6"/>
      <c r="BU918" s="1"/>
      <c r="CH918" s="6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ht="13.5" customHeight="1">
      <c r="A919" s="1"/>
      <c r="P919" s="6"/>
      <c r="Q919" s="1"/>
      <c r="AD919" s="6"/>
      <c r="AE919" s="1"/>
      <c r="AR919" s="6"/>
      <c r="AS919" s="1"/>
      <c r="BF919" s="6"/>
      <c r="BG919" s="1"/>
      <c r="BT919" s="6"/>
      <c r="BU919" s="1"/>
      <c r="CH919" s="6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ht="13.5" customHeight="1">
      <c r="A920" s="1"/>
      <c r="P920" s="6"/>
      <c r="Q920" s="1"/>
      <c r="AD920" s="6"/>
      <c r="AE920" s="1"/>
      <c r="AR920" s="6"/>
      <c r="AS920" s="1"/>
      <c r="BF920" s="6"/>
      <c r="BG920" s="1"/>
      <c r="BT920" s="6"/>
      <c r="BU920" s="1"/>
      <c r="CH920" s="6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ht="13.5" customHeight="1">
      <c r="A921" s="1"/>
      <c r="P921" s="6"/>
      <c r="Q921" s="1"/>
      <c r="AD921" s="6"/>
      <c r="AE921" s="1"/>
      <c r="AR921" s="6"/>
      <c r="AS921" s="1"/>
      <c r="BF921" s="6"/>
      <c r="BG921" s="1"/>
      <c r="BT921" s="6"/>
      <c r="BU921" s="1"/>
      <c r="CH921" s="6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ht="13.5" customHeight="1">
      <c r="A922" s="1"/>
      <c r="P922" s="6"/>
      <c r="Q922" s="1"/>
      <c r="AD922" s="6"/>
      <c r="AE922" s="1"/>
      <c r="AR922" s="6"/>
      <c r="AS922" s="1"/>
      <c r="BF922" s="6"/>
      <c r="BG922" s="1"/>
      <c r="BT922" s="6"/>
      <c r="BU922" s="1"/>
      <c r="CH922" s="6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ht="13.5" customHeight="1">
      <c r="A923" s="1"/>
      <c r="P923" s="6"/>
      <c r="Q923" s="1"/>
      <c r="AD923" s="6"/>
      <c r="AE923" s="1"/>
      <c r="AR923" s="6"/>
      <c r="AS923" s="1"/>
      <c r="BF923" s="6"/>
      <c r="BG923" s="1"/>
      <c r="BT923" s="6"/>
      <c r="BU923" s="1"/>
      <c r="CH923" s="6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ht="13.5" customHeight="1">
      <c r="A924" s="1"/>
      <c r="P924" s="6"/>
      <c r="Q924" s="1"/>
      <c r="AD924" s="6"/>
      <c r="AE924" s="1"/>
      <c r="AR924" s="6"/>
      <c r="AS924" s="1"/>
      <c r="BF924" s="6"/>
      <c r="BG924" s="1"/>
      <c r="BT924" s="6"/>
      <c r="BU924" s="1"/>
      <c r="CH924" s="6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ht="13.5" customHeight="1">
      <c r="A925" s="1"/>
      <c r="P925" s="6"/>
      <c r="Q925" s="1"/>
      <c r="AD925" s="6"/>
      <c r="AE925" s="1"/>
      <c r="AR925" s="6"/>
      <c r="AS925" s="1"/>
      <c r="BF925" s="6"/>
      <c r="BG925" s="1"/>
      <c r="BT925" s="6"/>
      <c r="BU925" s="1"/>
      <c r="CH925" s="6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ht="13.5" customHeight="1">
      <c r="A926" s="1"/>
      <c r="P926" s="6"/>
      <c r="Q926" s="1"/>
      <c r="AD926" s="6"/>
      <c r="AE926" s="1"/>
      <c r="AR926" s="6"/>
      <c r="AS926" s="1"/>
      <c r="BF926" s="6"/>
      <c r="BG926" s="1"/>
      <c r="BT926" s="6"/>
      <c r="BU926" s="1"/>
      <c r="CH926" s="6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ht="13.5" customHeight="1">
      <c r="A927" s="1"/>
      <c r="P927" s="6"/>
      <c r="Q927" s="1"/>
      <c r="AD927" s="6"/>
      <c r="AE927" s="1"/>
      <c r="AR927" s="6"/>
      <c r="AS927" s="1"/>
      <c r="BF927" s="6"/>
      <c r="BG927" s="1"/>
      <c r="BT927" s="6"/>
      <c r="BU927" s="1"/>
      <c r="CH927" s="6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ht="13.5" customHeight="1">
      <c r="A928" s="1"/>
      <c r="P928" s="6"/>
      <c r="Q928" s="1"/>
      <c r="AD928" s="6"/>
      <c r="AE928" s="1"/>
      <c r="AR928" s="6"/>
      <c r="AS928" s="1"/>
      <c r="BF928" s="6"/>
      <c r="BG928" s="1"/>
      <c r="BT928" s="6"/>
      <c r="BU928" s="1"/>
      <c r="CH928" s="6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ht="13.5" customHeight="1">
      <c r="A929" s="1"/>
      <c r="P929" s="6"/>
      <c r="Q929" s="1"/>
      <c r="AD929" s="6"/>
      <c r="AE929" s="1"/>
      <c r="AR929" s="6"/>
      <c r="AS929" s="1"/>
      <c r="BF929" s="6"/>
      <c r="BG929" s="1"/>
      <c r="BT929" s="6"/>
      <c r="BU929" s="1"/>
      <c r="CH929" s="6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ht="13.5" customHeight="1">
      <c r="A930" s="1"/>
      <c r="P930" s="6"/>
      <c r="Q930" s="1"/>
      <c r="AD930" s="6"/>
      <c r="AE930" s="1"/>
      <c r="AR930" s="6"/>
      <c r="AS930" s="1"/>
      <c r="BF930" s="6"/>
      <c r="BG930" s="1"/>
      <c r="BT930" s="6"/>
      <c r="BU930" s="1"/>
      <c r="CH930" s="6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ht="13.5" customHeight="1">
      <c r="A931" s="1"/>
      <c r="P931" s="6"/>
      <c r="Q931" s="1"/>
      <c r="AD931" s="6"/>
      <c r="AE931" s="1"/>
      <c r="AR931" s="6"/>
      <c r="AS931" s="1"/>
      <c r="BF931" s="6"/>
      <c r="BG931" s="1"/>
      <c r="BT931" s="6"/>
      <c r="BU931" s="1"/>
      <c r="CH931" s="6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ht="13.5" customHeight="1">
      <c r="A932" s="1"/>
      <c r="P932" s="6"/>
      <c r="Q932" s="1"/>
      <c r="AD932" s="6"/>
      <c r="AE932" s="1"/>
      <c r="AR932" s="6"/>
      <c r="AS932" s="1"/>
      <c r="BF932" s="6"/>
      <c r="BG932" s="1"/>
      <c r="BT932" s="6"/>
      <c r="BU932" s="1"/>
      <c r="CH932" s="6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ht="13.5" customHeight="1">
      <c r="A933" s="1"/>
      <c r="P933" s="6"/>
      <c r="Q933" s="1"/>
      <c r="AD933" s="6"/>
      <c r="AE933" s="1"/>
      <c r="AR933" s="6"/>
      <c r="AS933" s="1"/>
      <c r="BF933" s="6"/>
      <c r="BG933" s="1"/>
      <c r="BT933" s="6"/>
      <c r="BU933" s="1"/>
      <c r="CH933" s="6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ht="13.5" customHeight="1">
      <c r="A934" s="1"/>
      <c r="P934" s="6"/>
      <c r="Q934" s="1"/>
      <c r="AD934" s="6"/>
      <c r="AE934" s="1"/>
      <c r="AR934" s="6"/>
      <c r="AS934" s="1"/>
      <c r="BF934" s="6"/>
      <c r="BG934" s="1"/>
      <c r="BT934" s="6"/>
      <c r="BU934" s="1"/>
      <c r="CH934" s="6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ht="13.5" customHeight="1">
      <c r="A935" s="1"/>
      <c r="P935" s="6"/>
      <c r="Q935" s="1"/>
      <c r="AD935" s="6"/>
      <c r="AE935" s="1"/>
      <c r="AR935" s="6"/>
      <c r="AS935" s="1"/>
      <c r="BF935" s="6"/>
      <c r="BG935" s="1"/>
      <c r="BT935" s="6"/>
      <c r="BU935" s="1"/>
      <c r="CH935" s="6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ht="13.5" customHeight="1">
      <c r="A936" s="1"/>
      <c r="P936" s="6"/>
      <c r="Q936" s="1"/>
      <c r="AD936" s="6"/>
      <c r="AE936" s="1"/>
      <c r="AR936" s="6"/>
      <c r="AS936" s="1"/>
      <c r="BF936" s="6"/>
      <c r="BG936" s="1"/>
      <c r="BT936" s="6"/>
      <c r="BU936" s="1"/>
      <c r="CH936" s="6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ht="13.5" customHeight="1">
      <c r="A937" s="1"/>
      <c r="P937" s="6"/>
      <c r="Q937" s="1"/>
      <c r="AD937" s="6"/>
      <c r="AE937" s="1"/>
      <c r="AR937" s="6"/>
      <c r="AS937" s="1"/>
      <c r="BF937" s="6"/>
      <c r="BG937" s="1"/>
      <c r="BT937" s="6"/>
      <c r="BU937" s="1"/>
      <c r="CH937" s="6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ht="13.5" customHeight="1">
      <c r="A938" s="1"/>
      <c r="P938" s="6"/>
      <c r="Q938" s="1"/>
      <c r="AD938" s="6"/>
      <c r="AE938" s="1"/>
      <c r="AR938" s="6"/>
      <c r="AS938" s="1"/>
      <c r="BF938" s="6"/>
      <c r="BG938" s="1"/>
      <c r="BT938" s="6"/>
      <c r="BU938" s="1"/>
      <c r="CH938" s="6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ht="13.5" customHeight="1">
      <c r="A939" s="1"/>
      <c r="P939" s="6"/>
      <c r="Q939" s="1"/>
      <c r="AD939" s="6"/>
      <c r="AE939" s="1"/>
      <c r="AR939" s="6"/>
      <c r="AS939" s="1"/>
      <c r="BF939" s="6"/>
      <c r="BG939" s="1"/>
      <c r="BT939" s="6"/>
      <c r="BU939" s="1"/>
      <c r="CH939" s="6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ht="13.5" customHeight="1">
      <c r="A940" s="1"/>
      <c r="P940" s="6"/>
      <c r="Q940" s="1"/>
      <c r="AD940" s="6"/>
      <c r="AE940" s="1"/>
      <c r="AR940" s="6"/>
      <c r="AS940" s="1"/>
      <c r="BF940" s="6"/>
      <c r="BG940" s="1"/>
      <c r="BT940" s="6"/>
      <c r="BU940" s="1"/>
      <c r="CH940" s="6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ht="13.5" customHeight="1">
      <c r="A941" s="1"/>
      <c r="P941" s="6"/>
      <c r="Q941" s="1"/>
      <c r="AD941" s="6"/>
      <c r="AE941" s="1"/>
      <c r="AR941" s="6"/>
      <c r="AS941" s="1"/>
      <c r="BF941" s="6"/>
      <c r="BG941" s="1"/>
      <c r="BT941" s="6"/>
      <c r="BU941" s="1"/>
      <c r="CH941" s="6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ht="13.5" customHeight="1">
      <c r="A942" s="1"/>
      <c r="P942" s="6"/>
      <c r="Q942" s="1"/>
      <c r="AD942" s="6"/>
      <c r="AE942" s="1"/>
      <c r="AR942" s="6"/>
      <c r="AS942" s="1"/>
      <c r="BF942" s="6"/>
      <c r="BG942" s="1"/>
      <c r="BT942" s="6"/>
      <c r="BU942" s="1"/>
      <c r="CH942" s="6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ht="13.5" customHeight="1">
      <c r="A943" s="1"/>
      <c r="P943" s="6"/>
      <c r="Q943" s="1"/>
      <c r="AD943" s="6"/>
      <c r="AE943" s="1"/>
      <c r="AR943" s="6"/>
      <c r="AS943" s="1"/>
      <c r="BF943" s="6"/>
      <c r="BG943" s="1"/>
      <c r="BT943" s="6"/>
      <c r="BU943" s="1"/>
      <c r="CH943" s="6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ht="13.5" customHeight="1">
      <c r="A944" s="1"/>
      <c r="P944" s="6"/>
      <c r="Q944" s="1"/>
      <c r="AD944" s="6"/>
      <c r="AE944" s="1"/>
      <c r="AR944" s="6"/>
      <c r="AS944" s="1"/>
      <c r="BF944" s="6"/>
      <c r="BG944" s="1"/>
      <c r="BT944" s="6"/>
      <c r="BU944" s="1"/>
      <c r="CH944" s="6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ht="13.5" customHeight="1">
      <c r="A945" s="1"/>
      <c r="P945" s="6"/>
      <c r="Q945" s="1"/>
      <c r="AD945" s="6"/>
      <c r="AE945" s="1"/>
      <c r="AR945" s="6"/>
      <c r="AS945" s="1"/>
      <c r="BF945" s="6"/>
      <c r="BG945" s="1"/>
      <c r="BT945" s="6"/>
      <c r="BU945" s="1"/>
      <c r="CH945" s="6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ht="13.5" customHeight="1">
      <c r="A946" s="1"/>
      <c r="P946" s="6"/>
      <c r="Q946" s="1"/>
      <c r="AD946" s="6"/>
      <c r="AE946" s="1"/>
      <c r="AR946" s="6"/>
      <c r="AS946" s="1"/>
      <c r="BF946" s="6"/>
      <c r="BG946" s="1"/>
      <c r="BT946" s="6"/>
      <c r="BU946" s="1"/>
      <c r="CH946" s="6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ht="13.5" customHeight="1">
      <c r="A947" s="1"/>
      <c r="P947" s="6"/>
      <c r="Q947" s="1"/>
      <c r="AD947" s="6"/>
      <c r="AE947" s="1"/>
      <c r="AR947" s="6"/>
      <c r="AS947" s="1"/>
      <c r="BF947" s="6"/>
      <c r="BG947" s="1"/>
      <c r="BT947" s="6"/>
      <c r="BU947" s="1"/>
      <c r="CH947" s="6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  <row r="948" ht="13.5" customHeight="1">
      <c r="A948" s="1"/>
      <c r="P948" s="6"/>
      <c r="Q948" s="1"/>
      <c r="AD948" s="6"/>
      <c r="AE948" s="1"/>
      <c r="AR948" s="6"/>
      <c r="AS948" s="1"/>
      <c r="BF948" s="6"/>
      <c r="BG948" s="1"/>
      <c r="BT948" s="6"/>
      <c r="BU948" s="1"/>
      <c r="CH948" s="6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</row>
    <row r="949" ht="13.5" customHeight="1">
      <c r="A949" s="1"/>
      <c r="P949" s="6"/>
      <c r="Q949" s="1"/>
      <c r="AD949" s="6"/>
      <c r="AE949" s="1"/>
      <c r="AR949" s="6"/>
      <c r="AS949" s="1"/>
      <c r="BF949" s="6"/>
      <c r="BG949" s="1"/>
      <c r="BT949" s="6"/>
      <c r="BU949" s="1"/>
      <c r="CH949" s="6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</row>
    <row r="950" ht="13.5" customHeight="1">
      <c r="A950" s="1"/>
      <c r="P950" s="6"/>
      <c r="Q950" s="1"/>
      <c r="AD950" s="6"/>
      <c r="AE950" s="1"/>
      <c r="AR950" s="6"/>
      <c r="AS950" s="1"/>
      <c r="BF950" s="6"/>
      <c r="BG950" s="1"/>
      <c r="BT950" s="6"/>
      <c r="BU950" s="1"/>
      <c r="CH950" s="6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</row>
    <row r="951" ht="13.5" customHeight="1">
      <c r="A951" s="1"/>
      <c r="P951" s="6"/>
      <c r="Q951" s="1"/>
      <c r="AD951" s="6"/>
      <c r="AE951" s="1"/>
      <c r="AR951" s="6"/>
      <c r="AS951" s="1"/>
      <c r="BF951" s="6"/>
      <c r="BG951" s="1"/>
      <c r="BT951" s="6"/>
      <c r="BU951" s="1"/>
      <c r="CH951" s="6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</row>
    <row r="952" ht="13.5" customHeight="1">
      <c r="A952" s="1"/>
      <c r="P952" s="6"/>
      <c r="Q952" s="1"/>
      <c r="AD952" s="6"/>
      <c r="AE952" s="1"/>
      <c r="AR952" s="6"/>
      <c r="AS952" s="1"/>
      <c r="BF952" s="6"/>
      <c r="BG952" s="1"/>
      <c r="BT952" s="6"/>
      <c r="BU952" s="1"/>
      <c r="CH952" s="6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</row>
    <row r="953" ht="13.5" customHeight="1">
      <c r="A953" s="1"/>
      <c r="P953" s="6"/>
      <c r="Q953" s="1"/>
      <c r="AD953" s="6"/>
      <c r="AE953" s="1"/>
      <c r="AR953" s="6"/>
      <c r="AS953" s="1"/>
      <c r="BF953" s="6"/>
      <c r="BG953" s="1"/>
      <c r="BT953" s="6"/>
      <c r="BU953" s="1"/>
      <c r="CH953" s="6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</row>
    <row r="954" ht="13.5" customHeight="1">
      <c r="A954" s="1"/>
      <c r="P954" s="6"/>
      <c r="Q954" s="1"/>
      <c r="AD954" s="6"/>
      <c r="AE954" s="1"/>
      <c r="AR954" s="6"/>
      <c r="AS954" s="1"/>
      <c r="BF954" s="6"/>
      <c r="BG954" s="1"/>
      <c r="BT954" s="6"/>
      <c r="BU954" s="1"/>
      <c r="CH954" s="6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</row>
    <row r="955" ht="13.5" customHeight="1">
      <c r="A955" s="1"/>
      <c r="P955" s="6"/>
      <c r="Q955" s="1"/>
      <c r="AD955" s="6"/>
      <c r="AE955" s="1"/>
      <c r="AR955" s="6"/>
      <c r="AS955" s="1"/>
      <c r="BF955" s="6"/>
      <c r="BG955" s="1"/>
      <c r="BT955" s="6"/>
      <c r="BU955" s="1"/>
      <c r="CH955" s="6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</row>
    <row r="956" ht="13.5" customHeight="1">
      <c r="A956" s="1"/>
      <c r="P956" s="6"/>
      <c r="Q956" s="1"/>
      <c r="AD956" s="6"/>
      <c r="AE956" s="1"/>
      <c r="AR956" s="6"/>
      <c r="AS956" s="1"/>
      <c r="BF956" s="6"/>
      <c r="BG956" s="1"/>
      <c r="BT956" s="6"/>
      <c r="BU956" s="1"/>
      <c r="CH956" s="6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</row>
    <row r="957" ht="13.5" customHeight="1">
      <c r="A957" s="1"/>
      <c r="P957" s="6"/>
      <c r="Q957" s="1"/>
      <c r="AD957" s="6"/>
      <c r="AE957" s="1"/>
      <c r="AR957" s="6"/>
      <c r="AS957" s="1"/>
      <c r="BF957" s="6"/>
      <c r="BG957" s="1"/>
      <c r="BT957" s="6"/>
      <c r="BU957" s="1"/>
      <c r="CH957" s="6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</row>
    <row r="958" ht="13.5" customHeight="1">
      <c r="A958" s="1"/>
      <c r="P958" s="6"/>
      <c r="Q958" s="1"/>
      <c r="AD958" s="6"/>
      <c r="AE958" s="1"/>
      <c r="AR958" s="6"/>
      <c r="AS958" s="1"/>
      <c r="BF958" s="6"/>
      <c r="BG958" s="1"/>
      <c r="BT958" s="6"/>
      <c r="BU958" s="1"/>
      <c r="CH958" s="6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</row>
    <row r="959" ht="13.5" customHeight="1">
      <c r="A959" s="1"/>
      <c r="P959" s="6"/>
      <c r="Q959" s="1"/>
      <c r="AD959" s="6"/>
      <c r="AE959" s="1"/>
      <c r="AR959" s="6"/>
      <c r="AS959" s="1"/>
      <c r="BF959" s="6"/>
      <c r="BG959" s="1"/>
      <c r="BT959" s="6"/>
      <c r="BU959" s="1"/>
      <c r="CH959" s="6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</row>
    <row r="960" ht="13.5" customHeight="1">
      <c r="A960" s="1"/>
      <c r="P960" s="6"/>
      <c r="Q960" s="1"/>
      <c r="AD960" s="6"/>
      <c r="AE960" s="1"/>
      <c r="AR960" s="6"/>
      <c r="AS960" s="1"/>
      <c r="BF960" s="6"/>
      <c r="BG960" s="1"/>
      <c r="BT960" s="6"/>
      <c r="BU960" s="1"/>
      <c r="CH960" s="6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</row>
    <row r="961" ht="13.5" customHeight="1">
      <c r="A961" s="1"/>
      <c r="P961" s="6"/>
      <c r="Q961" s="1"/>
      <c r="AD961" s="6"/>
      <c r="AE961" s="1"/>
      <c r="AR961" s="6"/>
      <c r="AS961" s="1"/>
      <c r="BF961" s="6"/>
      <c r="BG961" s="1"/>
      <c r="BT961" s="6"/>
      <c r="BU961" s="1"/>
      <c r="CH961" s="6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</row>
    <row r="962" ht="13.5" customHeight="1">
      <c r="A962" s="1"/>
      <c r="P962" s="6"/>
      <c r="Q962" s="1"/>
      <c r="AD962" s="6"/>
      <c r="AE962" s="1"/>
      <c r="AR962" s="6"/>
      <c r="AS962" s="1"/>
      <c r="BF962" s="6"/>
      <c r="BG962" s="1"/>
      <c r="BT962" s="6"/>
      <c r="BU962" s="1"/>
      <c r="CH962" s="6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</row>
    <row r="963" ht="13.5" customHeight="1">
      <c r="A963" s="1"/>
      <c r="P963" s="6"/>
      <c r="Q963" s="1"/>
      <c r="AD963" s="6"/>
      <c r="AE963" s="1"/>
      <c r="AR963" s="6"/>
      <c r="AS963" s="1"/>
      <c r="BF963" s="6"/>
      <c r="BG963" s="1"/>
      <c r="BT963" s="6"/>
      <c r="BU963" s="1"/>
      <c r="CH963" s="6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</row>
    <row r="964" ht="13.5" customHeight="1">
      <c r="A964" s="1"/>
      <c r="P964" s="6"/>
      <c r="Q964" s="1"/>
      <c r="AD964" s="6"/>
      <c r="AE964" s="1"/>
      <c r="AR964" s="6"/>
      <c r="AS964" s="1"/>
      <c r="BF964" s="6"/>
      <c r="BG964" s="1"/>
      <c r="BT964" s="6"/>
      <c r="BU964" s="1"/>
      <c r="CH964" s="6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</row>
    <row r="965" ht="13.5" customHeight="1">
      <c r="A965" s="1"/>
      <c r="P965" s="6"/>
      <c r="Q965" s="1"/>
      <c r="AD965" s="6"/>
      <c r="AE965" s="1"/>
      <c r="AR965" s="6"/>
      <c r="AS965" s="1"/>
      <c r="BF965" s="6"/>
      <c r="BG965" s="1"/>
      <c r="BT965" s="6"/>
      <c r="BU965" s="1"/>
      <c r="CH965" s="6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</row>
    <row r="966" ht="13.5" customHeight="1">
      <c r="A966" s="1"/>
      <c r="P966" s="6"/>
      <c r="Q966" s="1"/>
      <c r="AD966" s="6"/>
      <c r="AE966" s="1"/>
      <c r="AR966" s="6"/>
      <c r="AS966" s="1"/>
      <c r="BF966" s="6"/>
      <c r="BG966" s="1"/>
      <c r="BT966" s="6"/>
      <c r="BU966" s="1"/>
      <c r="CH966" s="6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</row>
    <row r="967" ht="13.5" customHeight="1">
      <c r="A967" s="1"/>
      <c r="P967" s="6"/>
      <c r="Q967" s="1"/>
      <c r="AD967" s="6"/>
      <c r="AE967" s="1"/>
      <c r="AR967" s="6"/>
      <c r="AS967" s="1"/>
      <c r="BF967" s="6"/>
      <c r="BG967" s="1"/>
      <c r="BT967" s="6"/>
      <c r="BU967" s="1"/>
      <c r="CH967" s="6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</row>
    <row r="968" ht="13.5" customHeight="1">
      <c r="A968" s="1"/>
      <c r="P968" s="6"/>
      <c r="Q968" s="1"/>
      <c r="AD968" s="6"/>
      <c r="AE968" s="1"/>
      <c r="AR968" s="6"/>
      <c r="AS968" s="1"/>
      <c r="BF968" s="6"/>
      <c r="BG968" s="1"/>
      <c r="BT968" s="6"/>
      <c r="BU968" s="1"/>
      <c r="CH968" s="6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</row>
    <row r="969" ht="13.5" customHeight="1">
      <c r="A969" s="1"/>
      <c r="P969" s="6"/>
      <c r="Q969" s="1"/>
      <c r="AD969" s="6"/>
      <c r="AE969" s="1"/>
      <c r="AR969" s="6"/>
      <c r="AS969" s="1"/>
      <c r="BF969" s="6"/>
      <c r="BG969" s="1"/>
      <c r="BT969" s="6"/>
      <c r="BU969" s="1"/>
      <c r="CH969" s="6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</row>
    <row r="970" ht="13.5" customHeight="1">
      <c r="A970" s="1"/>
      <c r="P970" s="6"/>
      <c r="Q970" s="1"/>
      <c r="AD970" s="6"/>
      <c r="AE970" s="1"/>
      <c r="AR970" s="6"/>
      <c r="AS970" s="1"/>
      <c r="BF970" s="6"/>
      <c r="BG970" s="1"/>
      <c r="BT970" s="6"/>
      <c r="BU970" s="1"/>
      <c r="CH970" s="6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</row>
    <row r="971" ht="13.5" customHeight="1">
      <c r="A971" s="1"/>
      <c r="P971" s="6"/>
      <c r="Q971" s="1"/>
      <c r="AD971" s="6"/>
      <c r="AE971" s="1"/>
      <c r="AR971" s="6"/>
      <c r="AS971" s="1"/>
      <c r="BF971" s="6"/>
      <c r="BG971" s="1"/>
      <c r="BT971" s="6"/>
      <c r="BU971" s="1"/>
      <c r="CH971" s="6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</row>
    <row r="972" ht="13.5" customHeight="1">
      <c r="A972" s="1"/>
      <c r="P972" s="6"/>
      <c r="Q972" s="1"/>
      <c r="AD972" s="6"/>
      <c r="AE972" s="1"/>
      <c r="AR972" s="6"/>
      <c r="AS972" s="1"/>
      <c r="BF972" s="6"/>
      <c r="BG972" s="1"/>
      <c r="BT972" s="6"/>
      <c r="BU972" s="1"/>
      <c r="CH972" s="6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</row>
    <row r="973" ht="13.5" customHeight="1">
      <c r="A973" s="1"/>
      <c r="P973" s="6"/>
      <c r="Q973" s="1"/>
      <c r="AD973" s="6"/>
      <c r="AE973" s="1"/>
      <c r="AR973" s="6"/>
      <c r="AS973" s="1"/>
      <c r="BF973" s="6"/>
      <c r="BG973" s="1"/>
      <c r="BT973" s="6"/>
      <c r="BU973" s="1"/>
      <c r="CH973" s="6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</row>
    <row r="974" ht="13.5" customHeight="1">
      <c r="A974" s="1"/>
      <c r="P974" s="6"/>
      <c r="Q974" s="1"/>
      <c r="AD974" s="6"/>
      <c r="AE974" s="1"/>
      <c r="AR974" s="6"/>
      <c r="AS974" s="1"/>
      <c r="BF974" s="6"/>
      <c r="BG974" s="1"/>
      <c r="BT974" s="6"/>
      <c r="BU974" s="1"/>
      <c r="CH974" s="6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</row>
    <row r="975" ht="13.5" customHeight="1">
      <c r="A975" s="1"/>
      <c r="P975" s="6"/>
      <c r="Q975" s="1"/>
      <c r="AD975" s="6"/>
      <c r="AE975" s="1"/>
      <c r="AR975" s="6"/>
      <c r="AS975" s="1"/>
      <c r="BF975" s="6"/>
      <c r="BG975" s="1"/>
      <c r="BT975" s="6"/>
      <c r="BU975" s="1"/>
      <c r="CH975" s="6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</row>
    <row r="976" ht="13.5" customHeight="1">
      <c r="A976" s="1"/>
      <c r="P976" s="6"/>
      <c r="Q976" s="1"/>
      <c r="AD976" s="6"/>
      <c r="AE976" s="1"/>
      <c r="AR976" s="6"/>
      <c r="AS976" s="1"/>
      <c r="BF976" s="6"/>
      <c r="BG976" s="1"/>
      <c r="BT976" s="6"/>
      <c r="BU976" s="1"/>
      <c r="CH976" s="6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</row>
    <row r="977" ht="13.5" customHeight="1">
      <c r="A977" s="1"/>
      <c r="P977" s="6"/>
      <c r="Q977" s="1"/>
      <c r="AD977" s="6"/>
      <c r="AE977" s="1"/>
      <c r="AR977" s="6"/>
      <c r="AS977" s="1"/>
      <c r="BF977" s="6"/>
      <c r="BG977" s="1"/>
      <c r="BT977" s="6"/>
      <c r="BU977" s="1"/>
      <c r="CH977" s="6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</row>
    <row r="978" ht="13.5" customHeight="1">
      <c r="A978" s="1"/>
      <c r="P978" s="6"/>
      <c r="Q978" s="1"/>
      <c r="AD978" s="6"/>
      <c r="AE978" s="1"/>
      <c r="AR978" s="6"/>
      <c r="AS978" s="1"/>
      <c r="BF978" s="6"/>
      <c r="BG978" s="1"/>
      <c r="BT978" s="6"/>
      <c r="BU978" s="1"/>
      <c r="CH978" s="6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</row>
    <row r="979" ht="13.5" customHeight="1">
      <c r="A979" s="1"/>
      <c r="P979" s="6"/>
      <c r="Q979" s="1"/>
      <c r="AD979" s="6"/>
      <c r="AE979" s="1"/>
      <c r="AR979" s="6"/>
      <c r="AS979" s="1"/>
      <c r="BF979" s="6"/>
      <c r="BG979" s="1"/>
      <c r="BT979" s="6"/>
      <c r="BU979" s="1"/>
      <c r="CH979" s="6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</row>
    <row r="980" ht="13.5" customHeight="1">
      <c r="A980" s="1"/>
      <c r="P980" s="6"/>
      <c r="Q980" s="1"/>
      <c r="AD980" s="6"/>
      <c r="AE980" s="1"/>
      <c r="AR980" s="6"/>
      <c r="AS980" s="1"/>
      <c r="BF980" s="6"/>
      <c r="BG980" s="1"/>
      <c r="BT980" s="6"/>
      <c r="BU980" s="1"/>
      <c r="CH980" s="6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</row>
    <row r="981" ht="13.5" customHeight="1">
      <c r="A981" s="1"/>
      <c r="P981" s="6"/>
      <c r="Q981" s="1"/>
      <c r="AD981" s="6"/>
      <c r="AE981" s="1"/>
      <c r="AR981" s="6"/>
      <c r="AS981" s="1"/>
      <c r="BF981" s="6"/>
      <c r="BG981" s="1"/>
      <c r="BT981" s="6"/>
      <c r="BU981" s="1"/>
      <c r="CH981" s="6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</row>
    <row r="982" ht="13.5" customHeight="1">
      <c r="A982" s="1"/>
      <c r="P982" s="6"/>
      <c r="Q982" s="1"/>
      <c r="AD982" s="6"/>
      <c r="AE982" s="1"/>
      <c r="AR982" s="6"/>
      <c r="AS982" s="1"/>
      <c r="BF982" s="6"/>
      <c r="BG982" s="1"/>
      <c r="BT982" s="6"/>
      <c r="BU982" s="1"/>
      <c r="CH982" s="6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</row>
    <row r="983" ht="13.5" customHeight="1">
      <c r="A983" s="1"/>
      <c r="P983" s="6"/>
      <c r="Q983" s="1"/>
      <c r="AD983" s="6"/>
      <c r="AE983" s="1"/>
      <c r="AR983" s="6"/>
      <c r="AS983" s="1"/>
      <c r="BF983" s="6"/>
      <c r="BG983" s="1"/>
      <c r="BT983" s="6"/>
      <c r="BU983" s="1"/>
      <c r="CH983" s="6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</row>
    <row r="984" ht="13.5" customHeight="1">
      <c r="A984" s="1"/>
      <c r="P984" s="6"/>
      <c r="Q984" s="1"/>
      <c r="AD984" s="6"/>
      <c r="AE984" s="1"/>
      <c r="AR984" s="6"/>
      <c r="AS984" s="1"/>
      <c r="BF984" s="6"/>
      <c r="BG984" s="1"/>
      <c r="BT984" s="6"/>
      <c r="BU984" s="1"/>
      <c r="CH984" s="6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</row>
    <row r="985" ht="13.5" customHeight="1">
      <c r="A985" s="1"/>
      <c r="P985" s="6"/>
      <c r="Q985" s="1"/>
      <c r="AD985" s="6"/>
      <c r="AE985" s="1"/>
      <c r="AR985" s="6"/>
      <c r="AS985" s="1"/>
      <c r="BF985" s="6"/>
      <c r="BG985" s="1"/>
      <c r="BT985" s="6"/>
      <c r="BU985" s="1"/>
      <c r="CH985" s="6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</row>
    <row r="986" ht="13.5" customHeight="1">
      <c r="A986" s="1"/>
      <c r="P986" s="6"/>
      <c r="Q986" s="1"/>
      <c r="AD986" s="6"/>
      <c r="AE986" s="1"/>
      <c r="AR986" s="6"/>
      <c r="AS986" s="1"/>
      <c r="BF986" s="6"/>
      <c r="BG986" s="1"/>
      <c r="BT986" s="6"/>
      <c r="BU986" s="1"/>
      <c r="CH986" s="6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</row>
    <row r="987" ht="13.5" customHeight="1">
      <c r="A987" s="1"/>
      <c r="P987" s="6"/>
      <c r="Q987" s="1"/>
      <c r="AD987" s="6"/>
      <c r="AE987" s="1"/>
      <c r="AR987" s="6"/>
      <c r="AS987" s="1"/>
      <c r="BF987" s="6"/>
      <c r="BG987" s="1"/>
      <c r="BT987" s="6"/>
      <c r="BU987" s="1"/>
      <c r="CH987" s="6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</row>
    <row r="988" ht="13.5" customHeight="1">
      <c r="A988" s="1"/>
      <c r="P988" s="6"/>
      <c r="Q988" s="1"/>
      <c r="AD988" s="6"/>
      <c r="AE988" s="1"/>
      <c r="AR988" s="6"/>
      <c r="AS988" s="1"/>
      <c r="BF988" s="6"/>
      <c r="BG988" s="1"/>
      <c r="BT988" s="6"/>
      <c r="BU988" s="1"/>
      <c r="CH988" s="6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</row>
    <row r="989" ht="13.5" customHeight="1">
      <c r="A989" s="1"/>
      <c r="P989" s="6"/>
      <c r="Q989" s="1"/>
      <c r="AD989" s="6"/>
      <c r="AE989" s="1"/>
      <c r="AR989" s="6"/>
      <c r="AS989" s="1"/>
      <c r="BF989" s="6"/>
      <c r="BG989" s="1"/>
      <c r="BT989" s="6"/>
      <c r="BU989" s="1"/>
      <c r="CH989" s="6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</row>
    <row r="990" ht="13.5" customHeight="1">
      <c r="A990" s="1"/>
      <c r="P990" s="6"/>
      <c r="Q990" s="1"/>
      <c r="AD990" s="6"/>
      <c r="AE990" s="1"/>
      <c r="AR990" s="6"/>
      <c r="AS990" s="1"/>
      <c r="BF990" s="6"/>
      <c r="BG990" s="1"/>
      <c r="BT990" s="6"/>
      <c r="BU990" s="1"/>
      <c r="CH990" s="6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</row>
    <row r="991" ht="13.5" customHeight="1">
      <c r="A991" s="1"/>
      <c r="P991" s="6"/>
      <c r="Q991" s="1"/>
      <c r="AD991" s="6"/>
      <c r="AE991" s="1"/>
      <c r="AR991" s="6"/>
      <c r="AS991" s="1"/>
      <c r="BF991" s="6"/>
      <c r="BG991" s="1"/>
      <c r="BT991" s="6"/>
      <c r="BU991" s="1"/>
      <c r="CH991" s="6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</row>
    <row r="992" ht="13.5" customHeight="1">
      <c r="A992" s="1"/>
      <c r="P992" s="6"/>
      <c r="Q992" s="1"/>
      <c r="AD992" s="6"/>
      <c r="AE992" s="1"/>
      <c r="AR992" s="6"/>
      <c r="AS992" s="1"/>
      <c r="BF992" s="6"/>
      <c r="BG992" s="1"/>
      <c r="BT992" s="6"/>
      <c r="BU992" s="1"/>
      <c r="CH992" s="6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</row>
    <row r="993" ht="13.5" customHeight="1">
      <c r="A993" s="1"/>
      <c r="P993" s="6"/>
      <c r="Q993" s="1"/>
      <c r="AD993" s="6"/>
      <c r="AE993" s="1"/>
      <c r="AR993" s="6"/>
      <c r="AS993" s="1"/>
      <c r="BF993" s="6"/>
      <c r="BG993" s="1"/>
      <c r="BT993" s="6"/>
      <c r="BU993" s="1"/>
      <c r="CH993" s="6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</row>
    <row r="994" ht="13.5" customHeight="1">
      <c r="A994" s="1"/>
      <c r="P994" s="6"/>
      <c r="Q994" s="1"/>
      <c r="AD994" s="6"/>
      <c r="AE994" s="1"/>
      <c r="AR994" s="6"/>
      <c r="AS994" s="1"/>
      <c r="BF994" s="6"/>
      <c r="BG994" s="1"/>
      <c r="BT994" s="6"/>
      <c r="BU994" s="1"/>
      <c r="CH994" s="6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</row>
    <row r="995" ht="13.5" customHeight="1">
      <c r="A995" s="1"/>
      <c r="P995" s="6"/>
      <c r="Q995" s="1"/>
      <c r="AD995" s="6"/>
      <c r="AE995" s="1"/>
      <c r="AR995" s="6"/>
      <c r="AS995" s="1"/>
      <c r="BF995" s="6"/>
      <c r="BG995" s="1"/>
      <c r="BT995" s="6"/>
      <c r="BU995" s="1"/>
      <c r="CH995" s="6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</row>
    <row r="996" ht="13.5" customHeight="1">
      <c r="A996" s="1"/>
      <c r="P996" s="6"/>
      <c r="Q996" s="1"/>
      <c r="AD996" s="6"/>
      <c r="AE996" s="1"/>
      <c r="AR996" s="6"/>
      <c r="AS996" s="1"/>
      <c r="BF996" s="6"/>
      <c r="BG996" s="1"/>
      <c r="BT996" s="6"/>
      <c r="BU996" s="1"/>
      <c r="CH996" s="6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</row>
    <row r="997" ht="13.5" customHeight="1">
      <c r="A997" s="1"/>
      <c r="P997" s="6"/>
      <c r="Q997" s="1"/>
      <c r="AD997" s="6"/>
      <c r="AE997" s="1"/>
      <c r="AR997" s="6"/>
      <c r="AS997" s="1"/>
      <c r="BF997" s="6"/>
      <c r="BG997" s="1"/>
      <c r="BT997" s="6"/>
      <c r="BU997" s="1"/>
      <c r="CH997" s="6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</row>
    <row r="998" ht="13.5" customHeight="1">
      <c r="A998" s="1"/>
      <c r="P998" s="6"/>
      <c r="Q998" s="1"/>
      <c r="AD998" s="6"/>
      <c r="AE998" s="1"/>
      <c r="AR998" s="6"/>
      <c r="AS998" s="1"/>
      <c r="BF998" s="6"/>
      <c r="BG998" s="1"/>
      <c r="BT998" s="6"/>
      <c r="BU998" s="1"/>
      <c r="CH998" s="6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</row>
    <row r="999" ht="13.5" customHeight="1">
      <c r="A999" s="1"/>
      <c r="P999" s="6"/>
      <c r="Q999" s="1"/>
      <c r="AD999" s="6"/>
      <c r="AE999" s="1"/>
      <c r="AR999" s="6"/>
      <c r="AS999" s="1"/>
      <c r="BF999" s="6"/>
      <c r="BG999" s="1"/>
      <c r="BT999" s="6"/>
      <c r="BU999" s="1"/>
      <c r="CH999" s="6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</row>
    <row r="1000" ht="13.5" customHeight="1">
      <c r="A1000" s="1"/>
      <c r="P1000" s="6"/>
      <c r="Q1000" s="1"/>
      <c r="AD1000" s="6"/>
      <c r="AE1000" s="1"/>
      <c r="AR1000" s="6"/>
      <c r="AS1000" s="1"/>
      <c r="BF1000" s="6"/>
      <c r="BG1000" s="1"/>
      <c r="BT1000" s="6"/>
      <c r="BU1000" s="1"/>
      <c r="CH1000" s="6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</row>
    <row r="1001" ht="13.5" customHeight="1">
      <c r="A1001" s="1"/>
      <c r="P1001" s="6"/>
      <c r="Q1001" s="1"/>
      <c r="AD1001" s="6"/>
      <c r="AE1001" s="1"/>
      <c r="AR1001" s="6"/>
      <c r="AS1001" s="1"/>
      <c r="BF1001" s="6"/>
      <c r="BG1001" s="1"/>
      <c r="BT1001" s="6"/>
      <c r="BU1001" s="1"/>
      <c r="CH1001" s="6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</row>
    <row r="1002" ht="13.5" customHeight="1">
      <c r="A1002" s="1"/>
      <c r="P1002" s="6"/>
      <c r="Q1002" s="1"/>
      <c r="AD1002" s="6"/>
      <c r="AE1002" s="1"/>
      <c r="AR1002" s="6"/>
      <c r="AS1002" s="1"/>
      <c r="BF1002" s="6"/>
      <c r="BG1002" s="1"/>
      <c r="BT1002" s="6"/>
      <c r="BU1002" s="1"/>
      <c r="CH1002" s="6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</row>
    <row r="1003" ht="13.5" customHeight="1">
      <c r="A1003" s="1"/>
      <c r="P1003" s="6"/>
      <c r="Q1003" s="1"/>
      <c r="AD1003" s="6"/>
      <c r="AE1003" s="1"/>
      <c r="AR1003" s="6"/>
      <c r="AS1003" s="1"/>
      <c r="BF1003" s="6"/>
      <c r="BG1003" s="1"/>
      <c r="BT1003" s="6"/>
      <c r="BU1003" s="1"/>
      <c r="CH1003" s="6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</row>
    <row r="1004" ht="13.5" customHeight="1">
      <c r="A1004" s="1"/>
      <c r="P1004" s="6"/>
      <c r="Q1004" s="1"/>
      <c r="AD1004" s="6"/>
      <c r="AE1004" s="1"/>
      <c r="AR1004" s="6"/>
      <c r="AS1004" s="1"/>
      <c r="BF1004" s="6"/>
      <c r="BG1004" s="1"/>
      <c r="BT1004" s="6"/>
      <c r="BU1004" s="1"/>
      <c r="CH1004" s="6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2.63" defaultRowHeight="15.0"/>
  <cols>
    <col customWidth="1" min="1" max="4" width="8.63"/>
    <col customWidth="1" min="5" max="5" width="9.13"/>
    <col customWidth="1" min="6" max="26" width="8.63"/>
  </cols>
  <sheetData>
    <row r="1" ht="13.5" customHeight="1"/>
    <row r="2" ht="13.5" customHeight="1"/>
    <row r="3" ht="13.5" customHeight="1">
      <c r="A3" s="62" t="s">
        <v>54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3.5" customHeight="1"/>
    <row r="5" ht="13.5" customHeight="1">
      <c r="A5" s="62" t="s">
        <v>55</v>
      </c>
      <c r="B5" s="64" t="s">
        <v>56</v>
      </c>
    </row>
    <row r="6" ht="13.5" customHeight="1"/>
    <row r="7" ht="13.5" customHeight="1">
      <c r="A7" s="62" t="s">
        <v>1</v>
      </c>
      <c r="B7" s="6">
        <v>2025.0</v>
      </c>
    </row>
    <row r="8" ht="13.5" customHeight="1">
      <c r="A8" s="62" t="s">
        <v>57</v>
      </c>
      <c r="B8" s="6">
        <f t="shared" ref="B8:B13" si="1">+B7+1</f>
        <v>2026</v>
      </c>
      <c r="D8" s="62" t="s">
        <v>58</v>
      </c>
      <c r="E8" s="65">
        <v>0.056</v>
      </c>
      <c r="G8" s="66"/>
      <c r="H8" s="67"/>
    </row>
    <row r="9" ht="13.5" customHeight="1">
      <c r="A9" s="62" t="s">
        <v>59</v>
      </c>
      <c r="B9" s="6">
        <f t="shared" si="1"/>
        <v>2027</v>
      </c>
      <c r="D9" s="62" t="s">
        <v>58</v>
      </c>
      <c r="E9" s="65">
        <v>0.051</v>
      </c>
      <c r="G9" s="66"/>
      <c r="H9" s="67"/>
    </row>
    <row r="10" ht="13.5" customHeight="1">
      <c r="A10" s="62" t="s">
        <v>60</v>
      </c>
      <c r="B10" s="6">
        <f t="shared" si="1"/>
        <v>2028</v>
      </c>
      <c r="D10" s="62" t="s">
        <v>58</v>
      </c>
      <c r="E10" s="65">
        <v>0.036</v>
      </c>
      <c r="G10" s="66"/>
      <c r="H10" s="67"/>
    </row>
    <row r="11" ht="13.5" customHeight="1">
      <c r="A11" s="62" t="s">
        <v>61</v>
      </c>
      <c r="B11" s="6">
        <f t="shared" si="1"/>
        <v>2029</v>
      </c>
      <c r="D11" s="62" t="s">
        <v>58</v>
      </c>
      <c r="E11" s="65">
        <v>0.035</v>
      </c>
      <c r="G11" s="66"/>
      <c r="H11" s="67"/>
      <c r="J11" s="67"/>
    </row>
    <row r="12" ht="13.5" customHeight="1">
      <c r="A12" s="62" t="s">
        <v>62</v>
      </c>
      <c r="B12" s="6">
        <f t="shared" si="1"/>
        <v>2030</v>
      </c>
      <c r="D12" s="62" t="s">
        <v>58</v>
      </c>
      <c r="E12" s="65">
        <v>0.035</v>
      </c>
      <c r="G12" s="66"/>
      <c r="H12" s="67"/>
    </row>
    <row r="13" ht="13.5" customHeight="1">
      <c r="A13" s="62" t="s">
        <v>63</v>
      </c>
      <c r="B13" s="6">
        <f t="shared" si="1"/>
        <v>2031</v>
      </c>
      <c r="D13" s="62" t="s">
        <v>58</v>
      </c>
      <c r="E13" s="65">
        <v>0.035</v>
      </c>
      <c r="G13" s="66"/>
      <c r="H13" s="67"/>
    </row>
    <row r="14" ht="13.5" customHeight="1"/>
    <row r="15" ht="13.5" customHeight="1">
      <c r="A15" s="62" t="s">
        <v>64</v>
      </c>
      <c r="B15" s="6">
        <v>12.0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0DD"/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 outlineLevelCol="1"/>
  <cols>
    <col customWidth="1" min="1" max="1" width="8.63"/>
    <col customWidth="1" min="2" max="3" width="18.63"/>
    <col customWidth="1" min="4" max="15" width="12.88" outlineLevel="1"/>
    <col customWidth="1" min="16" max="16" width="12.88"/>
    <col customWidth="1" min="17" max="17" width="1.63"/>
    <col customWidth="1" min="18" max="29" width="12.88" outlineLevel="1"/>
    <col customWidth="1" min="30" max="30" width="12.88"/>
    <col customWidth="1" min="31" max="31" width="1.13"/>
    <col customWidth="1" min="32" max="43" width="12.88" outlineLevel="1"/>
    <col customWidth="1" min="44" max="44" width="12.88"/>
    <col customWidth="1" min="45" max="45" width="1.13"/>
    <col customWidth="1" min="46" max="57" width="12.88" outlineLevel="1"/>
    <col customWidth="1" min="58" max="58" width="12.88"/>
    <col customWidth="1" min="59" max="59" width="1.13"/>
    <col customWidth="1" min="60" max="71" width="12.88" outlineLevel="1"/>
    <col customWidth="1" min="72" max="72" width="12.88"/>
    <col customWidth="1" min="73" max="73" width="1.5"/>
    <col customWidth="1" min="74" max="85" width="12.88" outlineLevel="1"/>
    <col customWidth="1" min="86" max="86" width="12.88"/>
    <col customWidth="1" min="87" max="87" width="1.13"/>
  </cols>
  <sheetData>
    <row r="1" ht="20.25" customHeight="1">
      <c r="B1" s="2" t="s">
        <v>0</v>
      </c>
      <c r="C1" s="2"/>
      <c r="D1" s="3" t="str">
        <f>+COMP</f>
        <v>ZHY</v>
      </c>
      <c r="E1" s="3" t="str">
        <f>+COMP</f>
        <v>ZHY</v>
      </c>
      <c r="F1" s="3" t="str">
        <f>+COMP</f>
        <v>ZHY</v>
      </c>
      <c r="G1" s="3" t="str">
        <f>+COMP</f>
        <v>ZHY</v>
      </c>
      <c r="H1" s="3" t="str">
        <f>+COMP</f>
        <v>ZHY</v>
      </c>
      <c r="I1" s="3" t="str">
        <f>+COMP</f>
        <v>ZHY</v>
      </c>
      <c r="J1" s="3" t="str">
        <f>+COMP</f>
        <v>ZHY</v>
      </c>
      <c r="K1" s="3" t="str">
        <f>+COMP</f>
        <v>ZHY</v>
      </c>
      <c r="L1" s="3" t="str">
        <f>+COMP</f>
        <v>ZHY</v>
      </c>
      <c r="M1" s="3" t="str">
        <f>+COMP</f>
        <v>ZHY</v>
      </c>
      <c r="N1" s="3" t="str">
        <f>+COMP</f>
        <v>ZHY</v>
      </c>
      <c r="O1" s="3" t="str">
        <f>+COMP</f>
        <v>ZHY</v>
      </c>
      <c r="P1" s="4" t="str">
        <f>+COMP</f>
        <v>ZHY</v>
      </c>
      <c r="R1" s="3" t="str">
        <f>+COMP</f>
        <v>ZHY</v>
      </c>
      <c r="S1" s="3" t="str">
        <f>+COMP</f>
        <v>ZHY</v>
      </c>
      <c r="T1" s="3" t="str">
        <f>+COMP</f>
        <v>ZHY</v>
      </c>
      <c r="U1" s="3" t="str">
        <f>+COMP</f>
        <v>ZHY</v>
      </c>
      <c r="V1" s="3" t="str">
        <f>+COMP</f>
        <v>ZHY</v>
      </c>
      <c r="W1" s="3" t="str">
        <f>+COMP</f>
        <v>ZHY</v>
      </c>
      <c r="X1" s="3" t="str">
        <f>+COMP</f>
        <v>ZHY</v>
      </c>
      <c r="Y1" s="3" t="str">
        <f>+COMP</f>
        <v>ZHY</v>
      </c>
      <c r="Z1" s="3" t="str">
        <f>+COMP</f>
        <v>ZHY</v>
      </c>
      <c r="AA1" s="3" t="str">
        <f>+COMP</f>
        <v>ZHY</v>
      </c>
      <c r="AB1" s="3" t="str">
        <f>+COMP</f>
        <v>ZHY</v>
      </c>
      <c r="AC1" s="3" t="str">
        <f>+COMP</f>
        <v>ZHY</v>
      </c>
      <c r="AD1" s="4" t="str">
        <f>+COMP</f>
        <v>ZHY</v>
      </c>
      <c r="AF1" s="3" t="str">
        <f>+COMP</f>
        <v>ZHY</v>
      </c>
      <c r="AG1" s="3" t="str">
        <f>+COMP</f>
        <v>ZHY</v>
      </c>
      <c r="AH1" s="3" t="str">
        <f>+COMP</f>
        <v>ZHY</v>
      </c>
      <c r="AI1" s="3" t="str">
        <f>+COMP</f>
        <v>ZHY</v>
      </c>
      <c r="AJ1" s="3" t="str">
        <f>+COMP</f>
        <v>ZHY</v>
      </c>
      <c r="AK1" s="3" t="str">
        <f>+COMP</f>
        <v>ZHY</v>
      </c>
      <c r="AL1" s="3" t="str">
        <f>+COMP</f>
        <v>ZHY</v>
      </c>
      <c r="AM1" s="3" t="str">
        <f>+COMP</f>
        <v>ZHY</v>
      </c>
      <c r="AN1" s="3" t="str">
        <f>+COMP</f>
        <v>ZHY</v>
      </c>
      <c r="AO1" s="3" t="str">
        <f>+COMP</f>
        <v>ZHY</v>
      </c>
      <c r="AP1" s="3" t="str">
        <f>+COMP</f>
        <v>ZHY</v>
      </c>
      <c r="AQ1" s="3" t="str">
        <f>+COMP</f>
        <v>ZHY</v>
      </c>
      <c r="AR1" s="4" t="str">
        <f>+COMP</f>
        <v>ZHY</v>
      </c>
      <c r="AT1" s="3" t="str">
        <f>+COMP</f>
        <v>ZHY</v>
      </c>
      <c r="AU1" s="3" t="str">
        <f>+COMP</f>
        <v>ZHY</v>
      </c>
      <c r="AV1" s="3" t="str">
        <f>+COMP</f>
        <v>ZHY</v>
      </c>
      <c r="AW1" s="3" t="str">
        <f>+COMP</f>
        <v>ZHY</v>
      </c>
      <c r="AX1" s="3" t="str">
        <f>+COMP</f>
        <v>ZHY</v>
      </c>
      <c r="AY1" s="3" t="str">
        <f>+COMP</f>
        <v>ZHY</v>
      </c>
      <c r="AZ1" s="3" t="str">
        <f>+COMP</f>
        <v>ZHY</v>
      </c>
      <c r="BA1" s="3" t="str">
        <f>+COMP</f>
        <v>ZHY</v>
      </c>
      <c r="BB1" s="3" t="str">
        <f>+COMP</f>
        <v>ZHY</v>
      </c>
      <c r="BC1" s="3" t="str">
        <f>+COMP</f>
        <v>ZHY</v>
      </c>
      <c r="BD1" s="3" t="str">
        <f>+COMP</f>
        <v>ZHY</v>
      </c>
      <c r="BE1" s="3" t="str">
        <f>+COMP</f>
        <v>ZHY</v>
      </c>
      <c r="BF1" s="4" t="str">
        <f>+COMP</f>
        <v>ZHY</v>
      </c>
      <c r="BH1" s="3" t="str">
        <f>+COMP</f>
        <v>ZHY</v>
      </c>
      <c r="BI1" s="3" t="str">
        <f>+COMP</f>
        <v>ZHY</v>
      </c>
      <c r="BJ1" s="3" t="str">
        <f>+COMP</f>
        <v>ZHY</v>
      </c>
      <c r="BK1" s="3" t="str">
        <f>+COMP</f>
        <v>ZHY</v>
      </c>
      <c r="BL1" s="3" t="str">
        <f>+COMP</f>
        <v>ZHY</v>
      </c>
      <c r="BM1" s="3" t="str">
        <f>+COMP</f>
        <v>ZHY</v>
      </c>
      <c r="BN1" s="3" t="str">
        <f>+COMP</f>
        <v>ZHY</v>
      </c>
      <c r="BO1" s="3" t="str">
        <f>+COMP</f>
        <v>ZHY</v>
      </c>
      <c r="BP1" s="3" t="str">
        <f>+COMP</f>
        <v>ZHY</v>
      </c>
      <c r="BQ1" s="3" t="str">
        <f>+COMP</f>
        <v>ZHY</v>
      </c>
      <c r="BR1" s="3" t="str">
        <f>+COMP</f>
        <v>ZHY</v>
      </c>
      <c r="BS1" s="3" t="str">
        <f>+COMP</f>
        <v>ZHY</v>
      </c>
      <c r="BT1" s="4" t="str">
        <f>+COMP</f>
        <v>ZHY</v>
      </c>
      <c r="BV1" s="3" t="str">
        <f>+COMP</f>
        <v>ZHY</v>
      </c>
      <c r="BW1" s="3" t="str">
        <f>+COMP</f>
        <v>ZHY</v>
      </c>
      <c r="BX1" s="3" t="str">
        <f>+COMP</f>
        <v>ZHY</v>
      </c>
      <c r="BY1" s="3" t="str">
        <f>+COMP</f>
        <v>ZHY</v>
      </c>
      <c r="BZ1" s="3" t="str">
        <f>+COMP</f>
        <v>ZHY</v>
      </c>
      <c r="CA1" s="3" t="str">
        <f>+COMP</f>
        <v>ZHY</v>
      </c>
      <c r="CB1" s="3" t="str">
        <f>+COMP</f>
        <v>ZHY</v>
      </c>
      <c r="CC1" s="3" t="str">
        <f>+COMP</f>
        <v>ZHY</v>
      </c>
      <c r="CD1" s="3" t="str">
        <f>+COMP</f>
        <v>ZHY</v>
      </c>
      <c r="CE1" s="3" t="str">
        <f>+COMP</f>
        <v>ZHY</v>
      </c>
      <c r="CF1" s="3" t="str">
        <f>+COMP</f>
        <v>ZHY</v>
      </c>
      <c r="CG1" s="3" t="str">
        <f>+COMP</f>
        <v>ZHY</v>
      </c>
      <c r="CH1" s="4" t="str">
        <f>+COMP</f>
        <v>ZHY</v>
      </c>
    </row>
    <row r="2" ht="20.25" customHeight="1">
      <c r="B2" s="2" t="s">
        <v>1</v>
      </c>
      <c r="C2" s="2"/>
      <c r="D2" s="3">
        <f>+YEAR</f>
        <v>2025</v>
      </c>
      <c r="E2" s="3">
        <f>+YEAR</f>
        <v>2025</v>
      </c>
      <c r="F2" s="3">
        <f>+YEAR</f>
        <v>2025</v>
      </c>
      <c r="G2" s="3">
        <f>+YEAR</f>
        <v>2025</v>
      </c>
      <c r="H2" s="3">
        <f>+YEAR</f>
        <v>2025</v>
      </c>
      <c r="I2" s="3">
        <f>+YEAR</f>
        <v>2025</v>
      </c>
      <c r="J2" s="3">
        <f>+YEAR</f>
        <v>2025</v>
      </c>
      <c r="K2" s="3">
        <f>+YEAR</f>
        <v>2025</v>
      </c>
      <c r="L2" s="3">
        <f>+YEAR</f>
        <v>2025</v>
      </c>
      <c r="M2" s="3">
        <f>+YEAR</f>
        <v>2025</v>
      </c>
      <c r="N2" s="3">
        <f>+YEAR</f>
        <v>2025</v>
      </c>
      <c r="O2" s="3">
        <f>+YEAR</f>
        <v>2025</v>
      </c>
      <c r="P2" s="4">
        <f>+YEAR</f>
        <v>2025</v>
      </c>
      <c r="R2" s="3">
        <f>+YEAR_1</f>
        <v>2026</v>
      </c>
      <c r="S2" s="3">
        <f>+YEAR_1</f>
        <v>2026</v>
      </c>
      <c r="T2" s="3">
        <f>+YEAR_1</f>
        <v>2026</v>
      </c>
      <c r="U2" s="3">
        <f>+YEAR_1</f>
        <v>2026</v>
      </c>
      <c r="V2" s="3">
        <f>+YEAR_1</f>
        <v>2026</v>
      </c>
      <c r="W2" s="3">
        <f>+YEAR_1</f>
        <v>2026</v>
      </c>
      <c r="X2" s="3">
        <f>+YEAR_1</f>
        <v>2026</v>
      </c>
      <c r="Y2" s="3">
        <f>+YEAR_1</f>
        <v>2026</v>
      </c>
      <c r="Z2" s="3">
        <f>+YEAR_1</f>
        <v>2026</v>
      </c>
      <c r="AA2" s="3">
        <f>+YEAR_1</f>
        <v>2026</v>
      </c>
      <c r="AB2" s="3">
        <f>+YEAR_1</f>
        <v>2026</v>
      </c>
      <c r="AC2" s="3">
        <f>+YEAR_1</f>
        <v>2026</v>
      </c>
      <c r="AD2" s="4">
        <f>+YEAR+1</f>
        <v>2026</v>
      </c>
      <c r="AF2" s="3">
        <f>+YEAR_2</f>
        <v>2027</v>
      </c>
      <c r="AG2" s="3">
        <f>+YEAR_2</f>
        <v>2027</v>
      </c>
      <c r="AH2" s="3">
        <f>+YEAR_2</f>
        <v>2027</v>
      </c>
      <c r="AI2" s="3">
        <f>+YEAR_2</f>
        <v>2027</v>
      </c>
      <c r="AJ2" s="3">
        <f>+YEAR_2</f>
        <v>2027</v>
      </c>
      <c r="AK2" s="3">
        <f>+YEAR_2</f>
        <v>2027</v>
      </c>
      <c r="AL2" s="3">
        <f>+YEAR_2</f>
        <v>2027</v>
      </c>
      <c r="AM2" s="3">
        <f>+YEAR_2</f>
        <v>2027</v>
      </c>
      <c r="AN2" s="3">
        <f>+YEAR_2</f>
        <v>2027</v>
      </c>
      <c r="AO2" s="3">
        <f>+YEAR_2</f>
        <v>2027</v>
      </c>
      <c r="AP2" s="3">
        <f>+YEAR_2</f>
        <v>2027</v>
      </c>
      <c r="AQ2" s="3">
        <f>+YEAR_2</f>
        <v>2027</v>
      </c>
      <c r="AR2" s="4">
        <f>+YEAR+2</f>
        <v>2027</v>
      </c>
      <c r="AT2" s="3">
        <f>+YEAR_3</f>
        <v>2028</v>
      </c>
      <c r="AU2" s="3">
        <f>+YEAR_3</f>
        <v>2028</v>
      </c>
      <c r="AV2" s="3">
        <f>+YEAR_3</f>
        <v>2028</v>
      </c>
      <c r="AW2" s="3">
        <f>+YEAR_3</f>
        <v>2028</v>
      </c>
      <c r="AX2" s="3">
        <f>+YEAR_3</f>
        <v>2028</v>
      </c>
      <c r="AY2" s="3">
        <f>+YEAR_3</f>
        <v>2028</v>
      </c>
      <c r="AZ2" s="3">
        <f>+YEAR_3</f>
        <v>2028</v>
      </c>
      <c r="BA2" s="3">
        <f>+YEAR_3</f>
        <v>2028</v>
      </c>
      <c r="BB2" s="3">
        <f>+YEAR_3</f>
        <v>2028</v>
      </c>
      <c r="BC2" s="3">
        <f>+YEAR_3</f>
        <v>2028</v>
      </c>
      <c r="BD2" s="3">
        <f>+YEAR_3</f>
        <v>2028</v>
      </c>
      <c r="BE2" s="3">
        <f>+YEAR_3</f>
        <v>2028</v>
      </c>
      <c r="BF2" s="4">
        <f>+YEAR+3</f>
        <v>2028</v>
      </c>
      <c r="BH2" s="3">
        <f>+YEAR_4</f>
        <v>2029</v>
      </c>
      <c r="BI2" s="3">
        <f>+YEAR_4</f>
        <v>2029</v>
      </c>
      <c r="BJ2" s="3">
        <f>+YEAR_4</f>
        <v>2029</v>
      </c>
      <c r="BK2" s="3">
        <f>+YEAR_4</f>
        <v>2029</v>
      </c>
      <c r="BL2" s="3">
        <f>+YEAR_4</f>
        <v>2029</v>
      </c>
      <c r="BM2" s="3">
        <f>+YEAR_4</f>
        <v>2029</v>
      </c>
      <c r="BN2" s="3">
        <f>+YEAR_4</f>
        <v>2029</v>
      </c>
      <c r="BO2" s="3">
        <f>+YEAR_4</f>
        <v>2029</v>
      </c>
      <c r="BP2" s="3">
        <f>+YEAR_4</f>
        <v>2029</v>
      </c>
      <c r="BQ2" s="3">
        <f>+YEAR_4</f>
        <v>2029</v>
      </c>
      <c r="BR2" s="3">
        <f>+YEAR_4</f>
        <v>2029</v>
      </c>
      <c r="BS2" s="3">
        <f>+YEAR_4</f>
        <v>2029</v>
      </c>
      <c r="BT2" s="4">
        <f>+YEAR+4</f>
        <v>2029</v>
      </c>
      <c r="BV2" s="3">
        <f>+YEAR_5</f>
        <v>2030</v>
      </c>
      <c r="BW2" s="3">
        <f>+YEAR_5</f>
        <v>2030</v>
      </c>
      <c r="BX2" s="3">
        <f>+YEAR_5</f>
        <v>2030</v>
      </c>
      <c r="BY2" s="3">
        <f>+YEAR_5</f>
        <v>2030</v>
      </c>
      <c r="BZ2" s="3">
        <f>+YEAR_5</f>
        <v>2030</v>
      </c>
      <c r="CA2" s="3">
        <f>+YEAR_5</f>
        <v>2030</v>
      </c>
      <c r="CB2" s="3">
        <f>+YEAR_5</f>
        <v>2030</v>
      </c>
      <c r="CC2" s="3">
        <f>+YEAR_5</f>
        <v>2030</v>
      </c>
      <c r="CD2" s="3">
        <f>+YEAR_5</f>
        <v>2030</v>
      </c>
      <c r="CE2" s="3">
        <f>+YEAR_5</f>
        <v>2030</v>
      </c>
      <c r="CF2" s="3">
        <f>+YEAR_5</f>
        <v>2030</v>
      </c>
      <c r="CG2" s="3">
        <f>+YEAR_5</f>
        <v>2030</v>
      </c>
      <c r="CH2" s="4">
        <f>+YEAR+5</f>
        <v>2030</v>
      </c>
    </row>
    <row r="3" ht="20.25" customHeight="1">
      <c r="B3" s="2" t="s">
        <v>2</v>
      </c>
      <c r="C3" s="2"/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4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4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4" t="s">
        <v>3</v>
      </c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4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4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4" t="s">
        <v>3</v>
      </c>
    </row>
    <row r="4" ht="20.25" customHeight="1">
      <c r="B4" s="2" t="s">
        <v>4</v>
      </c>
      <c r="C4" s="2"/>
      <c r="D4" s="3">
        <v>1.0</v>
      </c>
      <c r="E4" s="3">
        <f t="shared" ref="E4:O4" si="1">+D4+1</f>
        <v>2</v>
      </c>
      <c r="F4" s="3">
        <f t="shared" si="1"/>
        <v>3</v>
      </c>
      <c r="G4" s="3">
        <f t="shared" si="1"/>
        <v>4</v>
      </c>
      <c r="H4" s="3">
        <f t="shared" si="1"/>
        <v>5</v>
      </c>
      <c r="I4" s="3">
        <f t="shared" si="1"/>
        <v>6</v>
      </c>
      <c r="J4" s="3">
        <f t="shared" si="1"/>
        <v>7</v>
      </c>
      <c r="K4" s="3">
        <f t="shared" si="1"/>
        <v>8</v>
      </c>
      <c r="L4" s="3">
        <f t="shared" si="1"/>
        <v>9</v>
      </c>
      <c r="M4" s="3">
        <f t="shared" si="1"/>
        <v>10</v>
      </c>
      <c r="N4" s="3">
        <f t="shared" si="1"/>
        <v>11</v>
      </c>
      <c r="O4" s="3">
        <f t="shared" si="1"/>
        <v>12</v>
      </c>
      <c r="P4" s="4" t="s">
        <v>5</v>
      </c>
      <c r="R4" s="3">
        <v>1.0</v>
      </c>
      <c r="S4" s="3">
        <f t="shared" ref="S4:AC4" si="2">+R4+1</f>
        <v>2</v>
      </c>
      <c r="T4" s="3">
        <f t="shared" si="2"/>
        <v>3</v>
      </c>
      <c r="U4" s="3">
        <f t="shared" si="2"/>
        <v>4</v>
      </c>
      <c r="V4" s="3">
        <f t="shared" si="2"/>
        <v>5</v>
      </c>
      <c r="W4" s="3">
        <f t="shared" si="2"/>
        <v>6</v>
      </c>
      <c r="X4" s="3">
        <f t="shared" si="2"/>
        <v>7</v>
      </c>
      <c r="Y4" s="3">
        <f t="shared" si="2"/>
        <v>8</v>
      </c>
      <c r="Z4" s="3">
        <f t="shared" si="2"/>
        <v>9</v>
      </c>
      <c r="AA4" s="3">
        <f t="shared" si="2"/>
        <v>10</v>
      </c>
      <c r="AB4" s="3">
        <f t="shared" si="2"/>
        <v>11</v>
      </c>
      <c r="AC4" s="3">
        <f t="shared" si="2"/>
        <v>12</v>
      </c>
      <c r="AD4" s="4" t="s">
        <v>5</v>
      </c>
      <c r="AF4" s="3">
        <v>1.0</v>
      </c>
      <c r="AG4" s="3">
        <f t="shared" ref="AG4:AQ4" si="3">+AF4+1</f>
        <v>2</v>
      </c>
      <c r="AH4" s="3">
        <f t="shared" si="3"/>
        <v>3</v>
      </c>
      <c r="AI4" s="3">
        <f t="shared" si="3"/>
        <v>4</v>
      </c>
      <c r="AJ4" s="3">
        <f t="shared" si="3"/>
        <v>5</v>
      </c>
      <c r="AK4" s="3">
        <f t="shared" si="3"/>
        <v>6</v>
      </c>
      <c r="AL4" s="3">
        <f t="shared" si="3"/>
        <v>7</v>
      </c>
      <c r="AM4" s="3">
        <f t="shared" si="3"/>
        <v>8</v>
      </c>
      <c r="AN4" s="3">
        <f t="shared" si="3"/>
        <v>9</v>
      </c>
      <c r="AO4" s="3">
        <f t="shared" si="3"/>
        <v>10</v>
      </c>
      <c r="AP4" s="3">
        <f t="shared" si="3"/>
        <v>11</v>
      </c>
      <c r="AQ4" s="3">
        <f t="shared" si="3"/>
        <v>12</v>
      </c>
      <c r="AR4" s="4" t="s">
        <v>5</v>
      </c>
      <c r="AT4" s="3">
        <v>1.0</v>
      </c>
      <c r="AU4" s="3">
        <f t="shared" ref="AU4:BE4" si="4">+AT4+1</f>
        <v>2</v>
      </c>
      <c r="AV4" s="3">
        <f t="shared" si="4"/>
        <v>3</v>
      </c>
      <c r="AW4" s="3">
        <f t="shared" si="4"/>
        <v>4</v>
      </c>
      <c r="AX4" s="3">
        <f t="shared" si="4"/>
        <v>5</v>
      </c>
      <c r="AY4" s="3">
        <f t="shared" si="4"/>
        <v>6</v>
      </c>
      <c r="AZ4" s="3">
        <f t="shared" si="4"/>
        <v>7</v>
      </c>
      <c r="BA4" s="3">
        <f t="shared" si="4"/>
        <v>8</v>
      </c>
      <c r="BB4" s="3">
        <f t="shared" si="4"/>
        <v>9</v>
      </c>
      <c r="BC4" s="3">
        <f t="shared" si="4"/>
        <v>10</v>
      </c>
      <c r="BD4" s="3">
        <f t="shared" si="4"/>
        <v>11</v>
      </c>
      <c r="BE4" s="3">
        <f t="shared" si="4"/>
        <v>12</v>
      </c>
      <c r="BF4" s="4" t="s">
        <v>5</v>
      </c>
      <c r="BH4" s="3">
        <v>1.0</v>
      </c>
      <c r="BI4" s="3">
        <f t="shared" ref="BI4:BS4" si="5">+BH4+1</f>
        <v>2</v>
      </c>
      <c r="BJ4" s="3">
        <f t="shared" si="5"/>
        <v>3</v>
      </c>
      <c r="BK4" s="3">
        <f t="shared" si="5"/>
        <v>4</v>
      </c>
      <c r="BL4" s="3">
        <f t="shared" si="5"/>
        <v>5</v>
      </c>
      <c r="BM4" s="3">
        <f t="shared" si="5"/>
        <v>6</v>
      </c>
      <c r="BN4" s="3">
        <f t="shared" si="5"/>
        <v>7</v>
      </c>
      <c r="BO4" s="3">
        <f t="shared" si="5"/>
        <v>8</v>
      </c>
      <c r="BP4" s="3">
        <f t="shared" si="5"/>
        <v>9</v>
      </c>
      <c r="BQ4" s="3">
        <f t="shared" si="5"/>
        <v>10</v>
      </c>
      <c r="BR4" s="3">
        <f t="shared" si="5"/>
        <v>11</v>
      </c>
      <c r="BS4" s="3">
        <f t="shared" si="5"/>
        <v>12</v>
      </c>
      <c r="BT4" s="4" t="s">
        <v>5</v>
      </c>
      <c r="BV4" s="3">
        <v>1.0</v>
      </c>
      <c r="BW4" s="3">
        <f t="shared" ref="BW4:CF4" si="6">+BV4+1</f>
        <v>2</v>
      </c>
      <c r="BX4" s="3">
        <f t="shared" si="6"/>
        <v>3</v>
      </c>
      <c r="BY4" s="3">
        <f t="shared" si="6"/>
        <v>4</v>
      </c>
      <c r="BZ4" s="3">
        <f t="shared" si="6"/>
        <v>5</v>
      </c>
      <c r="CA4" s="3">
        <f t="shared" si="6"/>
        <v>6</v>
      </c>
      <c r="CB4" s="3">
        <f t="shared" si="6"/>
        <v>7</v>
      </c>
      <c r="CC4" s="3">
        <f t="shared" si="6"/>
        <v>8</v>
      </c>
      <c r="CD4" s="3">
        <f t="shared" si="6"/>
        <v>9</v>
      </c>
      <c r="CE4" s="3">
        <f t="shared" si="6"/>
        <v>10</v>
      </c>
      <c r="CF4" s="3">
        <f t="shared" si="6"/>
        <v>11</v>
      </c>
      <c r="CG4" s="3">
        <f>+CE4+1</f>
        <v>11</v>
      </c>
      <c r="CH4" s="4" t="s">
        <v>5</v>
      </c>
    </row>
    <row r="5" ht="20.25" customHeight="1">
      <c r="B5" s="2" t="s">
        <v>6</v>
      </c>
      <c r="C5" s="2"/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9</v>
      </c>
      <c r="K5" s="3" t="s">
        <v>9</v>
      </c>
      <c r="L5" s="3" t="s">
        <v>9</v>
      </c>
      <c r="M5" s="3" t="s">
        <v>10</v>
      </c>
      <c r="N5" s="3" t="s">
        <v>10</v>
      </c>
      <c r="O5" s="3" t="s">
        <v>10</v>
      </c>
      <c r="P5" s="4"/>
      <c r="R5" s="3" t="s">
        <v>7</v>
      </c>
      <c r="S5" s="3" t="s">
        <v>7</v>
      </c>
      <c r="T5" s="3" t="s">
        <v>7</v>
      </c>
      <c r="U5" s="3" t="s">
        <v>8</v>
      </c>
      <c r="V5" s="3" t="s">
        <v>8</v>
      </c>
      <c r="W5" s="3" t="s">
        <v>8</v>
      </c>
      <c r="X5" s="3" t="s">
        <v>9</v>
      </c>
      <c r="Y5" s="3" t="s">
        <v>9</v>
      </c>
      <c r="Z5" s="3" t="s">
        <v>9</v>
      </c>
      <c r="AA5" s="3" t="s">
        <v>10</v>
      </c>
      <c r="AB5" s="3" t="s">
        <v>10</v>
      </c>
      <c r="AC5" s="3" t="s">
        <v>10</v>
      </c>
      <c r="AD5" s="4"/>
      <c r="AF5" s="3" t="s">
        <v>7</v>
      </c>
      <c r="AG5" s="3" t="s">
        <v>7</v>
      </c>
      <c r="AH5" s="3" t="s">
        <v>7</v>
      </c>
      <c r="AI5" s="3" t="s">
        <v>8</v>
      </c>
      <c r="AJ5" s="3" t="s">
        <v>8</v>
      </c>
      <c r="AK5" s="3" t="s">
        <v>8</v>
      </c>
      <c r="AL5" s="3" t="s">
        <v>9</v>
      </c>
      <c r="AM5" s="3" t="s">
        <v>9</v>
      </c>
      <c r="AN5" s="3" t="s">
        <v>9</v>
      </c>
      <c r="AO5" s="3" t="s">
        <v>10</v>
      </c>
      <c r="AP5" s="3" t="s">
        <v>10</v>
      </c>
      <c r="AQ5" s="3" t="s">
        <v>10</v>
      </c>
      <c r="AR5" s="4"/>
      <c r="AT5" s="3" t="s">
        <v>7</v>
      </c>
      <c r="AU5" s="3" t="s">
        <v>7</v>
      </c>
      <c r="AV5" s="3" t="s">
        <v>7</v>
      </c>
      <c r="AW5" s="3" t="s">
        <v>8</v>
      </c>
      <c r="AX5" s="3" t="s">
        <v>8</v>
      </c>
      <c r="AY5" s="3" t="s">
        <v>8</v>
      </c>
      <c r="AZ5" s="3" t="s">
        <v>9</v>
      </c>
      <c r="BA5" s="3" t="s">
        <v>9</v>
      </c>
      <c r="BB5" s="3" t="s">
        <v>9</v>
      </c>
      <c r="BC5" s="3" t="s">
        <v>10</v>
      </c>
      <c r="BD5" s="3" t="s">
        <v>10</v>
      </c>
      <c r="BE5" s="3" t="s">
        <v>10</v>
      </c>
      <c r="BF5" s="4"/>
      <c r="BH5" s="3" t="s">
        <v>7</v>
      </c>
      <c r="BI5" s="3" t="s">
        <v>7</v>
      </c>
      <c r="BJ5" s="3" t="s">
        <v>7</v>
      </c>
      <c r="BK5" s="3" t="s">
        <v>8</v>
      </c>
      <c r="BL5" s="3" t="s">
        <v>8</v>
      </c>
      <c r="BM5" s="3" t="s">
        <v>8</v>
      </c>
      <c r="BN5" s="3" t="s">
        <v>9</v>
      </c>
      <c r="BO5" s="3" t="s">
        <v>9</v>
      </c>
      <c r="BP5" s="3" t="s">
        <v>9</v>
      </c>
      <c r="BQ5" s="3" t="s">
        <v>10</v>
      </c>
      <c r="BR5" s="3" t="s">
        <v>10</v>
      </c>
      <c r="BS5" s="3" t="s">
        <v>10</v>
      </c>
      <c r="BT5" s="4"/>
      <c r="BV5" s="3" t="s">
        <v>7</v>
      </c>
      <c r="BW5" s="3" t="s">
        <v>7</v>
      </c>
      <c r="BX5" s="3" t="s">
        <v>7</v>
      </c>
      <c r="BY5" s="3" t="s">
        <v>8</v>
      </c>
      <c r="BZ5" s="3" t="s">
        <v>8</v>
      </c>
      <c r="CA5" s="3" t="s">
        <v>8</v>
      </c>
      <c r="CB5" s="3" t="s">
        <v>9</v>
      </c>
      <c r="CC5" s="3" t="s">
        <v>9</v>
      </c>
      <c r="CD5" s="3" t="s">
        <v>9</v>
      </c>
      <c r="CE5" s="3" t="s">
        <v>10</v>
      </c>
      <c r="CF5" s="3" t="s">
        <v>10</v>
      </c>
      <c r="CG5" s="3" t="s">
        <v>10</v>
      </c>
      <c r="CH5" s="4"/>
    </row>
    <row r="6" ht="20.25" customHeight="1">
      <c r="B6" s="2" t="s">
        <v>11</v>
      </c>
      <c r="C6" s="2"/>
      <c r="D6" s="3">
        <f>+IF(D4&lt;=MONTH,1,0)</f>
        <v>1</v>
      </c>
      <c r="E6" s="3">
        <f>+IF(E4&lt;=MONTH,1,0)</f>
        <v>1</v>
      </c>
      <c r="F6" s="3">
        <f>+IF(F4&lt;=MONTH,1,0)</f>
        <v>1</v>
      </c>
      <c r="G6" s="3">
        <f>+IF(G4&lt;=MONTH,1,0)</f>
        <v>1</v>
      </c>
      <c r="H6" s="3">
        <f>+IF(H4&lt;=MONTH,1,0)</f>
        <v>1</v>
      </c>
      <c r="I6" s="3">
        <f>+IF(I4&lt;=MONTH,1,0)</f>
        <v>1</v>
      </c>
      <c r="J6" s="3">
        <f>+IF(J4&lt;=MONTH,1,0)</f>
        <v>1</v>
      </c>
      <c r="K6" s="3">
        <f>+IF(K4&lt;=MONTH,1,0)</f>
        <v>1</v>
      </c>
      <c r="L6" s="3">
        <f>+IF(L4&lt;=MONTH,1,0)</f>
        <v>1</v>
      </c>
      <c r="M6" s="3">
        <f>+IF(M4&lt;=MONTH,1,0)</f>
        <v>1</v>
      </c>
      <c r="N6" s="3">
        <f>+IF(N4&lt;=MONTH,1,0)</f>
        <v>1</v>
      </c>
      <c r="O6" s="3">
        <f>+IF(O4&lt;=MONTH,1,0)</f>
        <v>1</v>
      </c>
      <c r="P6" s="4"/>
      <c r="R6" s="3">
        <f>+IF(R4&lt;=MONTH,1,0)</f>
        <v>1</v>
      </c>
      <c r="S6" s="3">
        <f>+IF(S4&lt;=MONTH,1,0)</f>
        <v>1</v>
      </c>
      <c r="T6" s="3">
        <f>+IF(T4&lt;=MONTH,1,0)</f>
        <v>1</v>
      </c>
      <c r="U6" s="3">
        <f>+IF(U4&lt;=MONTH,1,0)</f>
        <v>1</v>
      </c>
      <c r="V6" s="3">
        <f>+IF(V4&lt;=MONTH,1,0)</f>
        <v>1</v>
      </c>
      <c r="W6" s="3">
        <f>+IF(W4&lt;=MONTH,1,0)</f>
        <v>1</v>
      </c>
      <c r="X6" s="3">
        <f>+IF(X4&lt;=MONTH,1,0)</f>
        <v>1</v>
      </c>
      <c r="Y6" s="3">
        <f>+IF(Y4&lt;=MONTH,1,0)</f>
        <v>1</v>
      </c>
      <c r="Z6" s="3">
        <f>+IF(Z4&lt;=MONTH,1,0)</f>
        <v>1</v>
      </c>
      <c r="AA6" s="3">
        <f>+IF(AA4&lt;=MONTH,1,0)</f>
        <v>1</v>
      </c>
      <c r="AB6" s="3">
        <f>+IF(AB4&lt;=MONTH,1,0)</f>
        <v>1</v>
      </c>
      <c r="AC6" s="3">
        <f>+IF(AC4&lt;=MONTH,1,0)</f>
        <v>1</v>
      </c>
      <c r="AD6" s="4"/>
      <c r="AF6" s="3">
        <f>+IF(AF4&lt;=MONTH,1,0)</f>
        <v>1</v>
      </c>
      <c r="AG6" s="3">
        <f>+IF(AG4&lt;=MONTH,1,0)</f>
        <v>1</v>
      </c>
      <c r="AH6" s="3">
        <f>+IF(AH4&lt;=MONTH,1,0)</f>
        <v>1</v>
      </c>
      <c r="AI6" s="3">
        <f>+IF(AI4&lt;=MONTH,1,0)</f>
        <v>1</v>
      </c>
      <c r="AJ6" s="3">
        <f>+IF(AJ4&lt;=MONTH,1,0)</f>
        <v>1</v>
      </c>
      <c r="AK6" s="3">
        <f>+IF(AK4&lt;=MONTH,1,0)</f>
        <v>1</v>
      </c>
      <c r="AL6" s="3">
        <f>+IF(AL4&lt;=MONTH,1,0)</f>
        <v>1</v>
      </c>
      <c r="AM6" s="3">
        <f>+IF(AM4&lt;=MONTH,1,0)</f>
        <v>1</v>
      </c>
      <c r="AN6" s="3">
        <f>+IF(AN4&lt;=MONTH,1,0)</f>
        <v>1</v>
      </c>
      <c r="AO6" s="3">
        <f>+IF(AO4&lt;=MONTH,1,0)</f>
        <v>1</v>
      </c>
      <c r="AP6" s="3">
        <f>+IF(AP4&lt;=MONTH,1,0)</f>
        <v>1</v>
      </c>
      <c r="AQ6" s="3">
        <f>+IF(AQ4&lt;=MONTH,1,0)</f>
        <v>1</v>
      </c>
      <c r="AR6" s="4"/>
      <c r="AT6" s="3">
        <f>+IF(AT4&lt;=MONTH,1,0)</f>
        <v>1</v>
      </c>
      <c r="AU6" s="3">
        <f>+IF(AU4&lt;=MONTH,1,0)</f>
        <v>1</v>
      </c>
      <c r="AV6" s="3">
        <f>+IF(AV4&lt;=MONTH,1,0)</f>
        <v>1</v>
      </c>
      <c r="AW6" s="3">
        <f>+IF(AW4&lt;=MONTH,1,0)</f>
        <v>1</v>
      </c>
      <c r="AX6" s="3">
        <f>+IF(AX4&lt;=MONTH,1,0)</f>
        <v>1</v>
      </c>
      <c r="AY6" s="3">
        <f>+IF(AY4&lt;=MONTH,1,0)</f>
        <v>1</v>
      </c>
      <c r="AZ6" s="3">
        <f>+IF(AZ4&lt;=MONTH,1,0)</f>
        <v>1</v>
      </c>
      <c r="BA6" s="3">
        <f>+IF(BA4&lt;=MONTH,1,0)</f>
        <v>1</v>
      </c>
      <c r="BB6" s="3">
        <f>+IF(BB4&lt;=MONTH,1,0)</f>
        <v>1</v>
      </c>
      <c r="BC6" s="3">
        <f>+IF(BC4&lt;=MONTH,1,0)</f>
        <v>1</v>
      </c>
      <c r="BD6" s="3">
        <f>+IF(BD4&lt;=MONTH,1,0)</f>
        <v>1</v>
      </c>
      <c r="BE6" s="3">
        <f>+IF(BE4&lt;=MONTH,1,0)</f>
        <v>1</v>
      </c>
      <c r="BF6" s="4"/>
      <c r="BH6" s="3">
        <f>+IF(BH4&lt;=MONTH,1,0)</f>
        <v>1</v>
      </c>
      <c r="BI6" s="3">
        <f>+IF(BI4&lt;=MONTH,1,0)</f>
        <v>1</v>
      </c>
      <c r="BJ6" s="3">
        <f>+IF(BJ4&lt;=MONTH,1,0)</f>
        <v>1</v>
      </c>
      <c r="BK6" s="3">
        <f>+IF(BK4&lt;=MONTH,1,0)</f>
        <v>1</v>
      </c>
      <c r="BL6" s="3">
        <f>+IF(BL4&lt;=MONTH,1,0)</f>
        <v>1</v>
      </c>
      <c r="BM6" s="3">
        <f>+IF(BM4&lt;=MONTH,1,0)</f>
        <v>1</v>
      </c>
      <c r="BN6" s="3">
        <f>+IF(BN4&lt;=MONTH,1,0)</f>
        <v>1</v>
      </c>
      <c r="BO6" s="3">
        <f>+IF(BO4&lt;=MONTH,1,0)</f>
        <v>1</v>
      </c>
      <c r="BP6" s="3">
        <f>+IF(BP4&lt;=MONTH,1,0)</f>
        <v>1</v>
      </c>
      <c r="BQ6" s="3">
        <f>+IF(BQ4&lt;=MONTH,1,0)</f>
        <v>1</v>
      </c>
      <c r="BR6" s="3">
        <f>+IF(BR4&lt;=MONTH,1,0)</f>
        <v>1</v>
      </c>
      <c r="BS6" s="3">
        <f>+IF(BS4&lt;=MONTH,1,0)</f>
        <v>1</v>
      </c>
      <c r="BT6" s="4"/>
      <c r="BV6" s="3">
        <f>+IF(BV4&lt;=MONTH,1,0)</f>
        <v>1</v>
      </c>
      <c r="BW6" s="3">
        <f>+IF(BW4&lt;=MONTH,1,0)</f>
        <v>1</v>
      </c>
      <c r="BX6" s="3">
        <f>+IF(BX4&lt;=MONTH,1,0)</f>
        <v>1</v>
      </c>
      <c r="BY6" s="3">
        <f>+IF(BY4&lt;=MONTH,1,0)</f>
        <v>1</v>
      </c>
      <c r="BZ6" s="3">
        <f>+IF(BZ4&lt;=MONTH,1,0)</f>
        <v>1</v>
      </c>
      <c r="CA6" s="3">
        <f>+IF(CA4&lt;=MONTH,1,0)</f>
        <v>1</v>
      </c>
      <c r="CB6" s="3">
        <f>+IF(CB4&lt;=MONTH,1,0)</f>
        <v>1</v>
      </c>
      <c r="CC6" s="3">
        <f>+IF(CC4&lt;=MONTH,1,0)</f>
        <v>1</v>
      </c>
      <c r="CD6" s="3">
        <f>+IF(CD4&lt;=MONTH,1,0)</f>
        <v>1</v>
      </c>
      <c r="CE6" s="3">
        <f>+IF(CE4&lt;=MONTH,1,0)</f>
        <v>1</v>
      </c>
      <c r="CF6" s="3">
        <f>+IF(CF4&lt;=MONTH,1,0)</f>
        <v>1</v>
      </c>
      <c r="CG6" s="3">
        <f>+IF(CG4&lt;=MONTH,1,0)</f>
        <v>1</v>
      </c>
      <c r="CH6" s="4"/>
    </row>
    <row r="7" ht="31.5" customHeight="1">
      <c r="P7" s="6"/>
      <c r="R7" s="65">
        <f>IND_YEAR_1</f>
        <v>0.056</v>
      </c>
      <c r="S7" s="65" t="s">
        <v>65</v>
      </c>
      <c r="AD7" s="6"/>
      <c r="AF7" s="65">
        <f>IND_YEAR_2</f>
        <v>0.051</v>
      </c>
      <c r="AG7" s="65" t="s">
        <v>65</v>
      </c>
      <c r="AR7" s="6"/>
      <c r="AT7" s="65">
        <f>IND_YEAR_3</f>
        <v>0.036</v>
      </c>
      <c r="AU7" s="65" t="s">
        <v>65</v>
      </c>
      <c r="BF7" s="6"/>
      <c r="BH7" s="65">
        <f>IND_YEAR_4</f>
        <v>0.035</v>
      </c>
      <c r="BI7" s="65" t="s">
        <v>65</v>
      </c>
      <c r="BT7" s="6"/>
      <c r="BV7" s="65">
        <f>IND_YEAR_4</f>
        <v>0.035</v>
      </c>
      <c r="BW7" s="65" t="s">
        <v>65</v>
      </c>
      <c r="CH7" s="6"/>
    </row>
    <row r="8" ht="13.5" customHeight="1">
      <c r="A8" s="62"/>
      <c r="B8" s="20" t="s">
        <v>66</v>
      </c>
      <c r="C8" s="20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9"/>
      <c r="Q8" s="66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9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9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9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9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9"/>
      <c r="CI8" s="62"/>
    </row>
    <row r="9" ht="13.5" customHeight="1">
      <c r="P9" s="6"/>
      <c r="AD9" s="6"/>
      <c r="AR9" s="6"/>
      <c r="BF9" s="6"/>
      <c r="BT9" s="6"/>
      <c r="CH9" s="6"/>
    </row>
    <row r="10" ht="21.75" customHeight="1">
      <c r="A10" s="68"/>
      <c r="B10" s="68"/>
      <c r="C10" s="68"/>
      <c r="D10" s="22">
        <f t="shared" ref="D10:P10" si="7">+D2</f>
        <v>2025</v>
      </c>
      <c r="E10" s="22">
        <f t="shared" si="7"/>
        <v>2025</v>
      </c>
      <c r="F10" s="22">
        <f t="shared" si="7"/>
        <v>2025</v>
      </c>
      <c r="G10" s="22">
        <f t="shared" si="7"/>
        <v>2025</v>
      </c>
      <c r="H10" s="22">
        <f t="shared" si="7"/>
        <v>2025</v>
      </c>
      <c r="I10" s="22">
        <f t="shared" si="7"/>
        <v>2025</v>
      </c>
      <c r="J10" s="22">
        <f t="shared" si="7"/>
        <v>2025</v>
      </c>
      <c r="K10" s="22">
        <f t="shared" si="7"/>
        <v>2025</v>
      </c>
      <c r="L10" s="22">
        <f t="shared" si="7"/>
        <v>2025</v>
      </c>
      <c r="M10" s="22">
        <f t="shared" si="7"/>
        <v>2025</v>
      </c>
      <c r="N10" s="22">
        <f t="shared" si="7"/>
        <v>2025</v>
      </c>
      <c r="O10" s="22">
        <f t="shared" si="7"/>
        <v>2025</v>
      </c>
      <c r="P10" s="21">
        <f t="shared" si="7"/>
        <v>2025</v>
      </c>
      <c r="Q10" s="68"/>
      <c r="R10" s="22">
        <f t="shared" ref="R10:AD10" si="8">+R2</f>
        <v>2026</v>
      </c>
      <c r="S10" s="22">
        <f t="shared" si="8"/>
        <v>2026</v>
      </c>
      <c r="T10" s="22">
        <f t="shared" si="8"/>
        <v>2026</v>
      </c>
      <c r="U10" s="22">
        <f t="shared" si="8"/>
        <v>2026</v>
      </c>
      <c r="V10" s="22">
        <f t="shared" si="8"/>
        <v>2026</v>
      </c>
      <c r="W10" s="22">
        <f t="shared" si="8"/>
        <v>2026</v>
      </c>
      <c r="X10" s="22">
        <f t="shared" si="8"/>
        <v>2026</v>
      </c>
      <c r="Y10" s="22">
        <f t="shared" si="8"/>
        <v>2026</v>
      </c>
      <c r="Z10" s="22">
        <f t="shared" si="8"/>
        <v>2026</v>
      </c>
      <c r="AA10" s="22">
        <f t="shared" si="8"/>
        <v>2026</v>
      </c>
      <c r="AB10" s="22">
        <f t="shared" si="8"/>
        <v>2026</v>
      </c>
      <c r="AC10" s="22">
        <f t="shared" si="8"/>
        <v>2026</v>
      </c>
      <c r="AD10" s="21">
        <f t="shared" si="8"/>
        <v>2026</v>
      </c>
      <c r="AE10" s="68"/>
      <c r="AF10" s="22">
        <f t="shared" ref="AF10:AR10" si="9">+AF2</f>
        <v>2027</v>
      </c>
      <c r="AG10" s="22">
        <f t="shared" si="9"/>
        <v>2027</v>
      </c>
      <c r="AH10" s="22">
        <f t="shared" si="9"/>
        <v>2027</v>
      </c>
      <c r="AI10" s="22">
        <f t="shared" si="9"/>
        <v>2027</v>
      </c>
      <c r="AJ10" s="22">
        <f t="shared" si="9"/>
        <v>2027</v>
      </c>
      <c r="AK10" s="22">
        <f t="shared" si="9"/>
        <v>2027</v>
      </c>
      <c r="AL10" s="22">
        <f t="shared" si="9"/>
        <v>2027</v>
      </c>
      <c r="AM10" s="22">
        <f t="shared" si="9"/>
        <v>2027</v>
      </c>
      <c r="AN10" s="22">
        <f t="shared" si="9"/>
        <v>2027</v>
      </c>
      <c r="AO10" s="22">
        <f t="shared" si="9"/>
        <v>2027</v>
      </c>
      <c r="AP10" s="22">
        <f t="shared" si="9"/>
        <v>2027</v>
      </c>
      <c r="AQ10" s="22">
        <f t="shared" si="9"/>
        <v>2027</v>
      </c>
      <c r="AR10" s="21">
        <f t="shared" si="9"/>
        <v>2027</v>
      </c>
      <c r="AS10" s="68"/>
      <c r="AT10" s="22">
        <f t="shared" ref="AT10:BF10" si="10">+AT2</f>
        <v>2028</v>
      </c>
      <c r="AU10" s="22">
        <f t="shared" si="10"/>
        <v>2028</v>
      </c>
      <c r="AV10" s="22">
        <f t="shared" si="10"/>
        <v>2028</v>
      </c>
      <c r="AW10" s="22">
        <f t="shared" si="10"/>
        <v>2028</v>
      </c>
      <c r="AX10" s="22">
        <f t="shared" si="10"/>
        <v>2028</v>
      </c>
      <c r="AY10" s="22">
        <f t="shared" si="10"/>
        <v>2028</v>
      </c>
      <c r="AZ10" s="22">
        <f t="shared" si="10"/>
        <v>2028</v>
      </c>
      <c r="BA10" s="22">
        <f t="shared" si="10"/>
        <v>2028</v>
      </c>
      <c r="BB10" s="22">
        <f t="shared" si="10"/>
        <v>2028</v>
      </c>
      <c r="BC10" s="22">
        <f t="shared" si="10"/>
        <v>2028</v>
      </c>
      <c r="BD10" s="22">
        <f t="shared" si="10"/>
        <v>2028</v>
      </c>
      <c r="BE10" s="22">
        <f t="shared" si="10"/>
        <v>2028</v>
      </c>
      <c r="BF10" s="21">
        <f t="shared" si="10"/>
        <v>2028</v>
      </c>
      <c r="BG10" s="68"/>
      <c r="BH10" s="22">
        <f t="shared" ref="BH10:BT10" si="11">+BH2</f>
        <v>2029</v>
      </c>
      <c r="BI10" s="22">
        <f t="shared" si="11"/>
        <v>2029</v>
      </c>
      <c r="BJ10" s="22">
        <f t="shared" si="11"/>
        <v>2029</v>
      </c>
      <c r="BK10" s="22">
        <f t="shared" si="11"/>
        <v>2029</v>
      </c>
      <c r="BL10" s="22">
        <f t="shared" si="11"/>
        <v>2029</v>
      </c>
      <c r="BM10" s="22">
        <f t="shared" si="11"/>
        <v>2029</v>
      </c>
      <c r="BN10" s="22">
        <f t="shared" si="11"/>
        <v>2029</v>
      </c>
      <c r="BO10" s="22">
        <f t="shared" si="11"/>
        <v>2029</v>
      </c>
      <c r="BP10" s="22">
        <f t="shared" si="11"/>
        <v>2029</v>
      </c>
      <c r="BQ10" s="22">
        <f t="shared" si="11"/>
        <v>2029</v>
      </c>
      <c r="BR10" s="22">
        <f t="shared" si="11"/>
        <v>2029</v>
      </c>
      <c r="BS10" s="22">
        <f t="shared" si="11"/>
        <v>2029</v>
      </c>
      <c r="BT10" s="21">
        <f t="shared" si="11"/>
        <v>2029</v>
      </c>
      <c r="BU10" s="68"/>
      <c r="BV10" s="22">
        <f t="shared" ref="BV10:CH10" si="12">+BV2</f>
        <v>2030</v>
      </c>
      <c r="BW10" s="22">
        <f t="shared" si="12"/>
        <v>2030</v>
      </c>
      <c r="BX10" s="22">
        <f t="shared" si="12"/>
        <v>2030</v>
      </c>
      <c r="BY10" s="22">
        <f t="shared" si="12"/>
        <v>2030</v>
      </c>
      <c r="BZ10" s="22">
        <f t="shared" si="12"/>
        <v>2030</v>
      </c>
      <c r="CA10" s="22">
        <f t="shared" si="12"/>
        <v>2030</v>
      </c>
      <c r="CB10" s="22">
        <f t="shared" si="12"/>
        <v>2030</v>
      </c>
      <c r="CC10" s="22">
        <f t="shared" si="12"/>
        <v>2030</v>
      </c>
      <c r="CD10" s="22">
        <f t="shared" si="12"/>
        <v>2030</v>
      </c>
      <c r="CE10" s="22">
        <f t="shared" si="12"/>
        <v>2030</v>
      </c>
      <c r="CF10" s="22">
        <f t="shared" si="12"/>
        <v>2030</v>
      </c>
      <c r="CG10" s="22">
        <f t="shared" si="12"/>
        <v>2030</v>
      </c>
      <c r="CH10" s="21">
        <f t="shared" si="12"/>
        <v>2030</v>
      </c>
      <c r="CI10" s="68"/>
    </row>
    <row r="11" ht="21.75" customHeight="1">
      <c r="A11" s="68"/>
      <c r="B11" s="68"/>
      <c r="C11" s="68"/>
      <c r="D11" s="22" t="s">
        <v>14</v>
      </c>
      <c r="E11" s="22" t="s">
        <v>15</v>
      </c>
      <c r="F11" s="22" t="s">
        <v>16</v>
      </c>
      <c r="G11" s="22" t="s">
        <v>17</v>
      </c>
      <c r="H11" s="22" t="s">
        <v>18</v>
      </c>
      <c r="I11" s="22" t="s">
        <v>19</v>
      </c>
      <c r="J11" s="22" t="s">
        <v>20</v>
      </c>
      <c r="K11" s="22" t="s">
        <v>21</v>
      </c>
      <c r="L11" s="22" t="s">
        <v>22</v>
      </c>
      <c r="M11" s="22" t="s">
        <v>23</v>
      </c>
      <c r="N11" s="22" t="s">
        <v>24</v>
      </c>
      <c r="O11" s="22" t="s">
        <v>25</v>
      </c>
      <c r="P11" s="21" t="s">
        <v>5</v>
      </c>
      <c r="Q11" s="68"/>
      <c r="R11" s="22" t="s">
        <v>14</v>
      </c>
      <c r="S11" s="22" t="s">
        <v>15</v>
      </c>
      <c r="T11" s="22" t="s">
        <v>16</v>
      </c>
      <c r="U11" s="22" t="s">
        <v>17</v>
      </c>
      <c r="V11" s="22" t="s">
        <v>18</v>
      </c>
      <c r="W11" s="22" t="s">
        <v>19</v>
      </c>
      <c r="X11" s="22" t="s">
        <v>20</v>
      </c>
      <c r="Y11" s="22" t="s">
        <v>21</v>
      </c>
      <c r="Z11" s="22" t="s">
        <v>22</v>
      </c>
      <c r="AA11" s="22" t="s">
        <v>23</v>
      </c>
      <c r="AB11" s="22" t="s">
        <v>24</v>
      </c>
      <c r="AC11" s="22" t="s">
        <v>25</v>
      </c>
      <c r="AD11" s="21" t="s">
        <v>5</v>
      </c>
      <c r="AE11" s="68"/>
      <c r="AF11" s="22" t="s">
        <v>14</v>
      </c>
      <c r="AG11" s="22" t="s">
        <v>15</v>
      </c>
      <c r="AH11" s="22" t="s">
        <v>16</v>
      </c>
      <c r="AI11" s="22" t="s">
        <v>17</v>
      </c>
      <c r="AJ11" s="22" t="s">
        <v>18</v>
      </c>
      <c r="AK11" s="22" t="s">
        <v>19</v>
      </c>
      <c r="AL11" s="22" t="s">
        <v>20</v>
      </c>
      <c r="AM11" s="22" t="s">
        <v>21</v>
      </c>
      <c r="AN11" s="22" t="s">
        <v>22</v>
      </c>
      <c r="AO11" s="22" t="s">
        <v>23</v>
      </c>
      <c r="AP11" s="22" t="s">
        <v>24</v>
      </c>
      <c r="AQ11" s="22" t="s">
        <v>25</v>
      </c>
      <c r="AR11" s="21" t="s">
        <v>5</v>
      </c>
      <c r="AS11" s="68"/>
      <c r="AT11" s="22" t="s">
        <v>14</v>
      </c>
      <c r="AU11" s="22" t="s">
        <v>15</v>
      </c>
      <c r="AV11" s="22" t="s">
        <v>16</v>
      </c>
      <c r="AW11" s="22" t="s">
        <v>17</v>
      </c>
      <c r="AX11" s="22" t="s">
        <v>18</v>
      </c>
      <c r="AY11" s="22" t="s">
        <v>19</v>
      </c>
      <c r="AZ11" s="22" t="s">
        <v>20</v>
      </c>
      <c r="BA11" s="22" t="s">
        <v>21</v>
      </c>
      <c r="BB11" s="22" t="s">
        <v>22</v>
      </c>
      <c r="BC11" s="22" t="s">
        <v>23</v>
      </c>
      <c r="BD11" s="22" t="s">
        <v>24</v>
      </c>
      <c r="BE11" s="22" t="s">
        <v>25</v>
      </c>
      <c r="BF11" s="21" t="s">
        <v>5</v>
      </c>
      <c r="BG11" s="68"/>
      <c r="BH11" s="22" t="s">
        <v>14</v>
      </c>
      <c r="BI11" s="22" t="s">
        <v>15</v>
      </c>
      <c r="BJ11" s="22" t="s">
        <v>16</v>
      </c>
      <c r="BK11" s="22" t="s">
        <v>17</v>
      </c>
      <c r="BL11" s="22" t="s">
        <v>18</v>
      </c>
      <c r="BM11" s="22" t="s">
        <v>19</v>
      </c>
      <c r="BN11" s="22" t="s">
        <v>20</v>
      </c>
      <c r="BO11" s="22" t="s">
        <v>21</v>
      </c>
      <c r="BP11" s="22" t="s">
        <v>22</v>
      </c>
      <c r="BQ11" s="22" t="s">
        <v>23</v>
      </c>
      <c r="BR11" s="22" t="s">
        <v>24</v>
      </c>
      <c r="BS11" s="22" t="s">
        <v>25</v>
      </c>
      <c r="BT11" s="21" t="s">
        <v>5</v>
      </c>
      <c r="BU11" s="68"/>
      <c r="BV11" s="22" t="s">
        <v>14</v>
      </c>
      <c r="BW11" s="22" t="s">
        <v>15</v>
      </c>
      <c r="BX11" s="22" t="s">
        <v>16</v>
      </c>
      <c r="BY11" s="22" t="s">
        <v>17</v>
      </c>
      <c r="BZ11" s="22" t="s">
        <v>18</v>
      </c>
      <c r="CA11" s="22" t="s">
        <v>19</v>
      </c>
      <c r="CB11" s="22" t="s">
        <v>20</v>
      </c>
      <c r="CC11" s="22" t="s">
        <v>21</v>
      </c>
      <c r="CD11" s="22" t="s">
        <v>22</v>
      </c>
      <c r="CE11" s="22" t="s">
        <v>23</v>
      </c>
      <c r="CF11" s="22" t="s">
        <v>24</v>
      </c>
      <c r="CG11" s="22" t="s">
        <v>25</v>
      </c>
      <c r="CH11" s="21" t="s">
        <v>5</v>
      </c>
      <c r="CI11" s="68"/>
    </row>
    <row r="12" ht="19.5" customHeight="1">
      <c r="A12" s="68"/>
      <c r="B12" s="69" t="s">
        <v>67</v>
      </c>
      <c r="C12" s="69" t="s">
        <v>68</v>
      </c>
      <c r="D12" s="70">
        <v>0.0</v>
      </c>
      <c r="E12" s="70">
        <v>0.0</v>
      </c>
      <c r="F12" s="70">
        <v>0.0</v>
      </c>
      <c r="G12" s="70">
        <v>0.0</v>
      </c>
      <c r="H12" s="70">
        <v>0.0</v>
      </c>
      <c r="I12" s="70">
        <v>0.0</v>
      </c>
      <c r="J12" s="70">
        <v>-3000.0</v>
      </c>
      <c r="K12" s="70">
        <v>-3000.0</v>
      </c>
      <c r="L12" s="70">
        <v>-3000.0</v>
      </c>
      <c r="M12" s="70">
        <v>-3000.0</v>
      </c>
      <c r="N12" s="70">
        <v>-3000.0</v>
      </c>
      <c r="O12" s="70">
        <v>-3000.0</v>
      </c>
      <c r="P12" s="71">
        <f t="shared" ref="P12:P18" si="19">SUM(D12:O12)</f>
        <v>-18000</v>
      </c>
      <c r="Q12" s="68"/>
      <c r="R12" s="72">
        <f t="shared" ref="R12:R18" si="20">J12*(1+$R$7)</f>
        <v>-3168</v>
      </c>
      <c r="S12" s="72">
        <f t="shared" ref="S12:W12" si="13">R12</f>
        <v>-3168</v>
      </c>
      <c r="T12" s="72">
        <f t="shared" si="13"/>
        <v>-3168</v>
      </c>
      <c r="U12" s="72">
        <f t="shared" si="13"/>
        <v>-3168</v>
      </c>
      <c r="V12" s="72">
        <f t="shared" si="13"/>
        <v>-3168</v>
      </c>
      <c r="W12" s="72">
        <f t="shared" si="13"/>
        <v>-3168</v>
      </c>
      <c r="X12" s="72">
        <f t="shared" ref="X12:AC12" si="14">J12*(1+$R$7)</f>
        <v>-3168</v>
      </c>
      <c r="Y12" s="72">
        <f t="shared" si="14"/>
        <v>-3168</v>
      </c>
      <c r="Z12" s="72">
        <f t="shared" si="14"/>
        <v>-3168</v>
      </c>
      <c r="AA12" s="72">
        <f t="shared" si="14"/>
        <v>-3168</v>
      </c>
      <c r="AB12" s="72">
        <f t="shared" si="14"/>
        <v>-3168</v>
      </c>
      <c r="AC12" s="72">
        <f t="shared" si="14"/>
        <v>-3168</v>
      </c>
      <c r="AD12" s="71">
        <f t="shared" ref="AD12:AD18" si="23">SUM(R12:AC12)</f>
        <v>-38016</v>
      </c>
      <c r="AE12" s="68"/>
      <c r="AF12" s="72">
        <f t="shared" ref="AF12:AQ12" si="15">R12*(1+$AF$7)</f>
        <v>-3329.568</v>
      </c>
      <c r="AG12" s="72">
        <f t="shared" si="15"/>
        <v>-3329.568</v>
      </c>
      <c r="AH12" s="72">
        <f t="shared" si="15"/>
        <v>-3329.568</v>
      </c>
      <c r="AI12" s="72">
        <f t="shared" si="15"/>
        <v>-3329.568</v>
      </c>
      <c r="AJ12" s="72">
        <f t="shared" si="15"/>
        <v>-3329.568</v>
      </c>
      <c r="AK12" s="72">
        <f t="shared" si="15"/>
        <v>-3329.568</v>
      </c>
      <c r="AL12" s="72">
        <f t="shared" si="15"/>
        <v>-3329.568</v>
      </c>
      <c r="AM12" s="72">
        <f t="shared" si="15"/>
        <v>-3329.568</v>
      </c>
      <c r="AN12" s="72">
        <f t="shared" si="15"/>
        <v>-3329.568</v>
      </c>
      <c r="AO12" s="72">
        <f t="shared" si="15"/>
        <v>-3329.568</v>
      </c>
      <c r="AP12" s="72">
        <f t="shared" si="15"/>
        <v>-3329.568</v>
      </c>
      <c r="AQ12" s="72">
        <f t="shared" si="15"/>
        <v>-3329.568</v>
      </c>
      <c r="AR12" s="71">
        <f t="shared" ref="AR12:AR18" si="25">SUM(AF12:AQ12)</f>
        <v>-39954.816</v>
      </c>
      <c r="AS12" s="73"/>
      <c r="AT12" s="72">
        <f t="shared" ref="AT12:BE12" si="16">AF12*(1+$AF$7)</f>
        <v>-3499.375968</v>
      </c>
      <c r="AU12" s="72">
        <f t="shared" si="16"/>
        <v>-3499.375968</v>
      </c>
      <c r="AV12" s="72">
        <f t="shared" si="16"/>
        <v>-3499.375968</v>
      </c>
      <c r="AW12" s="72">
        <f t="shared" si="16"/>
        <v>-3499.375968</v>
      </c>
      <c r="AX12" s="72">
        <f t="shared" si="16"/>
        <v>-3499.375968</v>
      </c>
      <c r="AY12" s="72">
        <f t="shared" si="16"/>
        <v>-3499.375968</v>
      </c>
      <c r="AZ12" s="72">
        <f t="shared" si="16"/>
        <v>-3499.375968</v>
      </c>
      <c r="BA12" s="72">
        <f t="shared" si="16"/>
        <v>-3499.375968</v>
      </c>
      <c r="BB12" s="72">
        <f t="shared" si="16"/>
        <v>-3499.375968</v>
      </c>
      <c r="BC12" s="72">
        <f t="shared" si="16"/>
        <v>-3499.375968</v>
      </c>
      <c r="BD12" s="72">
        <f t="shared" si="16"/>
        <v>-3499.375968</v>
      </c>
      <c r="BE12" s="72">
        <f t="shared" si="16"/>
        <v>-3499.375968</v>
      </c>
      <c r="BF12" s="71">
        <f t="shared" ref="BF12:BF18" si="27">SUM(AT12:BE12)</f>
        <v>-41992.51162</v>
      </c>
      <c r="BG12" s="73"/>
      <c r="BH12" s="72">
        <f t="shared" ref="BH12:BS12" si="17">AT12*(1+$AF$7)</f>
        <v>-3677.844142</v>
      </c>
      <c r="BI12" s="72">
        <f t="shared" si="17"/>
        <v>-3677.844142</v>
      </c>
      <c r="BJ12" s="72">
        <f t="shared" si="17"/>
        <v>-3677.844142</v>
      </c>
      <c r="BK12" s="72">
        <f t="shared" si="17"/>
        <v>-3677.844142</v>
      </c>
      <c r="BL12" s="72">
        <f t="shared" si="17"/>
        <v>-3677.844142</v>
      </c>
      <c r="BM12" s="72">
        <f t="shared" si="17"/>
        <v>-3677.844142</v>
      </c>
      <c r="BN12" s="72">
        <f t="shared" si="17"/>
        <v>-3677.844142</v>
      </c>
      <c r="BO12" s="72">
        <f t="shared" si="17"/>
        <v>-3677.844142</v>
      </c>
      <c r="BP12" s="72">
        <f t="shared" si="17"/>
        <v>-3677.844142</v>
      </c>
      <c r="BQ12" s="72">
        <f t="shared" si="17"/>
        <v>-3677.844142</v>
      </c>
      <c r="BR12" s="72">
        <f t="shared" si="17"/>
        <v>-3677.844142</v>
      </c>
      <c r="BS12" s="72">
        <f t="shared" si="17"/>
        <v>-3677.844142</v>
      </c>
      <c r="BT12" s="71">
        <f t="shared" ref="BT12:BT18" si="29">SUM(BH12:BS12)</f>
        <v>-44134.12971</v>
      </c>
      <c r="BU12" s="73"/>
      <c r="BV12" s="72">
        <f t="shared" ref="BV12:CG12" si="18">BH12*(1+$AF$7)</f>
        <v>-3865.414194</v>
      </c>
      <c r="BW12" s="72">
        <f t="shared" si="18"/>
        <v>-3865.414194</v>
      </c>
      <c r="BX12" s="72">
        <f t="shared" si="18"/>
        <v>-3865.414194</v>
      </c>
      <c r="BY12" s="72">
        <f t="shared" si="18"/>
        <v>-3865.414194</v>
      </c>
      <c r="BZ12" s="72">
        <f t="shared" si="18"/>
        <v>-3865.414194</v>
      </c>
      <c r="CA12" s="72">
        <f t="shared" si="18"/>
        <v>-3865.414194</v>
      </c>
      <c r="CB12" s="72">
        <f t="shared" si="18"/>
        <v>-3865.414194</v>
      </c>
      <c r="CC12" s="72">
        <f t="shared" si="18"/>
        <v>-3865.414194</v>
      </c>
      <c r="CD12" s="72">
        <f t="shared" si="18"/>
        <v>-3865.414194</v>
      </c>
      <c r="CE12" s="72">
        <f t="shared" si="18"/>
        <v>-3865.414194</v>
      </c>
      <c r="CF12" s="72">
        <f t="shared" si="18"/>
        <v>-3865.414194</v>
      </c>
      <c r="CG12" s="72">
        <f t="shared" si="18"/>
        <v>-3865.414194</v>
      </c>
      <c r="CH12" s="71">
        <f t="shared" ref="CH12:CH18" si="31">SUM(BV12:CG12)</f>
        <v>-46384.97032</v>
      </c>
      <c r="CI12" s="73"/>
    </row>
    <row r="13" ht="19.5" customHeight="1">
      <c r="A13" s="68"/>
      <c r="B13" s="69" t="s">
        <v>69</v>
      </c>
      <c r="C13" s="69" t="s">
        <v>70</v>
      </c>
      <c r="D13" s="70">
        <v>0.0</v>
      </c>
      <c r="E13" s="70">
        <v>0.0</v>
      </c>
      <c r="F13" s="70">
        <v>0.0</v>
      </c>
      <c r="G13" s="70">
        <v>0.0</v>
      </c>
      <c r="H13" s="70">
        <v>0.0</v>
      </c>
      <c r="I13" s="70">
        <v>0.0</v>
      </c>
      <c r="J13" s="70">
        <v>0.0</v>
      </c>
      <c r="K13" s="70">
        <v>0.0</v>
      </c>
      <c r="L13" s="70">
        <v>0.0</v>
      </c>
      <c r="M13" s="70">
        <v>0.0</v>
      </c>
      <c r="N13" s="70">
        <v>0.0</v>
      </c>
      <c r="O13" s="70">
        <v>0.0</v>
      </c>
      <c r="P13" s="71">
        <f t="shared" si="19"/>
        <v>0</v>
      </c>
      <c r="Q13" s="68"/>
      <c r="R13" s="72">
        <f t="shared" si="20"/>
        <v>0</v>
      </c>
      <c r="S13" s="72">
        <f t="shared" ref="S13:W13" si="21">R13</f>
        <v>0</v>
      </c>
      <c r="T13" s="72">
        <f t="shared" si="21"/>
        <v>0</v>
      </c>
      <c r="U13" s="72">
        <f t="shared" si="21"/>
        <v>0</v>
      </c>
      <c r="V13" s="72">
        <f t="shared" si="21"/>
        <v>0</v>
      </c>
      <c r="W13" s="72">
        <f t="shared" si="21"/>
        <v>0</v>
      </c>
      <c r="X13" s="72">
        <f t="shared" ref="X13:AC13" si="22">J13*(1+$R$7)</f>
        <v>0</v>
      </c>
      <c r="Y13" s="72">
        <f t="shared" si="22"/>
        <v>0</v>
      </c>
      <c r="Z13" s="72">
        <f t="shared" si="22"/>
        <v>0</v>
      </c>
      <c r="AA13" s="72">
        <f t="shared" si="22"/>
        <v>0</v>
      </c>
      <c r="AB13" s="72">
        <f t="shared" si="22"/>
        <v>0</v>
      </c>
      <c r="AC13" s="72">
        <f t="shared" si="22"/>
        <v>0</v>
      </c>
      <c r="AD13" s="71">
        <f t="shared" si="23"/>
        <v>0</v>
      </c>
      <c r="AE13" s="68"/>
      <c r="AF13" s="72">
        <f t="shared" ref="AF13:AQ13" si="24">R13*(1+$AF$7)</f>
        <v>0</v>
      </c>
      <c r="AG13" s="72">
        <f t="shared" si="24"/>
        <v>0</v>
      </c>
      <c r="AH13" s="72">
        <f t="shared" si="24"/>
        <v>0</v>
      </c>
      <c r="AI13" s="72">
        <f t="shared" si="24"/>
        <v>0</v>
      </c>
      <c r="AJ13" s="72">
        <f t="shared" si="24"/>
        <v>0</v>
      </c>
      <c r="AK13" s="72">
        <f t="shared" si="24"/>
        <v>0</v>
      </c>
      <c r="AL13" s="72">
        <f t="shared" si="24"/>
        <v>0</v>
      </c>
      <c r="AM13" s="72">
        <f t="shared" si="24"/>
        <v>0</v>
      </c>
      <c r="AN13" s="72">
        <f t="shared" si="24"/>
        <v>0</v>
      </c>
      <c r="AO13" s="72">
        <f t="shared" si="24"/>
        <v>0</v>
      </c>
      <c r="AP13" s="72">
        <f t="shared" si="24"/>
        <v>0</v>
      </c>
      <c r="AQ13" s="72">
        <f t="shared" si="24"/>
        <v>0</v>
      </c>
      <c r="AR13" s="71">
        <f t="shared" si="25"/>
        <v>0</v>
      </c>
      <c r="AS13" s="73"/>
      <c r="AT13" s="72">
        <f t="shared" ref="AT13:BE13" si="26">AF13*(1+$AF$7)</f>
        <v>0</v>
      </c>
      <c r="AU13" s="72">
        <f t="shared" si="26"/>
        <v>0</v>
      </c>
      <c r="AV13" s="72">
        <f t="shared" si="26"/>
        <v>0</v>
      </c>
      <c r="AW13" s="72">
        <f t="shared" si="26"/>
        <v>0</v>
      </c>
      <c r="AX13" s="72">
        <f t="shared" si="26"/>
        <v>0</v>
      </c>
      <c r="AY13" s="72">
        <f t="shared" si="26"/>
        <v>0</v>
      </c>
      <c r="AZ13" s="72">
        <f t="shared" si="26"/>
        <v>0</v>
      </c>
      <c r="BA13" s="72">
        <f t="shared" si="26"/>
        <v>0</v>
      </c>
      <c r="BB13" s="72">
        <f t="shared" si="26"/>
        <v>0</v>
      </c>
      <c r="BC13" s="72">
        <f t="shared" si="26"/>
        <v>0</v>
      </c>
      <c r="BD13" s="72">
        <f t="shared" si="26"/>
        <v>0</v>
      </c>
      <c r="BE13" s="72">
        <f t="shared" si="26"/>
        <v>0</v>
      </c>
      <c r="BF13" s="71">
        <f t="shared" si="27"/>
        <v>0</v>
      </c>
      <c r="BG13" s="73"/>
      <c r="BH13" s="72">
        <f t="shared" ref="BH13:BS13" si="28">AT13*(1+$AF$7)</f>
        <v>0</v>
      </c>
      <c r="BI13" s="72">
        <f t="shared" si="28"/>
        <v>0</v>
      </c>
      <c r="BJ13" s="72">
        <f t="shared" si="28"/>
        <v>0</v>
      </c>
      <c r="BK13" s="72">
        <f t="shared" si="28"/>
        <v>0</v>
      </c>
      <c r="BL13" s="72">
        <f t="shared" si="28"/>
        <v>0</v>
      </c>
      <c r="BM13" s="72">
        <f t="shared" si="28"/>
        <v>0</v>
      </c>
      <c r="BN13" s="72">
        <f t="shared" si="28"/>
        <v>0</v>
      </c>
      <c r="BO13" s="72">
        <f t="shared" si="28"/>
        <v>0</v>
      </c>
      <c r="BP13" s="72">
        <f t="shared" si="28"/>
        <v>0</v>
      </c>
      <c r="BQ13" s="72">
        <f t="shared" si="28"/>
        <v>0</v>
      </c>
      <c r="BR13" s="72">
        <f t="shared" si="28"/>
        <v>0</v>
      </c>
      <c r="BS13" s="72">
        <f t="shared" si="28"/>
        <v>0</v>
      </c>
      <c r="BT13" s="71">
        <f t="shared" si="29"/>
        <v>0</v>
      </c>
      <c r="BU13" s="73"/>
      <c r="BV13" s="72">
        <f t="shared" ref="BV13:CG13" si="30">BH13*(1+$AF$7)</f>
        <v>0</v>
      </c>
      <c r="BW13" s="72">
        <f t="shared" si="30"/>
        <v>0</v>
      </c>
      <c r="BX13" s="72">
        <f t="shared" si="30"/>
        <v>0</v>
      </c>
      <c r="BY13" s="72">
        <f t="shared" si="30"/>
        <v>0</v>
      </c>
      <c r="BZ13" s="72">
        <f t="shared" si="30"/>
        <v>0</v>
      </c>
      <c r="CA13" s="72">
        <f t="shared" si="30"/>
        <v>0</v>
      </c>
      <c r="CB13" s="72">
        <f t="shared" si="30"/>
        <v>0</v>
      </c>
      <c r="CC13" s="72">
        <f t="shared" si="30"/>
        <v>0</v>
      </c>
      <c r="CD13" s="72">
        <f t="shared" si="30"/>
        <v>0</v>
      </c>
      <c r="CE13" s="72">
        <f t="shared" si="30"/>
        <v>0</v>
      </c>
      <c r="CF13" s="72">
        <f t="shared" si="30"/>
        <v>0</v>
      </c>
      <c r="CG13" s="72">
        <f t="shared" si="30"/>
        <v>0</v>
      </c>
      <c r="CH13" s="71">
        <f t="shared" si="31"/>
        <v>0</v>
      </c>
      <c r="CI13" s="73"/>
    </row>
    <row r="14" ht="19.5" customHeight="1">
      <c r="A14" s="68"/>
      <c r="B14" s="69" t="s">
        <v>71</v>
      </c>
      <c r="C14" s="69" t="s">
        <v>72</v>
      </c>
      <c r="D14" s="70">
        <v>0.0</v>
      </c>
      <c r="E14" s="70">
        <v>0.0</v>
      </c>
      <c r="F14" s="70">
        <v>0.0</v>
      </c>
      <c r="G14" s="70">
        <v>0.0</v>
      </c>
      <c r="H14" s="70">
        <v>0.0</v>
      </c>
      <c r="I14" s="70">
        <v>0.0</v>
      </c>
      <c r="J14" s="70">
        <v>0.0</v>
      </c>
      <c r="K14" s="70">
        <v>0.0</v>
      </c>
      <c r="L14" s="70">
        <v>0.0</v>
      </c>
      <c r="M14" s="70">
        <v>0.0</v>
      </c>
      <c r="N14" s="70">
        <v>0.0</v>
      </c>
      <c r="O14" s="70">
        <v>0.0</v>
      </c>
      <c r="P14" s="71">
        <f t="shared" si="19"/>
        <v>0</v>
      </c>
      <c r="Q14" s="68"/>
      <c r="R14" s="72">
        <f t="shared" si="20"/>
        <v>0</v>
      </c>
      <c r="S14" s="72">
        <f t="shared" ref="S14:W14" si="32">R14</f>
        <v>0</v>
      </c>
      <c r="T14" s="72">
        <f t="shared" si="32"/>
        <v>0</v>
      </c>
      <c r="U14" s="72">
        <f t="shared" si="32"/>
        <v>0</v>
      </c>
      <c r="V14" s="72">
        <f t="shared" si="32"/>
        <v>0</v>
      </c>
      <c r="W14" s="72">
        <f t="shared" si="32"/>
        <v>0</v>
      </c>
      <c r="X14" s="72">
        <f t="shared" ref="X14:AC14" si="33">J14*(1+$R$7)</f>
        <v>0</v>
      </c>
      <c r="Y14" s="72">
        <f t="shared" si="33"/>
        <v>0</v>
      </c>
      <c r="Z14" s="72">
        <f t="shared" si="33"/>
        <v>0</v>
      </c>
      <c r="AA14" s="72">
        <f t="shared" si="33"/>
        <v>0</v>
      </c>
      <c r="AB14" s="72">
        <f t="shared" si="33"/>
        <v>0</v>
      </c>
      <c r="AC14" s="72">
        <f t="shared" si="33"/>
        <v>0</v>
      </c>
      <c r="AD14" s="71">
        <f t="shared" si="23"/>
        <v>0</v>
      </c>
      <c r="AE14" s="68"/>
      <c r="AF14" s="72">
        <f t="shared" ref="AF14:AQ14" si="34">R14*(1+$AF$7)</f>
        <v>0</v>
      </c>
      <c r="AG14" s="72">
        <f t="shared" si="34"/>
        <v>0</v>
      </c>
      <c r="AH14" s="72">
        <f t="shared" si="34"/>
        <v>0</v>
      </c>
      <c r="AI14" s="72">
        <f t="shared" si="34"/>
        <v>0</v>
      </c>
      <c r="AJ14" s="72">
        <f t="shared" si="34"/>
        <v>0</v>
      </c>
      <c r="AK14" s="72">
        <f t="shared" si="34"/>
        <v>0</v>
      </c>
      <c r="AL14" s="72">
        <f t="shared" si="34"/>
        <v>0</v>
      </c>
      <c r="AM14" s="72">
        <f t="shared" si="34"/>
        <v>0</v>
      </c>
      <c r="AN14" s="72">
        <f t="shared" si="34"/>
        <v>0</v>
      </c>
      <c r="AO14" s="72">
        <f t="shared" si="34"/>
        <v>0</v>
      </c>
      <c r="AP14" s="72">
        <f t="shared" si="34"/>
        <v>0</v>
      </c>
      <c r="AQ14" s="72">
        <f t="shared" si="34"/>
        <v>0</v>
      </c>
      <c r="AR14" s="71">
        <f t="shared" si="25"/>
        <v>0</v>
      </c>
      <c r="AS14" s="73"/>
      <c r="AT14" s="72">
        <f t="shared" ref="AT14:BE14" si="35">AF14*(1+$AF$7)</f>
        <v>0</v>
      </c>
      <c r="AU14" s="72">
        <f t="shared" si="35"/>
        <v>0</v>
      </c>
      <c r="AV14" s="72">
        <f t="shared" si="35"/>
        <v>0</v>
      </c>
      <c r="AW14" s="72">
        <f t="shared" si="35"/>
        <v>0</v>
      </c>
      <c r="AX14" s="72">
        <f t="shared" si="35"/>
        <v>0</v>
      </c>
      <c r="AY14" s="72">
        <f t="shared" si="35"/>
        <v>0</v>
      </c>
      <c r="AZ14" s="72">
        <f t="shared" si="35"/>
        <v>0</v>
      </c>
      <c r="BA14" s="72">
        <f t="shared" si="35"/>
        <v>0</v>
      </c>
      <c r="BB14" s="72">
        <f t="shared" si="35"/>
        <v>0</v>
      </c>
      <c r="BC14" s="72">
        <f t="shared" si="35"/>
        <v>0</v>
      </c>
      <c r="BD14" s="72">
        <f t="shared" si="35"/>
        <v>0</v>
      </c>
      <c r="BE14" s="72">
        <f t="shared" si="35"/>
        <v>0</v>
      </c>
      <c r="BF14" s="71">
        <f t="shared" si="27"/>
        <v>0</v>
      </c>
      <c r="BG14" s="73"/>
      <c r="BH14" s="72">
        <f t="shared" ref="BH14:BS14" si="36">AT14*(1+$AF$7)</f>
        <v>0</v>
      </c>
      <c r="BI14" s="72">
        <f t="shared" si="36"/>
        <v>0</v>
      </c>
      <c r="BJ14" s="72">
        <f t="shared" si="36"/>
        <v>0</v>
      </c>
      <c r="BK14" s="72">
        <f t="shared" si="36"/>
        <v>0</v>
      </c>
      <c r="BL14" s="72">
        <f t="shared" si="36"/>
        <v>0</v>
      </c>
      <c r="BM14" s="72">
        <f t="shared" si="36"/>
        <v>0</v>
      </c>
      <c r="BN14" s="72">
        <f t="shared" si="36"/>
        <v>0</v>
      </c>
      <c r="BO14" s="72">
        <f t="shared" si="36"/>
        <v>0</v>
      </c>
      <c r="BP14" s="72">
        <f t="shared" si="36"/>
        <v>0</v>
      </c>
      <c r="BQ14" s="72">
        <f t="shared" si="36"/>
        <v>0</v>
      </c>
      <c r="BR14" s="72">
        <f t="shared" si="36"/>
        <v>0</v>
      </c>
      <c r="BS14" s="72">
        <f t="shared" si="36"/>
        <v>0</v>
      </c>
      <c r="BT14" s="71">
        <f t="shared" si="29"/>
        <v>0</v>
      </c>
      <c r="BU14" s="73"/>
      <c r="BV14" s="72">
        <f t="shared" ref="BV14:CG14" si="37">BH14*(1+$AF$7)</f>
        <v>0</v>
      </c>
      <c r="BW14" s="72">
        <f t="shared" si="37"/>
        <v>0</v>
      </c>
      <c r="BX14" s="72">
        <f t="shared" si="37"/>
        <v>0</v>
      </c>
      <c r="BY14" s="72">
        <f t="shared" si="37"/>
        <v>0</v>
      </c>
      <c r="BZ14" s="72">
        <f t="shared" si="37"/>
        <v>0</v>
      </c>
      <c r="CA14" s="72">
        <f t="shared" si="37"/>
        <v>0</v>
      </c>
      <c r="CB14" s="72">
        <f t="shared" si="37"/>
        <v>0</v>
      </c>
      <c r="CC14" s="72">
        <f t="shared" si="37"/>
        <v>0</v>
      </c>
      <c r="CD14" s="72">
        <f t="shared" si="37"/>
        <v>0</v>
      </c>
      <c r="CE14" s="72">
        <f t="shared" si="37"/>
        <v>0</v>
      </c>
      <c r="CF14" s="72">
        <f t="shared" si="37"/>
        <v>0</v>
      </c>
      <c r="CG14" s="72">
        <f t="shared" si="37"/>
        <v>0</v>
      </c>
      <c r="CH14" s="71">
        <f t="shared" si="31"/>
        <v>0</v>
      </c>
      <c r="CI14" s="73"/>
    </row>
    <row r="15" ht="19.5" customHeight="1">
      <c r="A15" s="68"/>
      <c r="B15" s="69" t="s">
        <v>73</v>
      </c>
      <c r="C15" s="69" t="s">
        <v>74</v>
      </c>
      <c r="D15" s="70">
        <v>0.0</v>
      </c>
      <c r="E15" s="70">
        <v>0.0</v>
      </c>
      <c r="F15" s="70">
        <v>0.0</v>
      </c>
      <c r="G15" s="70">
        <v>0.0</v>
      </c>
      <c r="H15" s="70">
        <v>0.0</v>
      </c>
      <c r="I15" s="70">
        <v>0.0</v>
      </c>
      <c r="J15" s="70">
        <v>-500.0</v>
      </c>
      <c r="K15" s="70">
        <f t="shared" ref="K15:O15" si="38">J15</f>
        <v>-500</v>
      </c>
      <c r="L15" s="70">
        <f t="shared" si="38"/>
        <v>-500</v>
      </c>
      <c r="M15" s="70">
        <f t="shared" si="38"/>
        <v>-500</v>
      </c>
      <c r="N15" s="70">
        <f t="shared" si="38"/>
        <v>-500</v>
      </c>
      <c r="O15" s="70">
        <f t="shared" si="38"/>
        <v>-500</v>
      </c>
      <c r="P15" s="71">
        <f t="shared" si="19"/>
        <v>-3000</v>
      </c>
      <c r="Q15" s="68"/>
      <c r="R15" s="72">
        <f t="shared" si="20"/>
        <v>-528</v>
      </c>
      <c r="S15" s="72">
        <f t="shared" ref="S15:W15" si="39">R15</f>
        <v>-528</v>
      </c>
      <c r="T15" s="72">
        <f t="shared" si="39"/>
        <v>-528</v>
      </c>
      <c r="U15" s="72">
        <f t="shared" si="39"/>
        <v>-528</v>
      </c>
      <c r="V15" s="72">
        <f t="shared" si="39"/>
        <v>-528</v>
      </c>
      <c r="W15" s="72">
        <f t="shared" si="39"/>
        <v>-528</v>
      </c>
      <c r="X15" s="72">
        <f t="shared" ref="X15:AC15" si="40">J15*(1+$R$7)</f>
        <v>-528</v>
      </c>
      <c r="Y15" s="72">
        <f t="shared" si="40"/>
        <v>-528</v>
      </c>
      <c r="Z15" s="72">
        <f t="shared" si="40"/>
        <v>-528</v>
      </c>
      <c r="AA15" s="72">
        <f t="shared" si="40"/>
        <v>-528</v>
      </c>
      <c r="AB15" s="72">
        <f t="shared" si="40"/>
        <v>-528</v>
      </c>
      <c r="AC15" s="72">
        <f t="shared" si="40"/>
        <v>-528</v>
      </c>
      <c r="AD15" s="71">
        <f t="shared" si="23"/>
        <v>-6336</v>
      </c>
      <c r="AE15" s="68"/>
      <c r="AF15" s="72">
        <f t="shared" ref="AF15:AQ15" si="41">R15*(1+$AF$7)</f>
        <v>-554.928</v>
      </c>
      <c r="AG15" s="72">
        <f t="shared" si="41"/>
        <v>-554.928</v>
      </c>
      <c r="AH15" s="72">
        <f t="shared" si="41"/>
        <v>-554.928</v>
      </c>
      <c r="AI15" s="72">
        <f t="shared" si="41"/>
        <v>-554.928</v>
      </c>
      <c r="AJ15" s="72">
        <f t="shared" si="41"/>
        <v>-554.928</v>
      </c>
      <c r="AK15" s="72">
        <f t="shared" si="41"/>
        <v>-554.928</v>
      </c>
      <c r="AL15" s="72">
        <f t="shared" si="41"/>
        <v>-554.928</v>
      </c>
      <c r="AM15" s="72">
        <f t="shared" si="41"/>
        <v>-554.928</v>
      </c>
      <c r="AN15" s="72">
        <f t="shared" si="41"/>
        <v>-554.928</v>
      </c>
      <c r="AO15" s="72">
        <f t="shared" si="41"/>
        <v>-554.928</v>
      </c>
      <c r="AP15" s="72">
        <f t="shared" si="41"/>
        <v>-554.928</v>
      </c>
      <c r="AQ15" s="72">
        <f t="shared" si="41"/>
        <v>-554.928</v>
      </c>
      <c r="AR15" s="71">
        <f t="shared" si="25"/>
        <v>-6659.136</v>
      </c>
      <c r="AS15" s="73"/>
      <c r="AT15" s="72">
        <f t="shared" ref="AT15:BE15" si="42">AF15*(1+$AF$7)</f>
        <v>-583.229328</v>
      </c>
      <c r="AU15" s="72">
        <f t="shared" si="42"/>
        <v>-583.229328</v>
      </c>
      <c r="AV15" s="72">
        <f t="shared" si="42"/>
        <v>-583.229328</v>
      </c>
      <c r="AW15" s="72">
        <f t="shared" si="42"/>
        <v>-583.229328</v>
      </c>
      <c r="AX15" s="72">
        <f t="shared" si="42"/>
        <v>-583.229328</v>
      </c>
      <c r="AY15" s="72">
        <f t="shared" si="42"/>
        <v>-583.229328</v>
      </c>
      <c r="AZ15" s="72">
        <f t="shared" si="42"/>
        <v>-583.229328</v>
      </c>
      <c r="BA15" s="72">
        <f t="shared" si="42"/>
        <v>-583.229328</v>
      </c>
      <c r="BB15" s="72">
        <f t="shared" si="42"/>
        <v>-583.229328</v>
      </c>
      <c r="BC15" s="72">
        <f t="shared" si="42"/>
        <v>-583.229328</v>
      </c>
      <c r="BD15" s="72">
        <f t="shared" si="42"/>
        <v>-583.229328</v>
      </c>
      <c r="BE15" s="72">
        <f t="shared" si="42"/>
        <v>-583.229328</v>
      </c>
      <c r="BF15" s="71">
        <f t="shared" si="27"/>
        <v>-6998.751936</v>
      </c>
      <c r="BG15" s="73"/>
      <c r="BH15" s="72">
        <f t="shared" ref="BH15:BS15" si="43">AT15*(1+$AF$7)</f>
        <v>-612.9740237</v>
      </c>
      <c r="BI15" s="72">
        <f t="shared" si="43"/>
        <v>-612.9740237</v>
      </c>
      <c r="BJ15" s="72">
        <f t="shared" si="43"/>
        <v>-612.9740237</v>
      </c>
      <c r="BK15" s="72">
        <f t="shared" si="43"/>
        <v>-612.9740237</v>
      </c>
      <c r="BL15" s="72">
        <f t="shared" si="43"/>
        <v>-612.9740237</v>
      </c>
      <c r="BM15" s="72">
        <f t="shared" si="43"/>
        <v>-612.9740237</v>
      </c>
      <c r="BN15" s="72">
        <f t="shared" si="43"/>
        <v>-612.9740237</v>
      </c>
      <c r="BO15" s="72">
        <f t="shared" si="43"/>
        <v>-612.9740237</v>
      </c>
      <c r="BP15" s="72">
        <f t="shared" si="43"/>
        <v>-612.9740237</v>
      </c>
      <c r="BQ15" s="72">
        <f t="shared" si="43"/>
        <v>-612.9740237</v>
      </c>
      <c r="BR15" s="72">
        <f t="shared" si="43"/>
        <v>-612.9740237</v>
      </c>
      <c r="BS15" s="72">
        <f t="shared" si="43"/>
        <v>-612.9740237</v>
      </c>
      <c r="BT15" s="71">
        <f t="shared" si="29"/>
        <v>-7355.688285</v>
      </c>
      <c r="BU15" s="73"/>
      <c r="BV15" s="72">
        <f t="shared" ref="BV15:CG15" si="44">BH15*(1+$AF$7)</f>
        <v>-644.2356989</v>
      </c>
      <c r="BW15" s="72">
        <f t="shared" si="44"/>
        <v>-644.2356989</v>
      </c>
      <c r="BX15" s="72">
        <f t="shared" si="44"/>
        <v>-644.2356989</v>
      </c>
      <c r="BY15" s="72">
        <f t="shared" si="44"/>
        <v>-644.2356989</v>
      </c>
      <c r="BZ15" s="72">
        <f t="shared" si="44"/>
        <v>-644.2356989</v>
      </c>
      <c r="CA15" s="72">
        <f t="shared" si="44"/>
        <v>-644.2356989</v>
      </c>
      <c r="CB15" s="72">
        <f t="shared" si="44"/>
        <v>-644.2356989</v>
      </c>
      <c r="CC15" s="72">
        <f t="shared" si="44"/>
        <v>-644.2356989</v>
      </c>
      <c r="CD15" s="72">
        <f t="shared" si="44"/>
        <v>-644.2356989</v>
      </c>
      <c r="CE15" s="72">
        <f t="shared" si="44"/>
        <v>-644.2356989</v>
      </c>
      <c r="CF15" s="72">
        <f t="shared" si="44"/>
        <v>-644.2356989</v>
      </c>
      <c r="CG15" s="72">
        <f t="shared" si="44"/>
        <v>-644.2356989</v>
      </c>
      <c r="CH15" s="71">
        <f t="shared" si="31"/>
        <v>-7730.828387</v>
      </c>
      <c r="CI15" s="73"/>
    </row>
    <row r="16" ht="19.5" customHeight="1">
      <c r="A16" s="68"/>
      <c r="B16" s="69" t="s">
        <v>75</v>
      </c>
      <c r="C16" s="69" t="s">
        <v>76</v>
      </c>
      <c r="D16" s="70">
        <v>0.0</v>
      </c>
      <c r="E16" s="70">
        <v>0.0</v>
      </c>
      <c r="F16" s="70">
        <v>0.0</v>
      </c>
      <c r="G16" s="70">
        <v>0.0</v>
      </c>
      <c r="H16" s="70">
        <v>0.0</v>
      </c>
      <c r="I16" s="70">
        <v>0.0</v>
      </c>
      <c r="J16" s="70">
        <v>-550.0</v>
      </c>
      <c r="K16" s="70">
        <v>-550.0</v>
      </c>
      <c r="L16" s="70">
        <v>-550.0</v>
      </c>
      <c r="M16" s="70">
        <v>-550.0</v>
      </c>
      <c r="N16" s="70">
        <v>-550.0</v>
      </c>
      <c r="O16" s="70">
        <v>-550.0</v>
      </c>
      <c r="P16" s="71">
        <f t="shared" si="19"/>
        <v>-3300</v>
      </c>
      <c r="Q16" s="68"/>
      <c r="R16" s="72">
        <f t="shared" si="20"/>
        <v>-580.8</v>
      </c>
      <c r="S16" s="72">
        <f t="shared" ref="S16:W16" si="45">R16</f>
        <v>-580.8</v>
      </c>
      <c r="T16" s="72">
        <f t="shared" si="45"/>
        <v>-580.8</v>
      </c>
      <c r="U16" s="72">
        <f t="shared" si="45"/>
        <v>-580.8</v>
      </c>
      <c r="V16" s="72">
        <f t="shared" si="45"/>
        <v>-580.8</v>
      </c>
      <c r="W16" s="72">
        <f t="shared" si="45"/>
        <v>-580.8</v>
      </c>
      <c r="X16" s="72">
        <f t="shared" ref="X16:AC16" si="46">J16*(1+$R$7)</f>
        <v>-580.8</v>
      </c>
      <c r="Y16" s="72">
        <f t="shared" si="46"/>
        <v>-580.8</v>
      </c>
      <c r="Z16" s="72">
        <f t="shared" si="46"/>
        <v>-580.8</v>
      </c>
      <c r="AA16" s="72">
        <f t="shared" si="46"/>
        <v>-580.8</v>
      </c>
      <c r="AB16" s="72">
        <f t="shared" si="46"/>
        <v>-580.8</v>
      </c>
      <c r="AC16" s="72">
        <f t="shared" si="46"/>
        <v>-580.8</v>
      </c>
      <c r="AD16" s="71">
        <f t="shared" si="23"/>
        <v>-6969.6</v>
      </c>
      <c r="AE16" s="68"/>
      <c r="AF16" s="72">
        <f t="shared" ref="AF16:AQ16" si="47">R16*(1+$AF$7)</f>
        <v>-610.4208</v>
      </c>
      <c r="AG16" s="72">
        <f t="shared" si="47"/>
        <v>-610.4208</v>
      </c>
      <c r="AH16" s="72">
        <f t="shared" si="47"/>
        <v>-610.4208</v>
      </c>
      <c r="AI16" s="72">
        <f t="shared" si="47"/>
        <v>-610.4208</v>
      </c>
      <c r="AJ16" s="72">
        <f t="shared" si="47"/>
        <v>-610.4208</v>
      </c>
      <c r="AK16" s="72">
        <f t="shared" si="47"/>
        <v>-610.4208</v>
      </c>
      <c r="AL16" s="72">
        <f t="shared" si="47"/>
        <v>-610.4208</v>
      </c>
      <c r="AM16" s="72">
        <f t="shared" si="47"/>
        <v>-610.4208</v>
      </c>
      <c r="AN16" s="72">
        <f t="shared" si="47"/>
        <v>-610.4208</v>
      </c>
      <c r="AO16" s="72">
        <f t="shared" si="47"/>
        <v>-610.4208</v>
      </c>
      <c r="AP16" s="72">
        <f t="shared" si="47"/>
        <v>-610.4208</v>
      </c>
      <c r="AQ16" s="72">
        <f t="shared" si="47"/>
        <v>-610.4208</v>
      </c>
      <c r="AR16" s="71">
        <f t="shared" si="25"/>
        <v>-7325.0496</v>
      </c>
      <c r="AS16" s="73"/>
      <c r="AT16" s="72">
        <f t="shared" ref="AT16:BE16" si="48">AF16*(1+$AF$7)</f>
        <v>-641.5522608</v>
      </c>
      <c r="AU16" s="72">
        <f t="shared" si="48"/>
        <v>-641.5522608</v>
      </c>
      <c r="AV16" s="72">
        <f t="shared" si="48"/>
        <v>-641.5522608</v>
      </c>
      <c r="AW16" s="72">
        <f t="shared" si="48"/>
        <v>-641.5522608</v>
      </c>
      <c r="AX16" s="72">
        <f t="shared" si="48"/>
        <v>-641.5522608</v>
      </c>
      <c r="AY16" s="72">
        <f t="shared" si="48"/>
        <v>-641.5522608</v>
      </c>
      <c r="AZ16" s="72">
        <f t="shared" si="48"/>
        <v>-641.5522608</v>
      </c>
      <c r="BA16" s="72">
        <f t="shared" si="48"/>
        <v>-641.5522608</v>
      </c>
      <c r="BB16" s="72">
        <f t="shared" si="48"/>
        <v>-641.5522608</v>
      </c>
      <c r="BC16" s="72">
        <f t="shared" si="48"/>
        <v>-641.5522608</v>
      </c>
      <c r="BD16" s="72">
        <f t="shared" si="48"/>
        <v>-641.5522608</v>
      </c>
      <c r="BE16" s="72">
        <f t="shared" si="48"/>
        <v>-641.5522608</v>
      </c>
      <c r="BF16" s="71">
        <f t="shared" si="27"/>
        <v>-7698.62713</v>
      </c>
      <c r="BG16" s="73"/>
      <c r="BH16" s="72">
        <f t="shared" ref="BH16:BS16" si="49">AT16*(1+$AF$7)</f>
        <v>-674.2714261</v>
      </c>
      <c r="BI16" s="72">
        <f t="shared" si="49"/>
        <v>-674.2714261</v>
      </c>
      <c r="BJ16" s="72">
        <f t="shared" si="49"/>
        <v>-674.2714261</v>
      </c>
      <c r="BK16" s="72">
        <f t="shared" si="49"/>
        <v>-674.2714261</v>
      </c>
      <c r="BL16" s="72">
        <f t="shared" si="49"/>
        <v>-674.2714261</v>
      </c>
      <c r="BM16" s="72">
        <f t="shared" si="49"/>
        <v>-674.2714261</v>
      </c>
      <c r="BN16" s="72">
        <f t="shared" si="49"/>
        <v>-674.2714261</v>
      </c>
      <c r="BO16" s="72">
        <f t="shared" si="49"/>
        <v>-674.2714261</v>
      </c>
      <c r="BP16" s="72">
        <f t="shared" si="49"/>
        <v>-674.2714261</v>
      </c>
      <c r="BQ16" s="72">
        <f t="shared" si="49"/>
        <v>-674.2714261</v>
      </c>
      <c r="BR16" s="72">
        <f t="shared" si="49"/>
        <v>-674.2714261</v>
      </c>
      <c r="BS16" s="72">
        <f t="shared" si="49"/>
        <v>-674.2714261</v>
      </c>
      <c r="BT16" s="71">
        <f t="shared" si="29"/>
        <v>-8091.257113</v>
      </c>
      <c r="BU16" s="73"/>
      <c r="BV16" s="72">
        <f t="shared" ref="BV16:CG16" si="50">BH16*(1+$AF$7)</f>
        <v>-708.6592688</v>
      </c>
      <c r="BW16" s="72">
        <f t="shared" si="50"/>
        <v>-708.6592688</v>
      </c>
      <c r="BX16" s="72">
        <f t="shared" si="50"/>
        <v>-708.6592688</v>
      </c>
      <c r="BY16" s="72">
        <f t="shared" si="50"/>
        <v>-708.6592688</v>
      </c>
      <c r="BZ16" s="72">
        <f t="shared" si="50"/>
        <v>-708.6592688</v>
      </c>
      <c r="CA16" s="72">
        <f t="shared" si="50"/>
        <v>-708.6592688</v>
      </c>
      <c r="CB16" s="72">
        <f t="shared" si="50"/>
        <v>-708.6592688</v>
      </c>
      <c r="CC16" s="72">
        <f t="shared" si="50"/>
        <v>-708.6592688</v>
      </c>
      <c r="CD16" s="72">
        <f t="shared" si="50"/>
        <v>-708.6592688</v>
      </c>
      <c r="CE16" s="72">
        <f t="shared" si="50"/>
        <v>-708.6592688</v>
      </c>
      <c r="CF16" s="72">
        <f t="shared" si="50"/>
        <v>-708.6592688</v>
      </c>
      <c r="CG16" s="72">
        <f t="shared" si="50"/>
        <v>-708.6592688</v>
      </c>
      <c r="CH16" s="71">
        <f t="shared" si="31"/>
        <v>-8503.911226</v>
      </c>
      <c r="CI16" s="73"/>
    </row>
    <row r="17" ht="19.5" customHeight="1">
      <c r="A17" s="68"/>
      <c r="B17" s="69" t="s">
        <v>77</v>
      </c>
      <c r="C17" s="69" t="s">
        <v>78</v>
      </c>
      <c r="D17" s="70">
        <v>0.0</v>
      </c>
      <c r="E17" s="70">
        <v>0.0</v>
      </c>
      <c r="F17" s="70">
        <v>0.0</v>
      </c>
      <c r="G17" s="70">
        <v>0.0</v>
      </c>
      <c r="H17" s="70">
        <v>0.0</v>
      </c>
      <c r="I17" s="70">
        <v>0.0</v>
      </c>
      <c r="J17" s="70">
        <v>-200.0</v>
      </c>
      <c r="K17" s="70">
        <v>-200.0</v>
      </c>
      <c r="L17" s="70">
        <v>-200.0</v>
      </c>
      <c r="M17" s="70">
        <v>-200.0</v>
      </c>
      <c r="N17" s="70">
        <v>-200.0</v>
      </c>
      <c r="O17" s="70">
        <v>-200.0</v>
      </c>
      <c r="P17" s="71">
        <f t="shared" si="19"/>
        <v>-1200</v>
      </c>
      <c r="Q17" s="68"/>
      <c r="R17" s="72">
        <f t="shared" si="20"/>
        <v>-211.2</v>
      </c>
      <c r="S17" s="72">
        <f t="shared" ref="S17:W17" si="51">R17</f>
        <v>-211.2</v>
      </c>
      <c r="T17" s="72">
        <f t="shared" si="51"/>
        <v>-211.2</v>
      </c>
      <c r="U17" s="72">
        <f t="shared" si="51"/>
        <v>-211.2</v>
      </c>
      <c r="V17" s="72">
        <f t="shared" si="51"/>
        <v>-211.2</v>
      </c>
      <c r="W17" s="72">
        <f t="shared" si="51"/>
        <v>-211.2</v>
      </c>
      <c r="X17" s="72">
        <f t="shared" ref="X17:AC17" si="52">J17*(1+$R$7)</f>
        <v>-211.2</v>
      </c>
      <c r="Y17" s="72">
        <f t="shared" si="52"/>
        <v>-211.2</v>
      </c>
      <c r="Z17" s="72">
        <f t="shared" si="52"/>
        <v>-211.2</v>
      </c>
      <c r="AA17" s="72">
        <f t="shared" si="52"/>
        <v>-211.2</v>
      </c>
      <c r="AB17" s="72">
        <f t="shared" si="52"/>
        <v>-211.2</v>
      </c>
      <c r="AC17" s="72">
        <f t="shared" si="52"/>
        <v>-211.2</v>
      </c>
      <c r="AD17" s="71">
        <f t="shared" si="23"/>
        <v>-2534.4</v>
      </c>
      <c r="AE17" s="68"/>
      <c r="AF17" s="72">
        <f t="shared" ref="AF17:AQ17" si="53">R17*(1+$AF$7)</f>
        <v>-221.9712</v>
      </c>
      <c r="AG17" s="72">
        <f t="shared" si="53"/>
        <v>-221.9712</v>
      </c>
      <c r="AH17" s="72">
        <f t="shared" si="53"/>
        <v>-221.9712</v>
      </c>
      <c r="AI17" s="72">
        <f t="shared" si="53"/>
        <v>-221.9712</v>
      </c>
      <c r="AJ17" s="72">
        <f t="shared" si="53"/>
        <v>-221.9712</v>
      </c>
      <c r="AK17" s="72">
        <f t="shared" si="53"/>
        <v>-221.9712</v>
      </c>
      <c r="AL17" s="72">
        <f t="shared" si="53"/>
        <v>-221.9712</v>
      </c>
      <c r="AM17" s="72">
        <f t="shared" si="53"/>
        <v>-221.9712</v>
      </c>
      <c r="AN17" s="72">
        <f t="shared" si="53"/>
        <v>-221.9712</v>
      </c>
      <c r="AO17" s="72">
        <f t="shared" si="53"/>
        <v>-221.9712</v>
      </c>
      <c r="AP17" s="72">
        <f t="shared" si="53"/>
        <v>-221.9712</v>
      </c>
      <c r="AQ17" s="72">
        <f t="shared" si="53"/>
        <v>-221.9712</v>
      </c>
      <c r="AR17" s="71">
        <f t="shared" si="25"/>
        <v>-2663.6544</v>
      </c>
      <c r="AS17" s="73"/>
      <c r="AT17" s="72">
        <f t="shared" ref="AT17:BE17" si="54">AF17*(1+$AF$7)</f>
        <v>-233.2917312</v>
      </c>
      <c r="AU17" s="72">
        <f t="shared" si="54"/>
        <v>-233.2917312</v>
      </c>
      <c r="AV17" s="72">
        <f t="shared" si="54"/>
        <v>-233.2917312</v>
      </c>
      <c r="AW17" s="72">
        <f t="shared" si="54"/>
        <v>-233.2917312</v>
      </c>
      <c r="AX17" s="72">
        <f t="shared" si="54"/>
        <v>-233.2917312</v>
      </c>
      <c r="AY17" s="72">
        <f t="shared" si="54"/>
        <v>-233.2917312</v>
      </c>
      <c r="AZ17" s="72">
        <f t="shared" si="54"/>
        <v>-233.2917312</v>
      </c>
      <c r="BA17" s="72">
        <f t="shared" si="54"/>
        <v>-233.2917312</v>
      </c>
      <c r="BB17" s="72">
        <f t="shared" si="54"/>
        <v>-233.2917312</v>
      </c>
      <c r="BC17" s="72">
        <f t="shared" si="54"/>
        <v>-233.2917312</v>
      </c>
      <c r="BD17" s="72">
        <f t="shared" si="54"/>
        <v>-233.2917312</v>
      </c>
      <c r="BE17" s="72">
        <f t="shared" si="54"/>
        <v>-233.2917312</v>
      </c>
      <c r="BF17" s="71">
        <f t="shared" si="27"/>
        <v>-2799.500774</v>
      </c>
      <c r="BG17" s="73">
        <f t="shared" ref="BG17:BG18" si="61">SUM(AT17:BE17)</f>
        <v>-2799.500774</v>
      </c>
      <c r="BH17" s="72">
        <f t="shared" ref="BH17:BS17" si="55">AT17*(1+$AF$7)</f>
        <v>-245.1896095</v>
      </c>
      <c r="BI17" s="72">
        <f t="shared" si="55"/>
        <v>-245.1896095</v>
      </c>
      <c r="BJ17" s="72">
        <f t="shared" si="55"/>
        <v>-245.1896095</v>
      </c>
      <c r="BK17" s="72">
        <f t="shared" si="55"/>
        <v>-245.1896095</v>
      </c>
      <c r="BL17" s="72">
        <f t="shared" si="55"/>
        <v>-245.1896095</v>
      </c>
      <c r="BM17" s="72">
        <f t="shared" si="55"/>
        <v>-245.1896095</v>
      </c>
      <c r="BN17" s="72">
        <f t="shared" si="55"/>
        <v>-245.1896095</v>
      </c>
      <c r="BO17" s="72">
        <f t="shared" si="55"/>
        <v>-245.1896095</v>
      </c>
      <c r="BP17" s="72">
        <f t="shared" si="55"/>
        <v>-245.1896095</v>
      </c>
      <c r="BQ17" s="72">
        <f t="shared" si="55"/>
        <v>-245.1896095</v>
      </c>
      <c r="BR17" s="72">
        <f t="shared" si="55"/>
        <v>-245.1896095</v>
      </c>
      <c r="BS17" s="72">
        <f t="shared" si="55"/>
        <v>-245.1896095</v>
      </c>
      <c r="BT17" s="71">
        <f t="shared" si="29"/>
        <v>-2942.275314</v>
      </c>
      <c r="BU17" s="73"/>
      <c r="BV17" s="72">
        <f t="shared" ref="BV17:CG17" si="56">BH17*(1+$AF$7)</f>
        <v>-257.6942796</v>
      </c>
      <c r="BW17" s="72">
        <f t="shared" si="56"/>
        <v>-257.6942796</v>
      </c>
      <c r="BX17" s="72">
        <f t="shared" si="56"/>
        <v>-257.6942796</v>
      </c>
      <c r="BY17" s="72">
        <f t="shared" si="56"/>
        <v>-257.6942796</v>
      </c>
      <c r="BZ17" s="72">
        <f t="shared" si="56"/>
        <v>-257.6942796</v>
      </c>
      <c r="CA17" s="72">
        <f t="shared" si="56"/>
        <v>-257.6942796</v>
      </c>
      <c r="CB17" s="72">
        <f t="shared" si="56"/>
        <v>-257.6942796</v>
      </c>
      <c r="CC17" s="72">
        <f t="shared" si="56"/>
        <v>-257.6942796</v>
      </c>
      <c r="CD17" s="72">
        <f t="shared" si="56"/>
        <v>-257.6942796</v>
      </c>
      <c r="CE17" s="72">
        <f t="shared" si="56"/>
        <v>-257.6942796</v>
      </c>
      <c r="CF17" s="72">
        <f t="shared" si="56"/>
        <v>-257.6942796</v>
      </c>
      <c r="CG17" s="72">
        <f t="shared" si="56"/>
        <v>-257.6942796</v>
      </c>
      <c r="CH17" s="71">
        <f t="shared" si="31"/>
        <v>-3092.331355</v>
      </c>
      <c r="CI17" s="73"/>
    </row>
    <row r="18" ht="19.5" customHeight="1">
      <c r="B18" s="69" t="s">
        <v>79</v>
      </c>
      <c r="C18" s="69" t="s">
        <v>80</v>
      </c>
      <c r="D18" s="70">
        <v>0.0</v>
      </c>
      <c r="E18" s="70">
        <v>0.0</v>
      </c>
      <c r="F18" s="70">
        <v>0.0</v>
      </c>
      <c r="G18" s="70">
        <v>0.0</v>
      </c>
      <c r="H18" s="70">
        <v>0.0</v>
      </c>
      <c r="I18" s="70">
        <v>0.0</v>
      </c>
      <c r="J18" s="70">
        <v>-350.0</v>
      </c>
      <c r="K18" s="70">
        <v>-350.0</v>
      </c>
      <c r="L18" s="70">
        <v>-350.0</v>
      </c>
      <c r="M18" s="70">
        <v>-350.0</v>
      </c>
      <c r="N18" s="70">
        <v>-350.0</v>
      </c>
      <c r="O18" s="70">
        <v>-350.0</v>
      </c>
      <c r="P18" s="71">
        <f t="shared" si="19"/>
        <v>-2100</v>
      </c>
      <c r="R18" s="72">
        <f t="shared" si="20"/>
        <v>-369.6</v>
      </c>
      <c r="S18" s="72">
        <f t="shared" ref="S18:W18" si="57">R18</f>
        <v>-369.6</v>
      </c>
      <c r="T18" s="72">
        <f t="shared" si="57"/>
        <v>-369.6</v>
      </c>
      <c r="U18" s="72">
        <f t="shared" si="57"/>
        <v>-369.6</v>
      </c>
      <c r="V18" s="72">
        <f t="shared" si="57"/>
        <v>-369.6</v>
      </c>
      <c r="W18" s="72">
        <f t="shared" si="57"/>
        <v>-369.6</v>
      </c>
      <c r="X18" s="72">
        <f t="shared" ref="X18:AC18" si="58">J18*(1+$R$7)</f>
        <v>-369.6</v>
      </c>
      <c r="Y18" s="72">
        <f t="shared" si="58"/>
        <v>-369.6</v>
      </c>
      <c r="Z18" s="72">
        <f t="shared" si="58"/>
        <v>-369.6</v>
      </c>
      <c r="AA18" s="72">
        <f t="shared" si="58"/>
        <v>-369.6</v>
      </c>
      <c r="AB18" s="72">
        <f t="shared" si="58"/>
        <v>-369.6</v>
      </c>
      <c r="AC18" s="72">
        <f t="shared" si="58"/>
        <v>-369.6</v>
      </c>
      <c r="AD18" s="71">
        <f t="shared" si="23"/>
        <v>-4435.2</v>
      </c>
      <c r="AF18" s="72">
        <f t="shared" ref="AF18:AQ18" si="59">R18*(1+$AF$7)</f>
        <v>-388.4496</v>
      </c>
      <c r="AG18" s="72">
        <f t="shared" si="59"/>
        <v>-388.4496</v>
      </c>
      <c r="AH18" s="72">
        <f t="shared" si="59"/>
        <v>-388.4496</v>
      </c>
      <c r="AI18" s="72">
        <f t="shared" si="59"/>
        <v>-388.4496</v>
      </c>
      <c r="AJ18" s="72">
        <f t="shared" si="59"/>
        <v>-388.4496</v>
      </c>
      <c r="AK18" s="72">
        <f t="shared" si="59"/>
        <v>-388.4496</v>
      </c>
      <c r="AL18" s="72">
        <f t="shared" si="59"/>
        <v>-388.4496</v>
      </c>
      <c r="AM18" s="72">
        <f t="shared" si="59"/>
        <v>-388.4496</v>
      </c>
      <c r="AN18" s="72">
        <f t="shared" si="59"/>
        <v>-388.4496</v>
      </c>
      <c r="AO18" s="72">
        <f t="shared" si="59"/>
        <v>-388.4496</v>
      </c>
      <c r="AP18" s="72">
        <f t="shared" si="59"/>
        <v>-388.4496</v>
      </c>
      <c r="AQ18" s="72">
        <f t="shared" si="59"/>
        <v>-388.4496</v>
      </c>
      <c r="AR18" s="71">
        <f t="shared" si="25"/>
        <v>-4661.3952</v>
      </c>
      <c r="AS18" s="73"/>
      <c r="AT18" s="72">
        <f t="shared" ref="AT18:BE18" si="60">AF18*(1+$AF$7)</f>
        <v>-408.2605296</v>
      </c>
      <c r="AU18" s="72">
        <f t="shared" si="60"/>
        <v>-408.2605296</v>
      </c>
      <c r="AV18" s="72">
        <f t="shared" si="60"/>
        <v>-408.2605296</v>
      </c>
      <c r="AW18" s="72">
        <f t="shared" si="60"/>
        <v>-408.2605296</v>
      </c>
      <c r="AX18" s="72">
        <f t="shared" si="60"/>
        <v>-408.2605296</v>
      </c>
      <c r="AY18" s="72">
        <f t="shared" si="60"/>
        <v>-408.2605296</v>
      </c>
      <c r="AZ18" s="72">
        <f t="shared" si="60"/>
        <v>-408.2605296</v>
      </c>
      <c r="BA18" s="72">
        <f t="shared" si="60"/>
        <v>-408.2605296</v>
      </c>
      <c r="BB18" s="72">
        <f t="shared" si="60"/>
        <v>-408.2605296</v>
      </c>
      <c r="BC18" s="72">
        <f t="shared" si="60"/>
        <v>-408.2605296</v>
      </c>
      <c r="BD18" s="72">
        <f t="shared" si="60"/>
        <v>-408.2605296</v>
      </c>
      <c r="BE18" s="72">
        <f t="shared" si="60"/>
        <v>-408.2605296</v>
      </c>
      <c r="BF18" s="71">
        <f t="shared" si="27"/>
        <v>-4899.126355</v>
      </c>
      <c r="BG18" s="73">
        <f t="shared" si="61"/>
        <v>-4899.126355</v>
      </c>
      <c r="BH18" s="72">
        <f t="shared" ref="BH18:BS18" si="62">AT18*(1+$AF$7)</f>
        <v>-429.0818166</v>
      </c>
      <c r="BI18" s="72">
        <f t="shared" si="62"/>
        <v>-429.0818166</v>
      </c>
      <c r="BJ18" s="72">
        <f t="shared" si="62"/>
        <v>-429.0818166</v>
      </c>
      <c r="BK18" s="72">
        <f t="shared" si="62"/>
        <v>-429.0818166</v>
      </c>
      <c r="BL18" s="72">
        <f t="shared" si="62"/>
        <v>-429.0818166</v>
      </c>
      <c r="BM18" s="72">
        <f t="shared" si="62"/>
        <v>-429.0818166</v>
      </c>
      <c r="BN18" s="72">
        <f t="shared" si="62"/>
        <v>-429.0818166</v>
      </c>
      <c r="BO18" s="72">
        <f t="shared" si="62"/>
        <v>-429.0818166</v>
      </c>
      <c r="BP18" s="72">
        <f t="shared" si="62"/>
        <v>-429.0818166</v>
      </c>
      <c r="BQ18" s="72">
        <f t="shared" si="62"/>
        <v>-429.0818166</v>
      </c>
      <c r="BR18" s="72">
        <f t="shared" si="62"/>
        <v>-429.0818166</v>
      </c>
      <c r="BS18" s="72">
        <f t="shared" si="62"/>
        <v>-429.0818166</v>
      </c>
      <c r="BT18" s="71">
        <f t="shared" si="29"/>
        <v>-5148.981799</v>
      </c>
      <c r="BU18" s="73"/>
      <c r="BV18" s="72">
        <f t="shared" ref="BV18:CG18" si="63">BH18*(1+$AF$7)</f>
        <v>-450.9649893</v>
      </c>
      <c r="BW18" s="72">
        <f t="shared" si="63"/>
        <v>-450.9649893</v>
      </c>
      <c r="BX18" s="72">
        <f t="shared" si="63"/>
        <v>-450.9649893</v>
      </c>
      <c r="BY18" s="72">
        <f t="shared" si="63"/>
        <v>-450.9649893</v>
      </c>
      <c r="BZ18" s="72">
        <f t="shared" si="63"/>
        <v>-450.9649893</v>
      </c>
      <c r="CA18" s="72">
        <f t="shared" si="63"/>
        <v>-450.9649893</v>
      </c>
      <c r="CB18" s="72">
        <f t="shared" si="63"/>
        <v>-450.9649893</v>
      </c>
      <c r="CC18" s="72">
        <f t="shared" si="63"/>
        <v>-450.9649893</v>
      </c>
      <c r="CD18" s="72">
        <f t="shared" si="63"/>
        <v>-450.9649893</v>
      </c>
      <c r="CE18" s="72">
        <f t="shared" si="63"/>
        <v>-450.9649893</v>
      </c>
      <c r="CF18" s="72">
        <f t="shared" si="63"/>
        <v>-450.9649893</v>
      </c>
      <c r="CG18" s="72">
        <f t="shared" si="63"/>
        <v>-450.9649893</v>
      </c>
      <c r="CH18" s="71">
        <f t="shared" si="31"/>
        <v>-5411.579871</v>
      </c>
    </row>
    <row r="19" ht="19.5" customHeight="1">
      <c r="P19" s="6"/>
      <c r="AD19" s="6"/>
      <c r="AR19" s="6"/>
      <c r="BF19" s="6"/>
      <c r="BT19" s="6"/>
      <c r="CH19" s="6"/>
    </row>
    <row r="20" ht="19.5" customHeight="1">
      <c r="P20" s="6"/>
      <c r="AD20" s="6"/>
      <c r="AF20" s="23"/>
      <c r="AJ20" s="23"/>
      <c r="AR20" s="6"/>
      <c r="BF20" s="6"/>
      <c r="BT20" s="6"/>
      <c r="CH20" s="6"/>
    </row>
    <row r="21" ht="19.5" customHeight="1">
      <c r="P21" s="6"/>
      <c r="AD21" s="6"/>
      <c r="AR21" s="6"/>
      <c r="BF21" s="6"/>
      <c r="BT21" s="6"/>
      <c r="CH21" s="6"/>
    </row>
    <row r="22" ht="19.5" customHeight="1">
      <c r="P22" s="6"/>
      <c r="AD22" s="6"/>
      <c r="AR22" s="6"/>
      <c r="BF22" s="6"/>
      <c r="BT22" s="6"/>
      <c r="CH22" s="6"/>
    </row>
    <row r="23" ht="19.5" customHeight="1">
      <c r="P23" s="6"/>
      <c r="AD23" s="6"/>
      <c r="AR23" s="6"/>
      <c r="BF23" s="6"/>
      <c r="BT23" s="6"/>
      <c r="CH23" s="6"/>
    </row>
    <row r="24" ht="19.5" customHeight="1">
      <c r="P24" s="6"/>
      <c r="AD24" s="6"/>
      <c r="AR24" s="6"/>
      <c r="BF24" s="6"/>
      <c r="BT24" s="6"/>
      <c r="CH24" s="6"/>
    </row>
    <row r="25" ht="19.5" customHeight="1">
      <c r="P25" s="6"/>
      <c r="AD25" s="6"/>
      <c r="AR25" s="6"/>
      <c r="BF25" s="6"/>
      <c r="BT25" s="6"/>
      <c r="CH25" s="6"/>
    </row>
    <row r="26" ht="19.5" customHeight="1">
      <c r="P26" s="6"/>
      <c r="AD26" s="6"/>
      <c r="AR26" s="6"/>
      <c r="BF26" s="6"/>
      <c r="BT26" s="6"/>
      <c r="CH26" s="6"/>
    </row>
    <row r="27" ht="19.5" customHeight="1">
      <c r="P27" s="6"/>
      <c r="AD27" s="6"/>
      <c r="AR27" s="6"/>
      <c r="BF27" s="6"/>
      <c r="BT27" s="6"/>
      <c r="CH27" s="6"/>
    </row>
    <row r="28" ht="19.5" customHeight="1">
      <c r="P28" s="6"/>
      <c r="AD28" s="6"/>
      <c r="AR28" s="6"/>
      <c r="BF28" s="6"/>
      <c r="BT28" s="6"/>
      <c r="CH28" s="6"/>
    </row>
    <row r="29" ht="19.5" customHeight="1">
      <c r="P29" s="6"/>
      <c r="AD29" s="6"/>
      <c r="AR29" s="6"/>
      <c r="BF29" s="6"/>
      <c r="BT29" s="6"/>
      <c r="CH29" s="6"/>
    </row>
    <row r="30" ht="19.5" customHeight="1">
      <c r="P30" s="6"/>
      <c r="AD30" s="6"/>
      <c r="AR30" s="6"/>
      <c r="BF30" s="6"/>
      <c r="BT30" s="6"/>
      <c r="CH30" s="6"/>
    </row>
    <row r="31" ht="19.5" customHeight="1">
      <c r="P31" s="6"/>
      <c r="AD31" s="6"/>
      <c r="AR31" s="6"/>
      <c r="BF31" s="6"/>
      <c r="BT31" s="6"/>
      <c r="CH31" s="6"/>
    </row>
    <row r="32" ht="19.5" customHeight="1">
      <c r="P32" s="6"/>
      <c r="AD32" s="6"/>
      <c r="AR32" s="6"/>
      <c r="BF32" s="6"/>
      <c r="BT32" s="6"/>
      <c r="CH32" s="6"/>
    </row>
    <row r="33" ht="19.5" customHeight="1">
      <c r="P33" s="6"/>
      <c r="AD33" s="6"/>
      <c r="AR33" s="6"/>
      <c r="BF33" s="6"/>
      <c r="BT33" s="6"/>
      <c r="CH33" s="6"/>
    </row>
    <row r="34" ht="19.5" customHeight="1">
      <c r="P34" s="6"/>
      <c r="AD34" s="6"/>
      <c r="AR34" s="6"/>
      <c r="BF34" s="6"/>
      <c r="BT34" s="6"/>
      <c r="CH34" s="6"/>
    </row>
    <row r="35" ht="19.5" customHeight="1">
      <c r="P35" s="6"/>
      <c r="AD35" s="6"/>
      <c r="AR35" s="6"/>
      <c r="BF35" s="6"/>
      <c r="BT35" s="6"/>
      <c r="CH35" s="6"/>
    </row>
    <row r="36" ht="19.5" customHeight="1">
      <c r="P36" s="6"/>
      <c r="AD36" s="6"/>
      <c r="AR36" s="6"/>
      <c r="BF36" s="6"/>
      <c r="BT36" s="6"/>
      <c r="CH36" s="6"/>
    </row>
    <row r="37" ht="19.5" customHeight="1">
      <c r="P37" s="6"/>
      <c r="AD37" s="6"/>
      <c r="AR37" s="6"/>
      <c r="BF37" s="6"/>
      <c r="BT37" s="6"/>
      <c r="CH37" s="6"/>
    </row>
    <row r="38" ht="19.5" customHeight="1">
      <c r="P38" s="6"/>
      <c r="AD38" s="6"/>
      <c r="AR38" s="6"/>
      <c r="BF38" s="6"/>
      <c r="BT38" s="6"/>
      <c r="CH38" s="6"/>
    </row>
    <row r="39" ht="19.5" customHeight="1">
      <c r="P39" s="6"/>
      <c r="AD39" s="6"/>
      <c r="AR39" s="6"/>
      <c r="BF39" s="6"/>
      <c r="BT39" s="6"/>
      <c r="CH39" s="6"/>
    </row>
    <row r="40" ht="19.5" customHeight="1">
      <c r="P40" s="6"/>
      <c r="AD40" s="6"/>
      <c r="AR40" s="6"/>
      <c r="BF40" s="6"/>
      <c r="BT40" s="6"/>
      <c r="CH40" s="6"/>
    </row>
    <row r="41" ht="19.5" customHeight="1">
      <c r="P41" s="6"/>
      <c r="AD41" s="6"/>
      <c r="AR41" s="6"/>
      <c r="BF41" s="6"/>
      <c r="BT41" s="6"/>
      <c r="CH41" s="6"/>
    </row>
    <row r="42" ht="19.5" customHeight="1">
      <c r="P42" s="6"/>
      <c r="AD42" s="6"/>
      <c r="AR42" s="6"/>
      <c r="BF42" s="6"/>
      <c r="BT42" s="6"/>
      <c r="CH42" s="6"/>
    </row>
    <row r="43" ht="19.5" customHeight="1">
      <c r="P43" s="6"/>
      <c r="AD43" s="6"/>
      <c r="AR43" s="6"/>
      <c r="BF43" s="6"/>
      <c r="BT43" s="6"/>
      <c r="CH43" s="6"/>
    </row>
    <row r="44" ht="19.5" customHeight="1">
      <c r="P44" s="6"/>
      <c r="AD44" s="6"/>
      <c r="AR44" s="6"/>
      <c r="BF44" s="6"/>
      <c r="BT44" s="6"/>
      <c r="CH44" s="6"/>
    </row>
    <row r="45" ht="19.5" customHeight="1">
      <c r="P45" s="6"/>
      <c r="AD45" s="6"/>
      <c r="AR45" s="6"/>
      <c r="BF45" s="6"/>
      <c r="BT45" s="6"/>
      <c r="CH45" s="6"/>
    </row>
    <row r="46" ht="19.5" customHeight="1">
      <c r="P46" s="6"/>
      <c r="AD46" s="6"/>
      <c r="AR46" s="6"/>
      <c r="BF46" s="6"/>
      <c r="BT46" s="6"/>
      <c r="CH46" s="6"/>
    </row>
    <row r="47" ht="19.5" customHeight="1">
      <c r="P47" s="6"/>
      <c r="AD47" s="6"/>
      <c r="AR47" s="6"/>
      <c r="BF47" s="6"/>
      <c r="BT47" s="6"/>
      <c r="CH47" s="6"/>
    </row>
    <row r="48" ht="19.5" customHeight="1">
      <c r="P48" s="6"/>
      <c r="AD48" s="6"/>
      <c r="AR48" s="6"/>
      <c r="BF48" s="6"/>
      <c r="BT48" s="6"/>
      <c r="CH48" s="6"/>
    </row>
    <row r="49" ht="19.5" customHeight="1">
      <c r="P49" s="6"/>
      <c r="AD49" s="6"/>
      <c r="AR49" s="6"/>
      <c r="BF49" s="6"/>
      <c r="BT49" s="6"/>
      <c r="CH49" s="6"/>
    </row>
    <row r="50" ht="19.5" customHeight="1">
      <c r="P50" s="6"/>
      <c r="AD50" s="6"/>
      <c r="AR50" s="6"/>
      <c r="BF50" s="6"/>
      <c r="BT50" s="6"/>
      <c r="CH50" s="6"/>
    </row>
    <row r="51" ht="19.5" customHeight="1">
      <c r="P51" s="6"/>
      <c r="AD51" s="6"/>
      <c r="AR51" s="6"/>
      <c r="BF51" s="6"/>
      <c r="BT51" s="6"/>
      <c r="CH51" s="6"/>
    </row>
    <row r="52" ht="19.5" customHeight="1">
      <c r="P52" s="6"/>
      <c r="AD52" s="6"/>
      <c r="AR52" s="6"/>
      <c r="BF52" s="6"/>
      <c r="BT52" s="6"/>
      <c r="CH52" s="6"/>
    </row>
    <row r="53" ht="19.5" customHeight="1">
      <c r="P53" s="6"/>
      <c r="AD53" s="6"/>
      <c r="AR53" s="6"/>
      <c r="BF53" s="6"/>
      <c r="BT53" s="6"/>
      <c r="CH53" s="6"/>
    </row>
    <row r="54" ht="19.5" customHeight="1">
      <c r="P54" s="6"/>
      <c r="AD54" s="6"/>
      <c r="AR54" s="6"/>
      <c r="BF54" s="6"/>
      <c r="BT54" s="6"/>
      <c r="CH54" s="6"/>
    </row>
    <row r="55" ht="19.5" customHeight="1">
      <c r="P55" s="6"/>
      <c r="AD55" s="6"/>
      <c r="AR55" s="6"/>
      <c r="BF55" s="6"/>
      <c r="BT55" s="6"/>
      <c r="CH55" s="6"/>
    </row>
    <row r="56" ht="19.5" customHeight="1">
      <c r="P56" s="6"/>
      <c r="AD56" s="6"/>
      <c r="AR56" s="6"/>
      <c r="BF56" s="6"/>
      <c r="BT56" s="6"/>
      <c r="CH56" s="6"/>
    </row>
    <row r="57" ht="19.5" customHeight="1">
      <c r="P57" s="6"/>
      <c r="AD57" s="6"/>
      <c r="AR57" s="6"/>
      <c r="BF57" s="6"/>
      <c r="BT57" s="6"/>
      <c r="CH57" s="6"/>
    </row>
    <row r="58" ht="19.5" customHeight="1">
      <c r="P58" s="6"/>
      <c r="AD58" s="6"/>
      <c r="AR58" s="6"/>
      <c r="BF58" s="6"/>
      <c r="BT58" s="6"/>
      <c r="CH58" s="6"/>
    </row>
    <row r="59" ht="19.5" customHeight="1">
      <c r="P59" s="6"/>
      <c r="AD59" s="6"/>
      <c r="AR59" s="6"/>
      <c r="BF59" s="6"/>
      <c r="BT59" s="6"/>
      <c r="CH59" s="6"/>
    </row>
    <row r="60" ht="19.5" customHeight="1">
      <c r="P60" s="6"/>
      <c r="AD60" s="6"/>
      <c r="AR60" s="6"/>
      <c r="BF60" s="6"/>
      <c r="BT60" s="6"/>
      <c r="CH60" s="6"/>
    </row>
    <row r="61" ht="19.5" customHeight="1">
      <c r="P61" s="6"/>
      <c r="AD61" s="6"/>
      <c r="AR61" s="6"/>
      <c r="BF61" s="6"/>
      <c r="BT61" s="6"/>
      <c r="CH61" s="6"/>
    </row>
    <row r="62" ht="19.5" customHeight="1">
      <c r="P62" s="6"/>
      <c r="AD62" s="6"/>
      <c r="AR62" s="6"/>
      <c r="BF62" s="6"/>
      <c r="BT62" s="6"/>
      <c r="CH62" s="6"/>
    </row>
    <row r="63" ht="19.5" customHeight="1">
      <c r="P63" s="6"/>
      <c r="AD63" s="6"/>
      <c r="AR63" s="6"/>
      <c r="BF63" s="6"/>
      <c r="BT63" s="6"/>
      <c r="CH63" s="6"/>
    </row>
    <row r="64" ht="19.5" customHeight="1">
      <c r="P64" s="6"/>
      <c r="AD64" s="6"/>
      <c r="AR64" s="6"/>
      <c r="BF64" s="6"/>
      <c r="BT64" s="6"/>
      <c r="CH64" s="6"/>
    </row>
    <row r="65" ht="19.5" customHeight="1">
      <c r="P65" s="6"/>
      <c r="AD65" s="6"/>
      <c r="AR65" s="6"/>
      <c r="BF65" s="6"/>
      <c r="BT65" s="6"/>
      <c r="CH65" s="6"/>
    </row>
    <row r="66" ht="19.5" customHeight="1">
      <c r="P66" s="6"/>
      <c r="AD66" s="6"/>
      <c r="AR66" s="6"/>
      <c r="BF66" s="6"/>
      <c r="BT66" s="6"/>
      <c r="CH66" s="6"/>
    </row>
    <row r="67" ht="19.5" customHeight="1">
      <c r="P67" s="6"/>
      <c r="AD67" s="6"/>
      <c r="AR67" s="6"/>
      <c r="BF67" s="6"/>
      <c r="BT67" s="6"/>
      <c r="CH67" s="6"/>
    </row>
    <row r="68" ht="13.5" customHeight="1">
      <c r="P68" s="6"/>
      <c r="AD68" s="6"/>
      <c r="AR68" s="6"/>
      <c r="BF68" s="6"/>
      <c r="BT68" s="6"/>
      <c r="CH68" s="6"/>
    </row>
    <row r="69" ht="13.5" customHeight="1">
      <c r="P69" s="6"/>
      <c r="AD69" s="6"/>
      <c r="AR69" s="6"/>
      <c r="BF69" s="6"/>
      <c r="BT69" s="6"/>
      <c r="CH69" s="6"/>
    </row>
    <row r="70" ht="13.5" customHeight="1">
      <c r="P70" s="6"/>
      <c r="AD70" s="6"/>
      <c r="AR70" s="6"/>
      <c r="BF70" s="6"/>
      <c r="BT70" s="6"/>
      <c r="CH70" s="6"/>
    </row>
    <row r="71" ht="13.5" customHeight="1">
      <c r="P71" s="6"/>
      <c r="AD71" s="6"/>
      <c r="AR71" s="6"/>
      <c r="BF71" s="6"/>
      <c r="BT71" s="6"/>
      <c r="CH71" s="6"/>
    </row>
    <row r="72" ht="13.5" customHeight="1">
      <c r="P72" s="6"/>
      <c r="AD72" s="6"/>
      <c r="AR72" s="6"/>
      <c r="BF72" s="6"/>
      <c r="BT72" s="6"/>
      <c r="CH72" s="6"/>
    </row>
    <row r="73" ht="13.5" customHeight="1">
      <c r="P73" s="6"/>
      <c r="AD73" s="6"/>
      <c r="AR73" s="6"/>
      <c r="BF73" s="6"/>
      <c r="BT73" s="6"/>
      <c r="CH73" s="6"/>
    </row>
    <row r="74" ht="13.5" customHeight="1">
      <c r="P74" s="6"/>
      <c r="AD74" s="6"/>
      <c r="AR74" s="6"/>
      <c r="BF74" s="6"/>
      <c r="BT74" s="6"/>
      <c r="CH74" s="6"/>
    </row>
    <row r="75" ht="13.5" customHeight="1">
      <c r="P75" s="6"/>
      <c r="AD75" s="6"/>
      <c r="AR75" s="6"/>
      <c r="BF75" s="6"/>
      <c r="BT75" s="6"/>
      <c r="CH75" s="6"/>
    </row>
    <row r="76" ht="13.5" customHeight="1">
      <c r="P76" s="6"/>
      <c r="AD76" s="6"/>
      <c r="AR76" s="6"/>
      <c r="BF76" s="6"/>
      <c r="BT76" s="6"/>
      <c r="CH76" s="6"/>
    </row>
    <row r="77" ht="13.5" customHeight="1">
      <c r="P77" s="6"/>
      <c r="AD77" s="6"/>
      <c r="AR77" s="6"/>
      <c r="BF77" s="6"/>
      <c r="BT77" s="6"/>
      <c r="CH77" s="6"/>
    </row>
    <row r="78" ht="13.5" customHeight="1">
      <c r="P78" s="6"/>
      <c r="AD78" s="6"/>
      <c r="AR78" s="6"/>
      <c r="BF78" s="6"/>
      <c r="BT78" s="6"/>
      <c r="CH78" s="6"/>
    </row>
    <row r="79" ht="13.5" customHeight="1">
      <c r="P79" s="6"/>
      <c r="AD79" s="6"/>
      <c r="AR79" s="6"/>
      <c r="BF79" s="6"/>
      <c r="BT79" s="6"/>
      <c r="CH79" s="6"/>
    </row>
    <row r="80" ht="13.5" customHeight="1">
      <c r="P80" s="6"/>
      <c r="AD80" s="6"/>
      <c r="AR80" s="6"/>
      <c r="BF80" s="6"/>
      <c r="BT80" s="6"/>
      <c r="CH80" s="6"/>
    </row>
    <row r="81" ht="13.5" customHeight="1">
      <c r="P81" s="6"/>
      <c r="AD81" s="6"/>
      <c r="AR81" s="6"/>
      <c r="BF81" s="6"/>
      <c r="BT81" s="6"/>
      <c r="CH81" s="6"/>
    </row>
    <row r="82" ht="13.5" customHeight="1">
      <c r="P82" s="6"/>
      <c r="AD82" s="6"/>
      <c r="AR82" s="6"/>
      <c r="BF82" s="6"/>
      <c r="BT82" s="6"/>
      <c r="CH82" s="6"/>
    </row>
    <row r="83" ht="13.5" customHeight="1">
      <c r="P83" s="6"/>
      <c r="AD83" s="6"/>
      <c r="AR83" s="6"/>
      <c r="BF83" s="6"/>
      <c r="BT83" s="6"/>
      <c r="CH83" s="6"/>
    </row>
    <row r="84" ht="13.5" customHeight="1">
      <c r="P84" s="6"/>
      <c r="AD84" s="6"/>
      <c r="AR84" s="6"/>
      <c r="BF84" s="6"/>
      <c r="BT84" s="6"/>
      <c r="CH84" s="6"/>
    </row>
    <row r="85" ht="13.5" customHeight="1">
      <c r="P85" s="6"/>
      <c r="AD85" s="6"/>
      <c r="AR85" s="6"/>
      <c r="BF85" s="6"/>
      <c r="BT85" s="6"/>
      <c r="CH85" s="6"/>
    </row>
    <row r="86" ht="13.5" customHeight="1">
      <c r="P86" s="6"/>
      <c r="AD86" s="6"/>
      <c r="AR86" s="6"/>
      <c r="BF86" s="6"/>
      <c r="BT86" s="6"/>
      <c r="CH86" s="6"/>
    </row>
    <row r="87" ht="13.5" customHeight="1">
      <c r="P87" s="6"/>
      <c r="AD87" s="6"/>
      <c r="AR87" s="6"/>
      <c r="BF87" s="6"/>
      <c r="BT87" s="6"/>
      <c r="CH87" s="6"/>
    </row>
    <row r="88" ht="13.5" customHeight="1">
      <c r="P88" s="6"/>
      <c r="AD88" s="6"/>
      <c r="AR88" s="6"/>
      <c r="BF88" s="6"/>
      <c r="BT88" s="6"/>
      <c r="CH88" s="6"/>
    </row>
    <row r="89" ht="13.5" customHeight="1">
      <c r="P89" s="6"/>
      <c r="AD89" s="6"/>
      <c r="AR89" s="6"/>
      <c r="BF89" s="6"/>
      <c r="BT89" s="6"/>
      <c r="CH89" s="6"/>
    </row>
    <row r="90" ht="13.5" customHeight="1">
      <c r="P90" s="6"/>
      <c r="AD90" s="6"/>
      <c r="AR90" s="6"/>
      <c r="BF90" s="6"/>
      <c r="BT90" s="6"/>
      <c r="CH90" s="6"/>
    </row>
    <row r="91" ht="13.5" customHeight="1">
      <c r="P91" s="6"/>
      <c r="AD91" s="6"/>
      <c r="AR91" s="6"/>
      <c r="BF91" s="6"/>
      <c r="BT91" s="6"/>
      <c r="CH91" s="6"/>
    </row>
    <row r="92" ht="13.5" customHeight="1">
      <c r="P92" s="6"/>
      <c r="AD92" s="6"/>
      <c r="AR92" s="6"/>
      <c r="BF92" s="6"/>
      <c r="BT92" s="6"/>
      <c r="CH92" s="6"/>
    </row>
    <row r="93" ht="13.5" customHeight="1">
      <c r="P93" s="6"/>
      <c r="AD93" s="6"/>
      <c r="AR93" s="6"/>
      <c r="BF93" s="6"/>
      <c r="BT93" s="6"/>
      <c r="CH93" s="6"/>
    </row>
    <row r="94" ht="13.5" customHeight="1">
      <c r="P94" s="6"/>
      <c r="AD94" s="6"/>
      <c r="AR94" s="6"/>
      <c r="BF94" s="6"/>
      <c r="BT94" s="6"/>
      <c r="CH94" s="6"/>
    </row>
    <row r="95" ht="13.5" customHeight="1">
      <c r="P95" s="6"/>
      <c r="AD95" s="6"/>
      <c r="AR95" s="6"/>
      <c r="BF95" s="6"/>
      <c r="BT95" s="6"/>
      <c r="CH95" s="6"/>
    </row>
    <row r="96" ht="13.5" customHeight="1">
      <c r="P96" s="6"/>
      <c r="AD96" s="6"/>
      <c r="AR96" s="6"/>
      <c r="BF96" s="6"/>
      <c r="BT96" s="6"/>
      <c r="CH96" s="6"/>
    </row>
    <row r="97" ht="13.5" customHeight="1">
      <c r="P97" s="6"/>
      <c r="AD97" s="6"/>
      <c r="AR97" s="6"/>
      <c r="BF97" s="6"/>
      <c r="BT97" s="6"/>
      <c r="CH97" s="6"/>
    </row>
    <row r="98" ht="13.5" customHeight="1">
      <c r="P98" s="6"/>
      <c r="AD98" s="6"/>
      <c r="AR98" s="6"/>
      <c r="BF98" s="6"/>
      <c r="BT98" s="6"/>
      <c r="CH98" s="6"/>
    </row>
    <row r="99" ht="13.5" customHeight="1">
      <c r="P99" s="6"/>
      <c r="AD99" s="6"/>
      <c r="AR99" s="6"/>
      <c r="BF99" s="6"/>
      <c r="BT99" s="6"/>
      <c r="CH99" s="6"/>
    </row>
    <row r="100" ht="13.5" customHeight="1">
      <c r="P100" s="6"/>
      <c r="AD100" s="6"/>
      <c r="AR100" s="6"/>
      <c r="BF100" s="6"/>
      <c r="BT100" s="6"/>
      <c r="CH100" s="6"/>
    </row>
    <row r="101" ht="13.5" customHeight="1">
      <c r="P101" s="6"/>
      <c r="AD101" s="6"/>
      <c r="AR101" s="6"/>
      <c r="BF101" s="6"/>
      <c r="BT101" s="6"/>
      <c r="CH101" s="6"/>
    </row>
    <row r="102" ht="13.5" customHeight="1">
      <c r="P102" s="6"/>
      <c r="AD102" s="6"/>
      <c r="AR102" s="6"/>
      <c r="BF102" s="6"/>
      <c r="BT102" s="6"/>
      <c r="CH102" s="6"/>
    </row>
    <row r="103" ht="13.5" customHeight="1">
      <c r="P103" s="6"/>
      <c r="AD103" s="6"/>
      <c r="AR103" s="6"/>
      <c r="BF103" s="6"/>
      <c r="BT103" s="6"/>
      <c r="CH103" s="6"/>
    </row>
    <row r="104" ht="13.5" customHeight="1">
      <c r="P104" s="6"/>
      <c r="AD104" s="6"/>
      <c r="AR104" s="6"/>
      <c r="BF104" s="6"/>
      <c r="BT104" s="6"/>
      <c r="CH104" s="6"/>
    </row>
    <row r="105" ht="13.5" customHeight="1">
      <c r="P105" s="6"/>
      <c r="AD105" s="6"/>
      <c r="AR105" s="6"/>
      <c r="BF105" s="6"/>
      <c r="BT105" s="6"/>
      <c r="CH105" s="6"/>
    </row>
    <row r="106" ht="13.5" customHeight="1">
      <c r="P106" s="6"/>
      <c r="AD106" s="6"/>
      <c r="AR106" s="6"/>
      <c r="BF106" s="6"/>
      <c r="BT106" s="6"/>
      <c r="CH106" s="6"/>
    </row>
    <row r="107" ht="13.5" customHeight="1">
      <c r="P107" s="6"/>
      <c r="AD107" s="6"/>
      <c r="AR107" s="6"/>
      <c r="BF107" s="6"/>
      <c r="BT107" s="6"/>
      <c r="CH107" s="6"/>
    </row>
    <row r="108" ht="13.5" customHeight="1">
      <c r="P108" s="6"/>
      <c r="AD108" s="6"/>
      <c r="AR108" s="6"/>
      <c r="BF108" s="6"/>
      <c r="BT108" s="6"/>
      <c r="CH108" s="6"/>
    </row>
    <row r="109" ht="13.5" customHeight="1">
      <c r="P109" s="6"/>
      <c r="AD109" s="6"/>
      <c r="AR109" s="6"/>
      <c r="BF109" s="6"/>
      <c r="BT109" s="6"/>
      <c r="CH109" s="6"/>
    </row>
    <row r="110" ht="13.5" customHeight="1">
      <c r="P110" s="6"/>
      <c r="AD110" s="6"/>
      <c r="AR110" s="6"/>
      <c r="BF110" s="6"/>
      <c r="BT110" s="6"/>
      <c r="CH110" s="6"/>
    </row>
    <row r="111" ht="13.5" customHeight="1">
      <c r="P111" s="6"/>
      <c r="AD111" s="6"/>
      <c r="AR111" s="6"/>
      <c r="BF111" s="6"/>
      <c r="BT111" s="6"/>
      <c r="CH111" s="6"/>
    </row>
    <row r="112" ht="13.5" customHeight="1">
      <c r="P112" s="6"/>
      <c r="AD112" s="6"/>
      <c r="AR112" s="6"/>
      <c r="BF112" s="6"/>
      <c r="BT112" s="6"/>
      <c r="CH112" s="6"/>
    </row>
    <row r="113" ht="13.5" customHeight="1">
      <c r="P113" s="6"/>
      <c r="AD113" s="6"/>
      <c r="AR113" s="6"/>
      <c r="BF113" s="6"/>
      <c r="BT113" s="6"/>
      <c r="CH113" s="6"/>
    </row>
    <row r="114" ht="13.5" customHeight="1">
      <c r="P114" s="6"/>
      <c r="AD114" s="6"/>
      <c r="AR114" s="6"/>
      <c r="BF114" s="6"/>
      <c r="BT114" s="6"/>
      <c r="CH114" s="6"/>
    </row>
    <row r="115" ht="13.5" customHeight="1">
      <c r="P115" s="6"/>
      <c r="AD115" s="6"/>
      <c r="AR115" s="6"/>
      <c r="BF115" s="6"/>
      <c r="BT115" s="6"/>
      <c r="CH115" s="6"/>
    </row>
    <row r="116" ht="13.5" customHeight="1">
      <c r="P116" s="6"/>
      <c r="AD116" s="6"/>
      <c r="AR116" s="6"/>
      <c r="BF116" s="6"/>
      <c r="BT116" s="6"/>
      <c r="CH116" s="6"/>
    </row>
    <row r="117" ht="13.5" customHeight="1">
      <c r="P117" s="6"/>
      <c r="AD117" s="6"/>
      <c r="AR117" s="6"/>
      <c r="BF117" s="6"/>
      <c r="BT117" s="6"/>
      <c r="CH117" s="6"/>
    </row>
    <row r="118" ht="13.5" customHeight="1">
      <c r="P118" s="6"/>
      <c r="AD118" s="6"/>
      <c r="AR118" s="6"/>
      <c r="BF118" s="6"/>
      <c r="BT118" s="6"/>
      <c r="CH118" s="6"/>
    </row>
    <row r="119" ht="13.5" customHeight="1">
      <c r="P119" s="6"/>
      <c r="AD119" s="6"/>
      <c r="AR119" s="6"/>
      <c r="BF119" s="6"/>
      <c r="BT119" s="6"/>
      <c r="CH119" s="6"/>
    </row>
    <row r="120" ht="13.5" customHeight="1">
      <c r="P120" s="6"/>
      <c r="AD120" s="6"/>
      <c r="AR120" s="6"/>
      <c r="BF120" s="6"/>
      <c r="BT120" s="6"/>
      <c r="CH120" s="6"/>
    </row>
    <row r="121" ht="13.5" customHeight="1">
      <c r="P121" s="6"/>
      <c r="AD121" s="6"/>
      <c r="AR121" s="6"/>
      <c r="BF121" s="6"/>
      <c r="BT121" s="6"/>
      <c r="CH121" s="6"/>
    </row>
    <row r="122" ht="13.5" customHeight="1">
      <c r="P122" s="6"/>
      <c r="AD122" s="6"/>
      <c r="AR122" s="6"/>
      <c r="BF122" s="6"/>
      <c r="BT122" s="6"/>
      <c r="CH122" s="6"/>
    </row>
    <row r="123" ht="13.5" customHeight="1">
      <c r="P123" s="6"/>
      <c r="AD123" s="6"/>
      <c r="AR123" s="6"/>
      <c r="BF123" s="6"/>
      <c r="BT123" s="6"/>
      <c r="CH123" s="6"/>
    </row>
    <row r="124" ht="13.5" customHeight="1">
      <c r="P124" s="6"/>
      <c r="AD124" s="6"/>
      <c r="AR124" s="6"/>
      <c r="BF124" s="6"/>
      <c r="BT124" s="6"/>
      <c r="CH124" s="6"/>
    </row>
    <row r="125" ht="13.5" customHeight="1">
      <c r="P125" s="6"/>
      <c r="AD125" s="6"/>
      <c r="AR125" s="6"/>
      <c r="BF125" s="6"/>
      <c r="BT125" s="6"/>
      <c r="CH125" s="6"/>
    </row>
    <row r="126" ht="13.5" customHeight="1">
      <c r="P126" s="6"/>
      <c r="AD126" s="6"/>
      <c r="AR126" s="6"/>
      <c r="BF126" s="6"/>
      <c r="BT126" s="6"/>
      <c r="CH126" s="6"/>
    </row>
    <row r="127" ht="13.5" customHeight="1">
      <c r="P127" s="6"/>
      <c r="AD127" s="6"/>
      <c r="AR127" s="6"/>
      <c r="BF127" s="6"/>
      <c r="BT127" s="6"/>
      <c r="CH127" s="6"/>
    </row>
    <row r="128" ht="13.5" customHeight="1">
      <c r="P128" s="6"/>
      <c r="AD128" s="6"/>
      <c r="AR128" s="6"/>
      <c r="BF128" s="6"/>
      <c r="BT128" s="6"/>
      <c r="CH128" s="6"/>
    </row>
    <row r="129" ht="13.5" customHeight="1">
      <c r="P129" s="6"/>
      <c r="AD129" s="6"/>
      <c r="AR129" s="6"/>
      <c r="BF129" s="6"/>
      <c r="BT129" s="6"/>
      <c r="CH129" s="6"/>
    </row>
    <row r="130" ht="13.5" customHeight="1">
      <c r="P130" s="6"/>
      <c r="AD130" s="6"/>
      <c r="AR130" s="6"/>
      <c r="BF130" s="6"/>
      <c r="BT130" s="6"/>
      <c r="CH130" s="6"/>
    </row>
    <row r="131" ht="13.5" customHeight="1">
      <c r="P131" s="6"/>
      <c r="AD131" s="6"/>
      <c r="AR131" s="6"/>
      <c r="BF131" s="6"/>
      <c r="BT131" s="6"/>
      <c r="CH131" s="6"/>
    </row>
    <row r="132" ht="13.5" customHeight="1">
      <c r="P132" s="6"/>
      <c r="AD132" s="6"/>
      <c r="AR132" s="6"/>
      <c r="BF132" s="6"/>
      <c r="BT132" s="6"/>
      <c r="CH132" s="6"/>
    </row>
    <row r="133" ht="13.5" customHeight="1">
      <c r="P133" s="6"/>
      <c r="AD133" s="6"/>
      <c r="AR133" s="6"/>
      <c r="BF133" s="6"/>
      <c r="BT133" s="6"/>
      <c r="CH133" s="6"/>
    </row>
    <row r="134" ht="13.5" customHeight="1">
      <c r="P134" s="6"/>
      <c r="AD134" s="6"/>
      <c r="AR134" s="6"/>
      <c r="BF134" s="6"/>
      <c r="BT134" s="6"/>
      <c r="CH134" s="6"/>
    </row>
    <row r="135" ht="13.5" customHeight="1">
      <c r="P135" s="6"/>
      <c r="AD135" s="6"/>
      <c r="AR135" s="6"/>
      <c r="BF135" s="6"/>
      <c r="BT135" s="6"/>
      <c r="CH135" s="6"/>
    </row>
    <row r="136" ht="13.5" customHeight="1">
      <c r="P136" s="6"/>
      <c r="AD136" s="6"/>
      <c r="AR136" s="6"/>
      <c r="BF136" s="6"/>
      <c r="BT136" s="6"/>
      <c r="CH136" s="6"/>
    </row>
    <row r="137" ht="13.5" customHeight="1">
      <c r="P137" s="6"/>
      <c r="AD137" s="6"/>
      <c r="AR137" s="6"/>
      <c r="BF137" s="6"/>
      <c r="BT137" s="6"/>
      <c r="CH137" s="6"/>
    </row>
    <row r="138" ht="13.5" customHeight="1">
      <c r="P138" s="6"/>
      <c r="AD138" s="6"/>
      <c r="AR138" s="6"/>
      <c r="BF138" s="6"/>
      <c r="BT138" s="6"/>
      <c r="CH138" s="6"/>
    </row>
    <row r="139" ht="13.5" customHeight="1">
      <c r="P139" s="6"/>
      <c r="AD139" s="6"/>
      <c r="AR139" s="6"/>
      <c r="BF139" s="6"/>
      <c r="BT139" s="6"/>
      <c r="CH139" s="6"/>
    </row>
    <row r="140" ht="13.5" customHeight="1">
      <c r="P140" s="6"/>
      <c r="AD140" s="6"/>
      <c r="AR140" s="6"/>
      <c r="BF140" s="6"/>
      <c r="BT140" s="6"/>
      <c r="CH140" s="6"/>
    </row>
    <row r="141" ht="13.5" customHeight="1">
      <c r="P141" s="6"/>
      <c r="AD141" s="6"/>
      <c r="AR141" s="6"/>
      <c r="BF141" s="6"/>
      <c r="BT141" s="6"/>
      <c r="CH141" s="6"/>
    </row>
    <row r="142" ht="13.5" customHeight="1">
      <c r="P142" s="6"/>
      <c r="AD142" s="6"/>
      <c r="AR142" s="6"/>
      <c r="BF142" s="6"/>
      <c r="BT142" s="6"/>
      <c r="CH142" s="6"/>
    </row>
    <row r="143" ht="13.5" customHeight="1">
      <c r="P143" s="6"/>
      <c r="AD143" s="6"/>
      <c r="AR143" s="6"/>
      <c r="BF143" s="6"/>
      <c r="BT143" s="6"/>
      <c r="CH143" s="6"/>
    </row>
    <row r="144" ht="13.5" customHeight="1">
      <c r="P144" s="6"/>
      <c r="AD144" s="6"/>
      <c r="AR144" s="6"/>
      <c r="BF144" s="6"/>
      <c r="BT144" s="6"/>
      <c r="CH144" s="6"/>
    </row>
    <row r="145" ht="13.5" customHeight="1">
      <c r="P145" s="6"/>
      <c r="AD145" s="6"/>
      <c r="AR145" s="6"/>
      <c r="BF145" s="6"/>
      <c r="BT145" s="6"/>
      <c r="CH145" s="6"/>
    </row>
    <row r="146" ht="13.5" customHeight="1">
      <c r="P146" s="6"/>
      <c r="AD146" s="6"/>
      <c r="AR146" s="6"/>
      <c r="BF146" s="6"/>
      <c r="BT146" s="6"/>
      <c r="CH146" s="6"/>
    </row>
    <row r="147" ht="13.5" customHeight="1">
      <c r="P147" s="6"/>
      <c r="AD147" s="6"/>
      <c r="AR147" s="6"/>
      <c r="BF147" s="6"/>
      <c r="BT147" s="6"/>
      <c r="CH147" s="6"/>
    </row>
    <row r="148" ht="13.5" customHeight="1">
      <c r="P148" s="6"/>
      <c r="AD148" s="6"/>
      <c r="AR148" s="6"/>
      <c r="BF148" s="6"/>
      <c r="BT148" s="6"/>
      <c r="CH148" s="6"/>
    </row>
    <row r="149" ht="13.5" customHeight="1">
      <c r="P149" s="6"/>
      <c r="AD149" s="6"/>
      <c r="AR149" s="6"/>
      <c r="BF149" s="6"/>
      <c r="BT149" s="6"/>
      <c r="CH149" s="6"/>
    </row>
    <row r="150" ht="13.5" customHeight="1">
      <c r="P150" s="6"/>
      <c r="AD150" s="6"/>
      <c r="AR150" s="6"/>
      <c r="BF150" s="6"/>
      <c r="BT150" s="6"/>
      <c r="CH150" s="6"/>
    </row>
    <row r="151" ht="13.5" customHeight="1">
      <c r="P151" s="6"/>
      <c r="AD151" s="6"/>
      <c r="AR151" s="6"/>
      <c r="BF151" s="6"/>
      <c r="BT151" s="6"/>
      <c r="CH151" s="6"/>
    </row>
    <row r="152" ht="13.5" customHeight="1">
      <c r="P152" s="6"/>
      <c r="AD152" s="6"/>
      <c r="AR152" s="6"/>
      <c r="BF152" s="6"/>
      <c r="BT152" s="6"/>
      <c r="CH152" s="6"/>
    </row>
    <row r="153" ht="13.5" customHeight="1">
      <c r="P153" s="6"/>
      <c r="AD153" s="6"/>
      <c r="AR153" s="6"/>
      <c r="BF153" s="6"/>
      <c r="BT153" s="6"/>
      <c r="CH153" s="6"/>
    </row>
    <row r="154" ht="13.5" customHeight="1">
      <c r="P154" s="6"/>
      <c r="AD154" s="6"/>
      <c r="AR154" s="6"/>
      <c r="BF154" s="6"/>
      <c r="BT154" s="6"/>
      <c r="CH154" s="6"/>
    </row>
    <row r="155" ht="13.5" customHeight="1">
      <c r="P155" s="6"/>
      <c r="AD155" s="6"/>
      <c r="AR155" s="6"/>
      <c r="BF155" s="6"/>
      <c r="BT155" s="6"/>
      <c r="CH155" s="6"/>
    </row>
    <row r="156" ht="13.5" customHeight="1">
      <c r="P156" s="6"/>
      <c r="AD156" s="6"/>
      <c r="AR156" s="6"/>
      <c r="BF156" s="6"/>
      <c r="BT156" s="6"/>
      <c r="CH156" s="6"/>
    </row>
    <row r="157" ht="13.5" customHeight="1">
      <c r="P157" s="6"/>
      <c r="AD157" s="6"/>
      <c r="AR157" s="6"/>
      <c r="BF157" s="6"/>
      <c r="BT157" s="6"/>
      <c r="CH157" s="6"/>
    </row>
    <row r="158" ht="13.5" customHeight="1">
      <c r="P158" s="6"/>
      <c r="AD158" s="6"/>
      <c r="AR158" s="6"/>
      <c r="BF158" s="6"/>
      <c r="BT158" s="6"/>
      <c r="CH158" s="6"/>
    </row>
    <row r="159" ht="13.5" customHeight="1">
      <c r="P159" s="6"/>
      <c r="AD159" s="6"/>
      <c r="AR159" s="6"/>
      <c r="BF159" s="6"/>
      <c r="BT159" s="6"/>
      <c r="CH159" s="6"/>
    </row>
    <row r="160" ht="13.5" customHeight="1">
      <c r="P160" s="6"/>
      <c r="AD160" s="6"/>
      <c r="AR160" s="6"/>
      <c r="BF160" s="6"/>
      <c r="BT160" s="6"/>
      <c r="CH160" s="6"/>
    </row>
    <row r="161" ht="13.5" customHeight="1">
      <c r="P161" s="6"/>
      <c r="AD161" s="6"/>
      <c r="AR161" s="6"/>
      <c r="BF161" s="6"/>
      <c r="BT161" s="6"/>
      <c r="CH161" s="6"/>
    </row>
    <row r="162" ht="13.5" customHeight="1">
      <c r="P162" s="6"/>
      <c r="AD162" s="6"/>
      <c r="AR162" s="6"/>
      <c r="BF162" s="6"/>
      <c r="BT162" s="6"/>
      <c r="CH162" s="6"/>
    </row>
    <row r="163" ht="13.5" customHeight="1">
      <c r="P163" s="6"/>
      <c r="AD163" s="6"/>
      <c r="AR163" s="6"/>
      <c r="BF163" s="6"/>
      <c r="BT163" s="6"/>
      <c r="CH163" s="6"/>
    </row>
    <row r="164" ht="13.5" customHeight="1">
      <c r="P164" s="6"/>
      <c r="AD164" s="6"/>
      <c r="AR164" s="6"/>
      <c r="BF164" s="6"/>
      <c r="BT164" s="6"/>
      <c r="CH164" s="6"/>
    </row>
    <row r="165" ht="13.5" customHeight="1">
      <c r="P165" s="6"/>
      <c r="AD165" s="6"/>
      <c r="AR165" s="6"/>
      <c r="BF165" s="6"/>
      <c r="BT165" s="6"/>
      <c r="CH165" s="6"/>
    </row>
    <row r="166" ht="13.5" customHeight="1">
      <c r="P166" s="6"/>
      <c r="AD166" s="6"/>
      <c r="AR166" s="6"/>
      <c r="BF166" s="6"/>
      <c r="BT166" s="6"/>
      <c r="CH166" s="6"/>
    </row>
    <row r="167" ht="13.5" customHeight="1">
      <c r="P167" s="6"/>
      <c r="AD167" s="6"/>
      <c r="AR167" s="6"/>
      <c r="BF167" s="6"/>
      <c r="BT167" s="6"/>
      <c r="CH167" s="6"/>
    </row>
    <row r="168" ht="13.5" customHeight="1">
      <c r="P168" s="6"/>
      <c r="AD168" s="6"/>
      <c r="AR168" s="6"/>
      <c r="BF168" s="6"/>
      <c r="BT168" s="6"/>
      <c r="CH168" s="6"/>
    </row>
    <row r="169" ht="13.5" customHeight="1">
      <c r="P169" s="6"/>
      <c r="AD169" s="6"/>
      <c r="AR169" s="6"/>
      <c r="BF169" s="6"/>
      <c r="BT169" s="6"/>
      <c r="CH169" s="6"/>
    </row>
    <row r="170" ht="13.5" customHeight="1">
      <c r="P170" s="6"/>
      <c r="AD170" s="6"/>
      <c r="AR170" s="6"/>
      <c r="BF170" s="6"/>
      <c r="BT170" s="6"/>
      <c r="CH170" s="6"/>
    </row>
    <row r="171" ht="13.5" customHeight="1">
      <c r="P171" s="6"/>
      <c r="AD171" s="6"/>
      <c r="AR171" s="6"/>
      <c r="BF171" s="6"/>
      <c r="BT171" s="6"/>
      <c r="CH171" s="6"/>
    </row>
    <row r="172" ht="13.5" customHeight="1">
      <c r="P172" s="6"/>
      <c r="AD172" s="6"/>
      <c r="AR172" s="6"/>
      <c r="BF172" s="6"/>
      <c r="BT172" s="6"/>
      <c r="CH172" s="6"/>
    </row>
    <row r="173" ht="13.5" customHeight="1">
      <c r="P173" s="6"/>
      <c r="AD173" s="6"/>
      <c r="AR173" s="6"/>
      <c r="BF173" s="6"/>
      <c r="BT173" s="6"/>
      <c r="CH173" s="6"/>
    </row>
    <row r="174" ht="13.5" customHeight="1">
      <c r="P174" s="6"/>
      <c r="AD174" s="6"/>
      <c r="AR174" s="6"/>
      <c r="BF174" s="6"/>
      <c r="BT174" s="6"/>
      <c r="CH174" s="6"/>
    </row>
    <row r="175" ht="13.5" customHeight="1">
      <c r="P175" s="6"/>
      <c r="AD175" s="6"/>
      <c r="AR175" s="6"/>
      <c r="BF175" s="6"/>
      <c r="BT175" s="6"/>
      <c r="CH175" s="6"/>
    </row>
    <row r="176" ht="13.5" customHeight="1">
      <c r="P176" s="6"/>
      <c r="AD176" s="6"/>
      <c r="AR176" s="6"/>
      <c r="BF176" s="6"/>
      <c r="BT176" s="6"/>
      <c r="CH176" s="6"/>
    </row>
    <row r="177" ht="13.5" customHeight="1">
      <c r="P177" s="6"/>
      <c r="AD177" s="6"/>
      <c r="AR177" s="6"/>
      <c r="BF177" s="6"/>
      <c r="BT177" s="6"/>
      <c r="CH177" s="6"/>
    </row>
    <row r="178" ht="13.5" customHeight="1">
      <c r="P178" s="6"/>
      <c r="AD178" s="6"/>
      <c r="AR178" s="6"/>
      <c r="BF178" s="6"/>
      <c r="BT178" s="6"/>
      <c r="CH178" s="6"/>
    </row>
    <row r="179" ht="13.5" customHeight="1">
      <c r="P179" s="6"/>
      <c r="AD179" s="6"/>
      <c r="AR179" s="6"/>
      <c r="BF179" s="6"/>
      <c r="BT179" s="6"/>
      <c r="CH179" s="6"/>
    </row>
    <row r="180" ht="13.5" customHeight="1">
      <c r="P180" s="6"/>
      <c r="AD180" s="6"/>
      <c r="AR180" s="6"/>
      <c r="BF180" s="6"/>
      <c r="BT180" s="6"/>
      <c r="CH180" s="6"/>
    </row>
    <row r="181" ht="13.5" customHeight="1">
      <c r="P181" s="6"/>
      <c r="AD181" s="6"/>
      <c r="AR181" s="6"/>
      <c r="BF181" s="6"/>
      <c r="BT181" s="6"/>
      <c r="CH181" s="6"/>
    </row>
    <row r="182" ht="13.5" customHeight="1">
      <c r="P182" s="6"/>
      <c r="AD182" s="6"/>
      <c r="AR182" s="6"/>
      <c r="BF182" s="6"/>
      <c r="BT182" s="6"/>
      <c r="CH182" s="6"/>
    </row>
    <row r="183" ht="13.5" customHeight="1">
      <c r="P183" s="6"/>
      <c r="AD183" s="6"/>
      <c r="AR183" s="6"/>
      <c r="BF183" s="6"/>
      <c r="BT183" s="6"/>
      <c r="CH183" s="6"/>
    </row>
    <row r="184" ht="13.5" customHeight="1">
      <c r="P184" s="6"/>
      <c r="AD184" s="6"/>
      <c r="AR184" s="6"/>
      <c r="BF184" s="6"/>
      <c r="BT184" s="6"/>
      <c r="CH184" s="6"/>
    </row>
    <row r="185" ht="13.5" customHeight="1">
      <c r="P185" s="6"/>
      <c r="AD185" s="6"/>
      <c r="AR185" s="6"/>
      <c r="BF185" s="6"/>
      <c r="BT185" s="6"/>
      <c r="CH185" s="6"/>
    </row>
    <row r="186" ht="13.5" customHeight="1">
      <c r="P186" s="6"/>
      <c r="AD186" s="6"/>
      <c r="AR186" s="6"/>
      <c r="BF186" s="6"/>
      <c r="BT186" s="6"/>
      <c r="CH186" s="6"/>
    </row>
    <row r="187" ht="13.5" customHeight="1">
      <c r="P187" s="6"/>
      <c r="AD187" s="6"/>
      <c r="AR187" s="6"/>
      <c r="BF187" s="6"/>
      <c r="BT187" s="6"/>
      <c r="CH187" s="6"/>
    </row>
    <row r="188" ht="13.5" customHeight="1">
      <c r="P188" s="6"/>
      <c r="AD188" s="6"/>
      <c r="AR188" s="6"/>
      <c r="BF188" s="6"/>
      <c r="BT188" s="6"/>
      <c r="CH188" s="6"/>
    </row>
    <row r="189" ht="13.5" customHeight="1">
      <c r="P189" s="6"/>
      <c r="AD189" s="6"/>
      <c r="AR189" s="6"/>
      <c r="BF189" s="6"/>
      <c r="BT189" s="6"/>
      <c r="CH189" s="6"/>
    </row>
    <row r="190" ht="13.5" customHeight="1">
      <c r="P190" s="6"/>
      <c r="AD190" s="6"/>
      <c r="AR190" s="6"/>
      <c r="BF190" s="6"/>
      <c r="BT190" s="6"/>
      <c r="CH190" s="6"/>
    </row>
    <row r="191" ht="13.5" customHeight="1">
      <c r="P191" s="6"/>
      <c r="AD191" s="6"/>
      <c r="AR191" s="6"/>
      <c r="BF191" s="6"/>
      <c r="BT191" s="6"/>
      <c r="CH191" s="6"/>
    </row>
    <row r="192" ht="13.5" customHeight="1">
      <c r="P192" s="6"/>
      <c r="AD192" s="6"/>
      <c r="AR192" s="6"/>
      <c r="BF192" s="6"/>
      <c r="BT192" s="6"/>
      <c r="CH192" s="6"/>
    </row>
    <row r="193" ht="13.5" customHeight="1">
      <c r="P193" s="6"/>
      <c r="AD193" s="6"/>
      <c r="AR193" s="6"/>
      <c r="BF193" s="6"/>
      <c r="BT193" s="6"/>
      <c r="CH193" s="6"/>
    </row>
    <row r="194" ht="13.5" customHeight="1">
      <c r="P194" s="6"/>
      <c r="AD194" s="6"/>
      <c r="AR194" s="6"/>
      <c r="BF194" s="6"/>
      <c r="BT194" s="6"/>
      <c r="CH194" s="6"/>
    </row>
    <row r="195" ht="13.5" customHeight="1">
      <c r="P195" s="6"/>
      <c r="AD195" s="6"/>
      <c r="AR195" s="6"/>
      <c r="BF195" s="6"/>
      <c r="BT195" s="6"/>
      <c r="CH195" s="6"/>
    </row>
    <row r="196" ht="13.5" customHeight="1">
      <c r="P196" s="6"/>
      <c r="AD196" s="6"/>
      <c r="AR196" s="6"/>
      <c r="BF196" s="6"/>
      <c r="BT196" s="6"/>
      <c r="CH196" s="6"/>
    </row>
    <row r="197" ht="13.5" customHeight="1">
      <c r="P197" s="6"/>
      <c r="AD197" s="6"/>
      <c r="AR197" s="6"/>
      <c r="BF197" s="6"/>
      <c r="BT197" s="6"/>
      <c r="CH197" s="6"/>
    </row>
    <row r="198" ht="13.5" customHeight="1">
      <c r="P198" s="6"/>
      <c r="AD198" s="6"/>
      <c r="AR198" s="6"/>
      <c r="BF198" s="6"/>
      <c r="BT198" s="6"/>
      <c r="CH198" s="6"/>
    </row>
    <row r="199" ht="13.5" customHeight="1">
      <c r="P199" s="6"/>
      <c r="AD199" s="6"/>
      <c r="AR199" s="6"/>
      <c r="BF199" s="6"/>
      <c r="BT199" s="6"/>
      <c r="CH199" s="6"/>
    </row>
    <row r="200" ht="13.5" customHeight="1">
      <c r="P200" s="6"/>
      <c r="AD200" s="6"/>
      <c r="AR200" s="6"/>
      <c r="BF200" s="6"/>
      <c r="BT200" s="6"/>
      <c r="CH200" s="6"/>
    </row>
    <row r="201" ht="13.5" customHeight="1">
      <c r="P201" s="6"/>
      <c r="AD201" s="6"/>
      <c r="AR201" s="6"/>
      <c r="BF201" s="6"/>
      <c r="BT201" s="6"/>
      <c r="CH201" s="6"/>
    </row>
    <row r="202" ht="13.5" customHeight="1">
      <c r="P202" s="6"/>
      <c r="AD202" s="6"/>
      <c r="AR202" s="6"/>
      <c r="BF202" s="6"/>
      <c r="BT202" s="6"/>
      <c r="CH202" s="6"/>
    </row>
    <row r="203" ht="13.5" customHeight="1">
      <c r="P203" s="6"/>
      <c r="AD203" s="6"/>
      <c r="AR203" s="6"/>
      <c r="BF203" s="6"/>
      <c r="BT203" s="6"/>
      <c r="CH203" s="6"/>
    </row>
    <row r="204" ht="13.5" customHeight="1">
      <c r="P204" s="6"/>
      <c r="AD204" s="6"/>
      <c r="AR204" s="6"/>
      <c r="BF204" s="6"/>
      <c r="BT204" s="6"/>
      <c r="CH204" s="6"/>
    </row>
    <row r="205" ht="13.5" customHeight="1">
      <c r="P205" s="6"/>
      <c r="AD205" s="6"/>
      <c r="AR205" s="6"/>
      <c r="BF205" s="6"/>
      <c r="BT205" s="6"/>
      <c r="CH205" s="6"/>
    </row>
    <row r="206" ht="13.5" customHeight="1">
      <c r="P206" s="6"/>
      <c r="AD206" s="6"/>
      <c r="AR206" s="6"/>
      <c r="BF206" s="6"/>
      <c r="BT206" s="6"/>
      <c r="CH206" s="6"/>
    </row>
    <row r="207" ht="13.5" customHeight="1">
      <c r="P207" s="6"/>
      <c r="AD207" s="6"/>
      <c r="AR207" s="6"/>
      <c r="BF207" s="6"/>
      <c r="BT207" s="6"/>
      <c r="CH207" s="6"/>
    </row>
    <row r="208" ht="13.5" customHeight="1">
      <c r="P208" s="6"/>
      <c r="AD208" s="6"/>
      <c r="AR208" s="6"/>
      <c r="BF208" s="6"/>
      <c r="BT208" s="6"/>
      <c r="CH208" s="6"/>
    </row>
    <row r="209" ht="13.5" customHeight="1">
      <c r="P209" s="6"/>
      <c r="AD209" s="6"/>
      <c r="AR209" s="6"/>
      <c r="BF209" s="6"/>
      <c r="BT209" s="6"/>
      <c r="CH209" s="6"/>
    </row>
    <row r="210" ht="13.5" customHeight="1">
      <c r="P210" s="6"/>
      <c r="AD210" s="6"/>
      <c r="AR210" s="6"/>
      <c r="BF210" s="6"/>
      <c r="BT210" s="6"/>
      <c r="CH210" s="6"/>
    </row>
    <row r="211" ht="13.5" customHeight="1">
      <c r="P211" s="6"/>
      <c r="AD211" s="6"/>
      <c r="AR211" s="6"/>
      <c r="BF211" s="6"/>
      <c r="BT211" s="6"/>
      <c r="CH211" s="6"/>
    </row>
    <row r="212" ht="13.5" customHeight="1">
      <c r="P212" s="6"/>
      <c r="AD212" s="6"/>
      <c r="AR212" s="6"/>
      <c r="BF212" s="6"/>
      <c r="BT212" s="6"/>
      <c r="CH212" s="6"/>
    </row>
    <row r="213" ht="13.5" customHeight="1">
      <c r="P213" s="6"/>
      <c r="AD213" s="6"/>
      <c r="AR213" s="6"/>
      <c r="BF213" s="6"/>
      <c r="BT213" s="6"/>
      <c r="CH213" s="6"/>
    </row>
    <row r="214" ht="13.5" customHeight="1">
      <c r="P214" s="6"/>
      <c r="AD214" s="6"/>
      <c r="AR214" s="6"/>
      <c r="BF214" s="6"/>
      <c r="BT214" s="6"/>
      <c r="CH214" s="6"/>
    </row>
    <row r="215" ht="13.5" customHeight="1">
      <c r="P215" s="6"/>
      <c r="AD215" s="6"/>
      <c r="AR215" s="6"/>
      <c r="BF215" s="6"/>
      <c r="BT215" s="6"/>
      <c r="CH215" s="6"/>
    </row>
    <row r="216" ht="13.5" customHeight="1">
      <c r="P216" s="6"/>
      <c r="AD216" s="6"/>
      <c r="AR216" s="6"/>
      <c r="BF216" s="6"/>
      <c r="BT216" s="6"/>
      <c r="CH216" s="6"/>
    </row>
    <row r="217" ht="13.5" customHeight="1">
      <c r="P217" s="6"/>
      <c r="AD217" s="6"/>
      <c r="AR217" s="6"/>
      <c r="BF217" s="6"/>
      <c r="BT217" s="6"/>
      <c r="CH217" s="6"/>
    </row>
    <row r="218" ht="13.5" customHeight="1">
      <c r="P218" s="6"/>
      <c r="AD218" s="6"/>
      <c r="AR218" s="6"/>
      <c r="BF218" s="6"/>
      <c r="BT218" s="6"/>
      <c r="CH218" s="6"/>
    </row>
    <row r="219" ht="13.5" customHeight="1">
      <c r="P219" s="6"/>
      <c r="AD219" s="6"/>
      <c r="AR219" s="6"/>
      <c r="BF219" s="6"/>
      <c r="BT219" s="6"/>
      <c r="CH219" s="6"/>
    </row>
    <row r="220" ht="13.5" customHeight="1">
      <c r="P220" s="6"/>
      <c r="AD220" s="6"/>
      <c r="AR220" s="6"/>
      <c r="BF220" s="6"/>
      <c r="BT220" s="6"/>
      <c r="CH220" s="6"/>
    </row>
    <row r="221" ht="13.5" customHeight="1">
      <c r="P221" s="6"/>
      <c r="AD221" s="6"/>
      <c r="AR221" s="6"/>
      <c r="BF221" s="6"/>
      <c r="BT221" s="6"/>
      <c r="CH221" s="6"/>
    </row>
    <row r="222" ht="13.5" customHeight="1">
      <c r="P222" s="6"/>
      <c r="AD222" s="6"/>
      <c r="AR222" s="6"/>
      <c r="BF222" s="6"/>
      <c r="BT222" s="6"/>
      <c r="CH222" s="6"/>
    </row>
    <row r="223" ht="13.5" customHeight="1">
      <c r="P223" s="6"/>
      <c r="AD223" s="6"/>
      <c r="AR223" s="6"/>
      <c r="BF223" s="6"/>
      <c r="BT223" s="6"/>
      <c r="CH223" s="6"/>
    </row>
    <row r="224" ht="13.5" customHeight="1">
      <c r="P224" s="6"/>
      <c r="AD224" s="6"/>
      <c r="AR224" s="6"/>
      <c r="BF224" s="6"/>
      <c r="BT224" s="6"/>
      <c r="CH224" s="6"/>
    </row>
    <row r="225" ht="13.5" customHeight="1">
      <c r="P225" s="6"/>
      <c r="AD225" s="6"/>
      <c r="AR225" s="6"/>
      <c r="BF225" s="6"/>
      <c r="BT225" s="6"/>
      <c r="CH225" s="6"/>
    </row>
    <row r="226" ht="13.5" customHeight="1">
      <c r="P226" s="6"/>
      <c r="AD226" s="6"/>
      <c r="AR226" s="6"/>
      <c r="BF226" s="6"/>
      <c r="BT226" s="6"/>
      <c r="CH226" s="6"/>
    </row>
    <row r="227" ht="13.5" customHeight="1">
      <c r="P227" s="6"/>
      <c r="AD227" s="6"/>
      <c r="AR227" s="6"/>
      <c r="BF227" s="6"/>
      <c r="BT227" s="6"/>
      <c r="CH227" s="6"/>
    </row>
    <row r="228" ht="13.5" customHeight="1">
      <c r="P228" s="6"/>
      <c r="AD228" s="6"/>
      <c r="AR228" s="6"/>
      <c r="BF228" s="6"/>
      <c r="BT228" s="6"/>
      <c r="CH228" s="6"/>
    </row>
    <row r="229" ht="13.5" customHeight="1">
      <c r="P229" s="6"/>
      <c r="AD229" s="6"/>
      <c r="AR229" s="6"/>
      <c r="BF229" s="6"/>
      <c r="BT229" s="6"/>
      <c r="CH229" s="6"/>
    </row>
    <row r="230" ht="13.5" customHeight="1">
      <c r="P230" s="6"/>
      <c r="AD230" s="6"/>
      <c r="AR230" s="6"/>
      <c r="BF230" s="6"/>
      <c r="BT230" s="6"/>
      <c r="CH230" s="6"/>
    </row>
    <row r="231" ht="13.5" customHeight="1">
      <c r="P231" s="6"/>
      <c r="AD231" s="6"/>
      <c r="AR231" s="6"/>
      <c r="BF231" s="6"/>
      <c r="BT231" s="6"/>
      <c r="CH231" s="6"/>
    </row>
    <row r="232" ht="13.5" customHeight="1">
      <c r="P232" s="6"/>
      <c r="AD232" s="6"/>
      <c r="AR232" s="6"/>
      <c r="BF232" s="6"/>
      <c r="BT232" s="6"/>
      <c r="CH232" s="6"/>
    </row>
    <row r="233" ht="13.5" customHeight="1">
      <c r="P233" s="6"/>
      <c r="AD233" s="6"/>
      <c r="AR233" s="6"/>
      <c r="BF233" s="6"/>
      <c r="BT233" s="6"/>
      <c r="CH233" s="6"/>
    </row>
    <row r="234" ht="13.5" customHeight="1">
      <c r="P234" s="6"/>
      <c r="AD234" s="6"/>
      <c r="AR234" s="6"/>
      <c r="BF234" s="6"/>
      <c r="BT234" s="6"/>
      <c r="CH234" s="6"/>
    </row>
    <row r="235" ht="13.5" customHeight="1">
      <c r="P235" s="6"/>
      <c r="AD235" s="6"/>
      <c r="AR235" s="6"/>
      <c r="BF235" s="6"/>
      <c r="BT235" s="6"/>
      <c r="CH235" s="6"/>
    </row>
    <row r="236" ht="13.5" customHeight="1">
      <c r="P236" s="6"/>
      <c r="AD236" s="6"/>
      <c r="AR236" s="6"/>
      <c r="BF236" s="6"/>
      <c r="BT236" s="6"/>
      <c r="CH236" s="6"/>
    </row>
    <row r="237" ht="13.5" customHeight="1">
      <c r="P237" s="6"/>
      <c r="AD237" s="6"/>
      <c r="AR237" s="6"/>
      <c r="BF237" s="6"/>
      <c r="BT237" s="6"/>
      <c r="CH237" s="6"/>
    </row>
    <row r="238" ht="13.5" customHeight="1">
      <c r="P238" s="6"/>
      <c r="AD238" s="6"/>
      <c r="AR238" s="6"/>
      <c r="BF238" s="6"/>
      <c r="BT238" s="6"/>
      <c r="CH238" s="6"/>
    </row>
    <row r="239" ht="13.5" customHeight="1">
      <c r="P239" s="6"/>
      <c r="AD239" s="6"/>
      <c r="AR239" s="6"/>
      <c r="BF239" s="6"/>
      <c r="BT239" s="6"/>
      <c r="CH239" s="6"/>
    </row>
    <row r="240" ht="13.5" customHeight="1">
      <c r="P240" s="6"/>
      <c r="AD240" s="6"/>
      <c r="AR240" s="6"/>
      <c r="BF240" s="6"/>
      <c r="BT240" s="6"/>
      <c r="CH240" s="6"/>
    </row>
    <row r="241" ht="13.5" customHeight="1">
      <c r="P241" s="6"/>
      <c r="AD241" s="6"/>
      <c r="AR241" s="6"/>
      <c r="BF241" s="6"/>
      <c r="BT241" s="6"/>
      <c r="CH241" s="6"/>
    </row>
    <row r="242" ht="13.5" customHeight="1">
      <c r="P242" s="6"/>
      <c r="AD242" s="6"/>
      <c r="AR242" s="6"/>
      <c r="BF242" s="6"/>
      <c r="BT242" s="6"/>
      <c r="CH242" s="6"/>
    </row>
    <row r="243" ht="13.5" customHeight="1">
      <c r="P243" s="6"/>
      <c r="AD243" s="6"/>
      <c r="AR243" s="6"/>
      <c r="BF243" s="6"/>
      <c r="BT243" s="6"/>
      <c r="CH243" s="6"/>
    </row>
    <row r="244" ht="13.5" customHeight="1">
      <c r="P244" s="6"/>
      <c r="AD244" s="6"/>
      <c r="AR244" s="6"/>
      <c r="BF244" s="6"/>
      <c r="BT244" s="6"/>
      <c r="CH244" s="6"/>
    </row>
    <row r="245" ht="13.5" customHeight="1">
      <c r="P245" s="6"/>
      <c r="AD245" s="6"/>
      <c r="AR245" s="6"/>
      <c r="BF245" s="6"/>
      <c r="BT245" s="6"/>
      <c r="CH245" s="6"/>
    </row>
    <row r="246" ht="13.5" customHeight="1">
      <c r="P246" s="6"/>
      <c r="AD246" s="6"/>
      <c r="AR246" s="6"/>
      <c r="BF246" s="6"/>
      <c r="BT246" s="6"/>
      <c r="CH246" s="6"/>
    </row>
    <row r="247" ht="13.5" customHeight="1">
      <c r="P247" s="6"/>
      <c r="AD247" s="6"/>
      <c r="AR247" s="6"/>
      <c r="BF247" s="6"/>
      <c r="BT247" s="6"/>
      <c r="CH247" s="6"/>
    </row>
    <row r="248" ht="13.5" customHeight="1">
      <c r="P248" s="6"/>
      <c r="AD248" s="6"/>
      <c r="AR248" s="6"/>
      <c r="BF248" s="6"/>
      <c r="BT248" s="6"/>
      <c r="CH248" s="6"/>
    </row>
    <row r="249" ht="13.5" customHeight="1">
      <c r="P249" s="6"/>
      <c r="AD249" s="6"/>
      <c r="AR249" s="6"/>
      <c r="BF249" s="6"/>
      <c r="BT249" s="6"/>
      <c r="CH249" s="6"/>
    </row>
    <row r="250" ht="13.5" customHeight="1">
      <c r="P250" s="6"/>
      <c r="AD250" s="6"/>
      <c r="AR250" s="6"/>
      <c r="BF250" s="6"/>
      <c r="BT250" s="6"/>
      <c r="CH250" s="6"/>
    </row>
    <row r="251" ht="13.5" customHeight="1">
      <c r="P251" s="6"/>
      <c r="AD251" s="6"/>
      <c r="AR251" s="6"/>
      <c r="BF251" s="6"/>
      <c r="BT251" s="6"/>
      <c r="CH251" s="6"/>
    </row>
    <row r="252" ht="13.5" customHeight="1">
      <c r="P252" s="6"/>
      <c r="AD252" s="6"/>
      <c r="AR252" s="6"/>
      <c r="BF252" s="6"/>
      <c r="BT252" s="6"/>
      <c r="CH252" s="6"/>
    </row>
    <row r="253" ht="13.5" customHeight="1">
      <c r="P253" s="6"/>
      <c r="AD253" s="6"/>
      <c r="AR253" s="6"/>
      <c r="BF253" s="6"/>
      <c r="BT253" s="6"/>
      <c r="CH253" s="6"/>
    </row>
    <row r="254" ht="13.5" customHeight="1">
      <c r="P254" s="6"/>
      <c r="AD254" s="6"/>
      <c r="AR254" s="6"/>
      <c r="BF254" s="6"/>
      <c r="BT254" s="6"/>
      <c r="CH254" s="6"/>
    </row>
    <row r="255" ht="13.5" customHeight="1">
      <c r="P255" s="6"/>
      <c r="AD255" s="6"/>
      <c r="AR255" s="6"/>
      <c r="BF255" s="6"/>
      <c r="BT255" s="6"/>
      <c r="CH255" s="6"/>
    </row>
    <row r="256" ht="13.5" customHeight="1">
      <c r="P256" s="6"/>
      <c r="AD256" s="6"/>
      <c r="AR256" s="6"/>
      <c r="BF256" s="6"/>
      <c r="BT256" s="6"/>
      <c r="CH256" s="6"/>
    </row>
    <row r="257" ht="13.5" customHeight="1">
      <c r="P257" s="6"/>
      <c r="AD257" s="6"/>
      <c r="AR257" s="6"/>
      <c r="BF257" s="6"/>
      <c r="BT257" s="6"/>
      <c r="CH257" s="6"/>
    </row>
    <row r="258" ht="13.5" customHeight="1">
      <c r="P258" s="6"/>
      <c r="AD258" s="6"/>
      <c r="AR258" s="6"/>
      <c r="BF258" s="6"/>
      <c r="BT258" s="6"/>
      <c r="CH258" s="6"/>
    </row>
    <row r="259" ht="13.5" customHeight="1">
      <c r="P259" s="6"/>
      <c r="AD259" s="6"/>
      <c r="AR259" s="6"/>
      <c r="BF259" s="6"/>
      <c r="BT259" s="6"/>
      <c r="CH259" s="6"/>
    </row>
    <row r="260" ht="13.5" customHeight="1">
      <c r="P260" s="6"/>
      <c r="AD260" s="6"/>
      <c r="AR260" s="6"/>
      <c r="BF260" s="6"/>
      <c r="BT260" s="6"/>
      <c r="CH260" s="6"/>
    </row>
    <row r="261" ht="13.5" customHeight="1">
      <c r="P261" s="6"/>
      <c r="AD261" s="6"/>
      <c r="AR261" s="6"/>
      <c r="BF261" s="6"/>
      <c r="BT261" s="6"/>
      <c r="CH261" s="6"/>
    </row>
    <row r="262" ht="13.5" customHeight="1">
      <c r="P262" s="6"/>
      <c r="AD262" s="6"/>
      <c r="AR262" s="6"/>
      <c r="BF262" s="6"/>
      <c r="BT262" s="6"/>
      <c r="CH262" s="6"/>
    </row>
    <row r="263" ht="13.5" customHeight="1">
      <c r="P263" s="6"/>
      <c r="AD263" s="6"/>
      <c r="AR263" s="6"/>
      <c r="BF263" s="6"/>
      <c r="BT263" s="6"/>
      <c r="CH263" s="6"/>
    </row>
    <row r="264" ht="13.5" customHeight="1">
      <c r="P264" s="6"/>
      <c r="AD264" s="6"/>
      <c r="AR264" s="6"/>
      <c r="BF264" s="6"/>
      <c r="BT264" s="6"/>
      <c r="CH264" s="6"/>
    </row>
    <row r="265" ht="13.5" customHeight="1">
      <c r="P265" s="6"/>
      <c r="AD265" s="6"/>
      <c r="AR265" s="6"/>
      <c r="BF265" s="6"/>
      <c r="BT265" s="6"/>
      <c r="CH265" s="6"/>
    </row>
    <row r="266" ht="13.5" customHeight="1">
      <c r="P266" s="6"/>
      <c r="AD266" s="6"/>
      <c r="AR266" s="6"/>
      <c r="BF266" s="6"/>
      <c r="BT266" s="6"/>
      <c r="CH266" s="6"/>
    </row>
    <row r="267" ht="13.5" customHeight="1">
      <c r="P267" s="6"/>
      <c r="AD267" s="6"/>
      <c r="AR267" s="6"/>
      <c r="BF267" s="6"/>
      <c r="BT267" s="6"/>
      <c r="CH267" s="6"/>
    </row>
    <row r="268" ht="13.5" customHeight="1">
      <c r="P268" s="6"/>
      <c r="AD268" s="6"/>
      <c r="AR268" s="6"/>
      <c r="BF268" s="6"/>
      <c r="BT268" s="6"/>
      <c r="CH268" s="6"/>
    </row>
    <row r="269" ht="13.5" customHeight="1">
      <c r="P269" s="6"/>
      <c r="AD269" s="6"/>
      <c r="AR269" s="6"/>
      <c r="BF269" s="6"/>
      <c r="BT269" s="6"/>
      <c r="CH269" s="6"/>
    </row>
    <row r="270" ht="13.5" customHeight="1">
      <c r="P270" s="6"/>
      <c r="AD270" s="6"/>
      <c r="AR270" s="6"/>
      <c r="BF270" s="6"/>
      <c r="BT270" s="6"/>
      <c r="CH270" s="6"/>
    </row>
    <row r="271" ht="13.5" customHeight="1">
      <c r="P271" s="6"/>
      <c r="AD271" s="6"/>
      <c r="AR271" s="6"/>
      <c r="BF271" s="6"/>
      <c r="BT271" s="6"/>
      <c r="CH271" s="6"/>
    </row>
    <row r="272" ht="13.5" customHeight="1">
      <c r="P272" s="6"/>
      <c r="AD272" s="6"/>
      <c r="AR272" s="6"/>
      <c r="BF272" s="6"/>
      <c r="BT272" s="6"/>
      <c r="CH272" s="6"/>
    </row>
    <row r="273" ht="13.5" customHeight="1">
      <c r="P273" s="6"/>
      <c r="AD273" s="6"/>
      <c r="AR273" s="6"/>
      <c r="BF273" s="6"/>
      <c r="BT273" s="6"/>
      <c r="CH273" s="6"/>
    </row>
    <row r="274" ht="13.5" customHeight="1">
      <c r="P274" s="6"/>
      <c r="AD274" s="6"/>
      <c r="AR274" s="6"/>
      <c r="BF274" s="6"/>
      <c r="BT274" s="6"/>
      <c r="CH274" s="6"/>
    </row>
    <row r="275" ht="13.5" customHeight="1">
      <c r="P275" s="6"/>
      <c r="AD275" s="6"/>
      <c r="AR275" s="6"/>
      <c r="BF275" s="6"/>
      <c r="BT275" s="6"/>
      <c r="CH275" s="6"/>
    </row>
    <row r="276" ht="13.5" customHeight="1">
      <c r="P276" s="6"/>
      <c r="AD276" s="6"/>
      <c r="AR276" s="6"/>
      <c r="BF276" s="6"/>
      <c r="BT276" s="6"/>
      <c r="CH276" s="6"/>
    </row>
    <row r="277" ht="13.5" customHeight="1">
      <c r="P277" s="6"/>
      <c r="AD277" s="6"/>
      <c r="AR277" s="6"/>
      <c r="BF277" s="6"/>
      <c r="BT277" s="6"/>
      <c r="CH277" s="6"/>
    </row>
    <row r="278" ht="13.5" customHeight="1">
      <c r="P278" s="6"/>
      <c r="AD278" s="6"/>
      <c r="AR278" s="6"/>
      <c r="BF278" s="6"/>
      <c r="BT278" s="6"/>
      <c r="CH278" s="6"/>
    </row>
    <row r="279" ht="13.5" customHeight="1">
      <c r="P279" s="6"/>
      <c r="AD279" s="6"/>
      <c r="AR279" s="6"/>
      <c r="BF279" s="6"/>
      <c r="BT279" s="6"/>
      <c r="CH279" s="6"/>
    </row>
    <row r="280" ht="13.5" customHeight="1">
      <c r="P280" s="6"/>
      <c r="AD280" s="6"/>
      <c r="AR280" s="6"/>
      <c r="BF280" s="6"/>
      <c r="BT280" s="6"/>
      <c r="CH280" s="6"/>
    </row>
    <row r="281" ht="13.5" customHeight="1">
      <c r="P281" s="6"/>
      <c r="AD281" s="6"/>
      <c r="AR281" s="6"/>
      <c r="BF281" s="6"/>
      <c r="BT281" s="6"/>
      <c r="CH281" s="6"/>
    </row>
    <row r="282" ht="13.5" customHeight="1">
      <c r="P282" s="6"/>
      <c r="AD282" s="6"/>
      <c r="AR282" s="6"/>
      <c r="BF282" s="6"/>
      <c r="BT282" s="6"/>
      <c r="CH282" s="6"/>
    </row>
    <row r="283" ht="13.5" customHeight="1">
      <c r="P283" s="6"/>
      <c r="AD283" s="6"/>
      <c r="AR283" s="6"/>
      <c r="BF283" s="6"/>
      <c r="BT283" s="6"/>
      <c r="CH283" s="6"/>
    </row>
    <row r="284" ht="13.5" customHeight="1">
      <c r="P284" s="6"/>
      <c r="AD284" s="6"/>
      <c r="AR284" s="6"/>
      <c r="BF284" s="6"/>
      <c r="BT284" s="6"/>
      <c r="CH284" s="6"/>
    </row>
    <row r="285" ht="13.5" customHeight="1">
      <c r="P285" s="6"/>
      <c r="AD285" s="6"/>
      <c r="AR285" s="6"/>
      <c r="BF285" s="6"/>
      <c r="BT285" s="6"/>
      <c r="CH285" s="6"/>
    </row>
    <row r="286" ht="13.5" customHeight="1">
      <c r="P286" s="6"/>
      <c r="AD286" s="6"/>
      <c r="AR286" s="6"/>
      <c r="BF286" s="6"/>
      <c r="BT286" s="6"/>
      <c r="CH286" s="6"/>
    </row>
    <row r="287" ht="13.5" customHeight="1">
      <c r="P287" s="6"/>
      <c r="AD287" s="6"/>
      <c r="AR287" s="6"/>
      <c r="BF287" s="6"/>
      <c r="BT287" s="6"/>
      <c r="CH287" s="6"/>
    </row>
    <row r="288" ht="13.5" customHeight="1">
      <c r="P288" s="6"/>
      <c r="AD288" s="6"/>
      <c r="AR288" s="6"/>
      <c r="BF288" s="6"/>
      <c r="BT288" s="6"/>
      <c r="CH288" s="6"/>
    </row>
    <row r="289" ht="13.5" customHeight="1">
      <c r="P289" s="6"/>
      <c r="AD289" s="6"/>
      <c r="AR289" s="6"/>
      <c r="BF289" s="6"/>
      <c r="BT289" s="6"/>
      <c r="CH289" s="6"/>
    </row>
    <row r="290" ht="13.5" customHeight="1">
      <c r="P290" s="6"/>
      <c r="AD290" s="6"/>
      <c r="AR290" s="6"/>
      <c r="BF290" s="6"/>
      <c r="BT290" s="6"/>
      <c r="CH290" s="6"/>
    </row>
    <row r="291" ht="13.5" customHeight="1">
      <c r="P291" s="6"/>
      <c r="AD291" s="6"/>
      <c r="AR291" s="6"/>
      <c r="BF291" s="6"/>
      <c r="BT291" s="6"/>
      <c r="CH291" s="6"/>
    </row>
    <row r="292" ht="13.5" customHeight="1">
      <c r="P292" s="6"/>
      <c r="AD292" s="6"/>
      <c r="AR292" s="6"/>
      <c r="BF292" s="6"/>
      <c r="BT292" s="6"/>
      <c r="CH292" s="6"/>
    </row>
    <row r="293" ht="13.5" customHeight="1">
      <c r="P293" s="6"/>
      <c r="AD293" s="6"/>
      <c r="AR293" s="6"/>
      <c r="BF293" s="6"/>
      <c r="BT293" s="6"/>
      <c r="CH293" s="6"/>
    </row>
    <row r="294" ht="13.5" customHeight="1">
      <c r="P294" s="6"/>
      <c r="AD294" s="6"/>
      <c r="AR294" s="6"/>
      <c r="BF294" s="6"/>
      <c r="BT294" s="6"/>
      <c r="CH294" s="6"/>
    </row>
    <row r="295" ht="13.5" customHeight="1">
      <c r="P295" s="6"/>
      <c r="AD295" s="6"/>
      <c r="AR295" s="6"/>
      <c r="BF295" s="6"/>
      <c r="BT295" s="6"/>
      <c r="CH295" s="6"/>
    </row>
    <row r="296" ht="13.5" customHeight="1">
      <c r="P296" s="6"/>
      <c r="AD296" s="6"/>
      <c r="AR296" s="6"/>
      <c r="BF296" s="6"/>
      <c r="BT296" s="6"/>
      <c r="CH296" s="6"/>
    </row>
    <row r="297" ht="13.5" customHeight="1">
      <c r="P297" s="6"/>
      <c r="AD297" s="6"/>
      <c r="AR297" s="6"/>
      <c r="BF297" s="6"/>
      <c r="BT297" s="6"/>
      <c r="CH297" s="6"/>
    </row>
    <row r="298" ht="13.5" customHeight="1">
      <c r="P298" s="6"/>
      <c r="AD298" s="6"/>
      <c r="AR298" s="6"/>
      <c r="BF298" s="6"/>
      <c r="BT298" s="6"/>
      <c r="CH298" s="6"/>
    </row>
    <row r="299" ht="13.5" customHeight="1">
      <c r="P299" s="6"/>
      <c r="AD299" s="6"/>
      <c r="AR299" s="6"/>
      <c r="BF299" s="6"/>
      <c r="BT299" s="6"/>
      <c r="CH299" s="6"/>
    </row>
    <row r="300" ht="13.5" customHeight="1">
      <c r="P300" s="6"/>
      <c r="AD300" s="6"/>
      <c r="AR300" s="6"/>
      <c r="BF300" s="6"/>
      <c r="BT300" s="6"/>
      <c r="CH300" s="6"/>
    </row>
    <row r="301" ht="13.5" customHeight="1">
      <c r="P301" s="6"/>
      <c r="AD301" s="6"/>
      <c r="AR301" s="6"/>
      <c r="BF301" s="6"/>
      <c r="BT301" s="6"/>
      <c r="CH301" s="6"/>
    </row>
    <row r="302" ht="13.5" customHeight="1">
      <c r="P302" s="6"/>
      <c r="AD302" s="6"/>
      <c r="AR302" s="6"/>
      <c r="BF302" s="6"/>
      <c r="BT302" s="6"/>
      <c r="CH302" s="6"/>
    </row>
    <row r="303" ht="13.5" customHeight="1">
      <c r="P303" s="6"/>
      <c r="AD303" s="6"/>
      <c r="AR303" s="6"/>
      <c r="BF303" s="6"/>
      <c r="BT303" s="6"/>
      <c r="CH303" s="6"/>
    </row>
    <row r="304" ht="13.5" customHeight="1">
      <c r="P304" s="6"/>
      <c r="AD304" s="6"/>
      <c r="AR304" s="6"/>
      <c r="BF304" s="6"/>
      <c r="BT304" s="6"/>
      <c r="CH304" s="6"/>
    </row>
    <row r="305" ht="13.5" customHeight="1">
      <c r="P305" s="6"/>
      <c r="AD305" s="6"/>
      <c r="AR305" s="6"/>
      <c r="BF305" s="6"/>
      <c r="BT305" s="6"/>
      <c r="CH305" s="6"/>
    </row>
    <row r="306" ht="13.5" customHeight="1">
      <c r="P306" s="6"/>
      <c r="AD306" s="6"/>
      <c r="AR306" s="6"/>
      <c r="BF306" s="6"/>
      <c r="BT306" s="6"/>
      <c r="CH306" s="6"/>
    </row>
    <row r="307" ht="13.5" customHeight="1">
      <c r="P307" s="6"/>
      <c r="AD307" s="6"/>
      <c r="AR307" s="6"/>
      <c r="BF307" s="6"/>
      <c r="BT307" s="6"/>
      <c r="CH307" s="6"/>
    </row>
    <row r="308" ht="13.5" customHeight="1">
      <c r="P308" s="6"/>
      <c r="AD308" s="6"/>
      <c r="AR308" s="6"/>
      <c r="BF308" s="6"/>
      <c r="BT308" s="6"/>
      <c r="CH308" s="6"/>
    </row>
    <row r="309" ht="13.5" customHeight="1">
      <c r="P309" s="6"/>
      <c r="AD309" s="6"/>
      <c r="AR309" s="6"/>
      <c r="BF309" s="6"/>
      <c r="BT309" s="6"/>
      <c r="CH309" s="6"/>
    </row>
    <row r="310" ht="13.5" customHeight="1">
      <c r="P310" s="6"/>
      <c r="AD310" s="6"/>
      <c r="AR310" s="6"/>
      <c r="BF310" s="6"/>
      <c r="BT310" s="6"/>
      <c r="CH310" s="6"/>
    </row>
    <row r="311" ht="13.5" customHeight="1">
      <c r="P311" s="6"/>
      <c r="AD311" s="6"/>
      <c r="AR311" s="6"/>
      <c r="BF311" s="6"/>
      <c r="BT311" s="6"/>
      <c r="CH311" s="6"/>
    </row>
    <row r="312" ht="13.5" customHeight="1">
      <c r="P312" s="6"/>
      <c r="AD312" s="6"/>
      <c r="AR312" s="6"/>
      <c r="BF312" s="6"/>
      <c r="BT312" s="6"/>
      <c r="CH312" s="6"/>
    </row>
    <row r="313" ht="13.5" customHeight="1">
      <c r="P313" s="6"/>
      <c r="AD313" s="6"/>
      <c r="AR313" s="6"/>
      <c r="BF313" s="6"/>
      <c r="BT313" s="6"/>
      <c r="CH313" s="6"/>
    </row>
    <row r="314" ht="13.5" customHeight="1">
      <c r="P314" s="6"/>
      <c r="AD314" s="6"/>
      <c r="AR314" s="6"/>
      <c r="BF314" s="6"/>
      <c r="BT314" s="6"/>
      <c r="CH314" s="6"/>
    </row>
    <row r="315" ht="13.5" customHeight="1">
      <c r="P315" s="6"/>
      <c r="AD315" s="6"/>
      <c r="AR315" s="6"/>
      <c r="BF315" s="6"/>
      <c r="BT315" s="6"/>
      <c r="CH315" s="6"/>
    </row>
    <row r="316" ht="13.5" customHeight="1">
      <c r="P316" s="6"/>
      <c r="AD316" s="6"/>
      <c r="AR316" s="6"/>
      <c r="BF316" s="6"/>
      <c r="BT316" s="6"/>
      <c r="CH316" s="6"/>
    </row>
    <row r="317" ht="13.5" customHeight="1">
      <c r="P317" s="6"/>
      <c r="AD317" s="6"/>
      <c r="AR317" s="6"/>
      <c r="BF317" s="6"/>
      <c r="BT317" s="6"/>
      <c r="CH317" s="6"/>
    </row>
    <row r="318" ht="13.5" customHeight="1">
      <c r="P318" s="6"/>
      <c r="AD318" s="6"/>
      <c r="AR318" s="6"/>
      <c r="BF318" s="6"/>
      <c r="BT318" s="6"/>
      <c r="CH318" s="6"/>
    </row>
    <row r="319" ht="13.5" customHeight="1">
      <c r="P319" s="6"/>
      <c r="AD319" s="6"/>
      <c r="AR319" s="6"/>
      <c r="BF319" s="6"/>
      <c r="BT319" s="6"/>
      <c r="CH319" s="6"/>
    </row>
    <row r="320" ht="13.5" customHeight="1">
      <c r="P320" s="6"/>
      <c r="AD320" s="6"/>
      <c r="AR320" s="6"/>
      <c r="BF320" s="6"/>
      <c r="BT320" s="6"/>
      <c r="CH320" s="6"/>
    </row>
    <row r="321" ht="13.5" customHeight="1">
      <c r="P321" s="6"/>
      <c r="AD321" s="6"/>
      <c r="AR321" s="6"/>
      <c r="BF321" s="6"/>
      <c r="BT321" s="6"/>
      <c r="CH321" s="6"/>
    </row>
    <row r="322" ht="13.5" customHeight="1">
      <c r="P322" s="6"/>
      <c r="AD322" s="6"/>
      <c r="AR322" s="6"/>
      <c r="BF322" s="6"/>
      <c r="BT322" s="6"/>
      <c r="CH322" s="6"/>
    </row>
    <row r="323" ht="13.5" customHeight="1">
      <c r="P323" s="6"/>
      <c r="AD323" s="6"/>
      <c r="AR323" s="6"/>
      <c r="BF323" s="6"/>
      <c r="BT323" s="6"/>
      <c r="CH323" s="6"/>
    </row>
    <row r="324" ht="13.5" customHeight="1">
      <c r="P324" s="6"/>
      <c r="AD324" s="6"/>
      <c r="AR324" s="6"/>
      <c r="BF324" s="6"/>
      <c r="BT324" s="6"/>
      <c r="CH324" s="6"/>
    </row>
    <row r="325" ht="13.5" customHeight="1">
      <c r="P325" s="6"/>
      <c r="AD325" s="6"/>
      <c r="AR325" s="6"/>
      <c r="BF325" s="6"/>
      <c r="BT325" s="6"/>
      <c r="CH325" s="6"/>
    </row>
    <row r="326" ht="13.5" customHeight="1">
      <c r="P326" s="6"/>
      <c r="AD326" s="6"/>
      <c r="AR326" s="6"/>
      <c r="BF326" s="6"/>
      <c r="BT326" s="6"/>
      <c r="CH326" s="6"/>
    </row>
    <row r="327" ht="13.5" customHeight="1">
      <c r="P327" s="6"/>
      <c r="AD327" s="6"/>
      <c r="AR327" s="6"/>
      <c r="BF327" s="6"/>
      <c r="BT327" s="6"/>
      <c r="CH327" s="6"/>
    </row>
    <row r="328" ht="13.5" customHeight="1">
      <c r="P328" s="6"/>
      <c r="AD328" s="6"/>
      <c r="AR328" s="6"/>
      <c r="BF328" s="6"/>
      <c r="BT328" s="6"/>
      <c r="CH328" s="6"/>
    </row>
    <row r="329" ht="13.5" customHeight="1">
      <c r="P329" s="6"/>
      <c r="AD329" s="6"/>
      <c r="AR329" s="6"/>
      <c r="BF329" s="6"/>
      <c r="BT329" s="6"/>
      <c r="CH329" s="6"/>
    </row>
    <row r="330" ht="13.5" customHeight="1">
      <c r="P330" s="6"/>
      <c r="AD330" s="6"/>
      <c r="AR330" s="6"/>
      <c r="BF330" s="6"/>
      <c r="BT330" s="6"/>
      <c r="CH330" s="6"/>
    </row>
    <row r="331" ht="13.5" customHeight="1">
      <c r="P331" s="6"/>
      <c r="AD331" s="6"/>
      <c r="AR331" s="6"/>
      <c r="BF331" s="6"/>
      <c r="BT331" s="6"/>
      <c r="CH331" s="6"/>
    </row>
    <row r="332" ht="13.5" customHeight="1">
      <c r="P332" s="6"/>
      <c r="AD332" s="6"/>
      <c r="AR332" s="6"/>
      <c r="BF332" s="6"/>
      <c r="BT332" s="6"/>
      <c r="CH332" s="6"/>
    </row>
    <row r="333" ht="13.5" customHeight="1">
      <c r="P333" s="6"/>
      <c r="AD333" s="6"/>
      <c r="AR333" s="6"/>
      <c r="BF333" s="6"/>
      <c r="BT333" s="6"/>
      <c r="CH333" s="6"/>
    </row>
    <row r="334" ht="13.5" customHeight="1">
      <c r="P334" s="6"/>
      <c r="AD334" s="6"/>
      <c r="AR334" s="6"/>
      <c r="BF334" s="6"/>
      <c r="BT334" s="6"/>
      <c r="CH334" s="6"/>
    </row>
    <row r="335" ht="13.5" customHeight="1">
      <c r="P335" s="6"/>
      <c r="AD335" s="6"/>
      <c r="AR335" s="6"/>
      <c r="BF335" s="6"/>
      <c r="BT335" s="6"/>
      <c r="CH335" s="6"/>
    </row>
    <row r="336" ht="13.5" customHeight="1">
      <c r="P336" s="6"/>
      <c r="AD336" s="6"/>
      <c r="AR336" s="6"/>
      <c r="BF336" s="6"/>
      <c r="BT336" s="6"/>
      <c r="CH336" s="6"/>
    </row>
    <row r="337" ht="13.5" customHeight="1">
      <c r="P337" s="6"/>
      <c r="AD337" s="6"/>
      <c r="AR337" s="6"/>
      <c r="BF337" s="6"/>
      <c r="BT337" s="6"/>
      <c r="CH337" s="6"/>
    </row>
    <row r="338" ht="13.5" customHeight="1">
      <c r="P338" s="6"/>
      <c r="AD338" s="6"/>
      <c r="AR338" s="6"/>
      <c r="BF338" s="6"/>
      <c r="BT338" s="6"/>
      <c r="CH338" s="6"/>
    </row>
    <row r="339" ht="13.5" customHeight="1">
      <c r="P339" s="6"/>
      <c r="AD339" s="6"/>
      <c r="AR339" s="6"/>
      <c r="BF339" s="6"/>
      <c r="BT339" s="6"/>
      <c r="CH339" s="6"/>
    </row>
    <row r="340" ht="13.5" customHeight="1">
      <c r="P340" s="6"/>
      <c r="AD340" s="6"/>
      <c r="AR340" s="6"/>
      <c r="BF340" s="6"/>
      <c r="BT340" s="6"/>
      <c r="CH340" s="6"/>
    </row>
    <row r="341" ht="13.5" customHeight="1">
      <c r="P341" s="6"/>
      <c r="AD341" s="6"/>
      <c r="AR341" s="6"/>
      <c r="BF341" s="6"/>
      <c r="BT341" s="6"/>
      <c r="CH341" s="6"/>
    </row>
    <row r="342" ht="13.5" customHeight="1">
      <c r="P342" s="6"/>
      <c r="AD342" s="6"/>
      <c r="AR342" s="6"/>
      <c r="BF342" s="6"/>
      <c r="BT342" s="6"/>
      <c r="CH342" s="6"/>
    </row>
    <row r="343" ht="13.5" customHeight="1">
      <c r="P343" s="6"/>
      <c r="AD343" s="6"/>
      <c r="AR343" s="6"/>
      <c r="BF343" s="6"/>
      <c r="BT343" s="6"/>
      <c r="CH343" s="6"/>
    </row>
    <row r="344" ht="13.5" customHeight="1">
      <c r="P344" s="6"/>
      <c r="AD344" s="6"/>
      <c r="AR344" s="6"/>
      <c r="BF344" s="6"/>
      <c r="BT344" s="6"/>
      <c r="CH344" s="6"/>
    </row>
    <row r="345" ht="13.5" customHeight="1">
      <c r="P345" s="6"/>
      <c r="AD345" s="6"/>
      <c r="AR345" s="6"/>
      <c r="BF345" s="6"/>
      <c r="BT345" s="6"/>
      <c r="CH345" s="6"/>
    </row>
    <row r="346" ht="13.5" customHeight="1">
      <c r="P346" s="6"/>
      <c r="AD346" s="6"/>
      <c r="AR346" s="6"/>
      <c r="BF346" s="6"/>
      <c r="BT346" s="6"/>
      <c r="CH346" s="6"/>
    </row>
    <row r="347" ht="13.5" customHeight="1">
      <c r="P347" s="6"/>
      <c r="AD347" s="6"/>
      <c r="AR347" s="6"/>
      <c r="BF347" s="6"/>
      <c r="BT347" s="6"/>
      <c r="CH347" s="6"/>
    </row>
    <row r="348" ht="13.5" customHeight="1">
      <c r="P348" s="6"/>
      <c r="AD348" s="6"/>
      <c r="AR348" s="6"/>
      <c r="BF348" s="6"/>
      <c r="BT348" s="6"/>
      <c r="CH348" s="6"/>
    </row>
    <row r="349" ht="13.5" customHeight="1">
      <c r="P349" s="6"/>
      <c r="AD349" s="6"/>
      <c r="AR349" s="6"/>
      <c r="BF349" s="6"/>
      <c r="BT349" s="6"/>
      <c r="CH349" s="6"/>
    </row>
    <row r="350" ht="13.5" customHeight="1">
      <c r="P350" s="6"/>
      <c r="AD350" s="6"/>
      <c r="AR350" s="6"/>
      <c r="BF350" s="6"/>
      <c r="BT350" s="6"/>
      <c r="CH350" s="6"/>
    </row>
    <row r="351" ht="13.5" customHeight="1">
      <c r="P351" s="6"/>
      <c r="AD351" s="6"/>
      <c r="AR351" s="6"/>
      <c r="BF351" s="6"/>
      <c r="BT351" s="6"/>
      <c r="CH351" s="6"/>
    </row>
    <row r="352" ht="13.5" customHeight="1">
      <c r="P352" s="6"/>
      <c r="AD352" s="6"/>
      <c r="AR352" s="6"/>
      <c r="BF352" s="6"/>
      <c r="BT352" s="6"/>
      <c r="CH352" s="6"/>
    </row>
    <row r="353" ht="13.5" customHeight="1">
      <c r="P353" s="6"/>
      <c r="AD353" s="6"/>
      <c r="AR353" s="6"/>
      <c r="BF353" s="6"/>
      <c r="BT353" s="6"/>
      <c r="CH353" s="6"/>
    </row>
    <row r="354" ht="13.5" customHeight="1">
      <c r="P354" s="6"/>
      <c r="AD354" s="6"/>
      <c r="AR354" s="6"/>
      <c r="BF354" s="6"/>
      <c r="BT354" s="6"/>
      <c r="CH354" s="6"/>
    </row>
    <row r="355" ht="13.5" customHeight="1">
      <c r="P355" s="6"/>
      <c r="AD355" s="6"/>
      <c r="AR355" s="6"/>
      <c r="BF355" s="6"/>
      <c r="BT355" s="6"/>
      <c r="CH355" s="6"/>
    </row>
    <row r="356" ht="13.5" customHeight="1">
      <c r="P356" s="6"/>
      <c r="AD356" s="6"/>
      <c r="AR356" s="6"/>
      <c r="BF356" s="6"/>
      <c r="BT356" s="6"/>
      <c r="CH356" s="6"/>
    </row>
    <row r="357" ht="13.5" customHeight="1">
      <c r="P357" s="6"/>
      <c r="AD357" s="6"/>
      <c r="AR357" s="6"/>
      <c r="BF357" s="6"/>
      <c r="BT357" s="6"/>
      <c r="CH357" s="6"/>
    </row>
    <row r="358" ht="13.5" customHeight="1">
      <c r="P358" s="6"/>
      <c r="AD358" s="6"/>
      <c r="AR358" s="6"/>
      <c r="BF358" s="6"/>
      <c r="BT358" s="6"/>
      <c r="CH358" s="6"/>
    </row>
    <row r="359" ht="13.5" customHeight="1">
      <c r="P359" s="6"/>
      <c r="AD359" s="6"/>
      <c r="AR359" s="6"/>
      <c r="BF359" s="6"/>
      <c r="BT359" s="6"/>
      <c r="CH359" s="6"/>
    </row>
    <row r="360" ht="13.5" customHeight="1">
      <c r="P360" s="6"/>
      <c r="AD360" s="6"/>
      <c r="AR360" s="6"/>
      <c r="BF360" s="6"/>
      <c r="BT360" s="6"/>
      <c r="CH360" s="6"/>
    </row>
    <row r="361" ht="13.5" customHeight="1">
      <c r="P361" s="6"/>
      <c r="AD361" s="6"/>
      <c r="AR361" s="6"/>
      <c r="BF361" s="6"/>
      <c r="BT361" s="6"/>
      <c r="CH361" s="6"/>
    </row>
    <row r="362" ht="13.5" customHeight="1">
      <c r="P362" s="6"/>
      <c r="AD362" s="6"/>
      <c r="AR362" s="6"/>
      <c r="BF362" s="6"/>
      <c r="BT362" s="6"/>
      <c r="CH362" s="6"/>
    </row>
    <row r="363" ht="13.5" customHeight="1">
      <c r="P363" s="6"/>
      <c r="AD363" s="6"/>
      <c r="AR363" s="6"/>
      <c r="BF363" s="6"/>
      <c r="BT363" s="6"/>
      <c r="CH363" s="6"/>
    </row>
    <row r="364" ht="13.5" customHeight="1">
      <c r="P364" s="6"/>
      <c r="AD364" s="6"/>
      <c r="AR364" s="6"/>
      <c r="BF364" s="6"/>
      <c r="BT364" s="6"/>
      <c r="CH364" s="6"/>
    </row>
    <row r="365" ht="13.5" customHeight="1">
      <c r="P365" s="6"/>
      <c r="AD365" s="6"/>
      <c r="AR365" s="6"/>
      <c r="BF365" s="6"/>
      <c r="BT365" s="6"/>
      <c r="CH365" s="6"/>
    </row>
    <row r="366" ht="13.5" customHeight="1">
      <c r="P366" s="6"/>
      <c r="AD366" s="6"/>
      <c r="AR366" s="6"/>
      <c r="BF366" s="6"/>
      <c r="BT366" s="6"/>
      <c r="CH366" s="6"/>
    </row>
    <row r="367" ht="13.5" customHeight="1">
      <c r="P367" s="6"/>
      <c r="AD367" s="6"/>
      <c r="AR367" s="6"/>
      <c r="BF367" s="6"/>
      <c r="BT367" s="6"/>
      <c r="CH367" s="6"/>
    </row>
    <row r="368" ht="13.5" customHeight="1">
      <c r="P368" s="6"/>
      <c r="AD368" s="6"/>
      <c r="AR368" s="6"/>
      <c r="BF368" s="6"/>
      <c r="BT368" s="6"/>
      <c r="CH368" s="6"/>
    </row>
    <row r="369" ht="13.5" customHeight="1">
      <c r="P369" s="6"/>
      <c r="AD369" s="6"/>
      <c r="AR369" s="6"/>
      <c r="BF369" s="6"/>
      <c r="BT369" s="6"/>
      <c r="CH369" s="6"/>
    </row>
    <row r="370" ht="13.5" customHeight="1">
      <c r="P370" s="6"/>
      <c r="AD370" s="6"/>
      <c r="AR370" s="6"/>
      <c r="BF370" s="6"/>
      <c r="BT370" s="6"/>
      <c r="CH370" s="6"/>
    </row>
    <row r="371" ht="13.5" customHeight="1">
      <c r="P371" s="6"/>
      <c r="AD371" s="6"/>
      <c r="AR371" s="6"/>
      <c r="BF371" s="6"/>
      <c r="BT371" s="6"/>
      <c r="CH371" s="6"/>
    </row>
    <row r="372" ht="13.5" customHeight="1">
      <c r="P372" s="6"/>
      <c r="AD372" s="6"/>
      <c r="AR372" s="6"/>
      <c r="BF372" s="6"/>
      <c r="BT372" s="6"/>
      <c r="CH372" s="6"/>
    </row>
    <row r="373" ht="13.5" customHeight="1">
      <c r="P373" s="6"/>
      <c r="AD373" s="6"/>
      <c r="AR373" s="6"/>
      <c r="BF373" s="6"/>
      <c r="BT373" s="6"/>
      <c r="CH373" s="6"/>
    </row>
    <row r="374" ht="13.5" customHeight="1">
      <c r="P374" s="6"/>
      <c r="AD374" s="6"/>
      <c r="AR374" s="6"/>
      <c r="BF374" s="6"/>
      <c r="BT374" s="6"/>
      <c r="CH374" s="6"/>
    </row>
    <row r="375" ht="13.5" customHeight="1">
      <c r="P375" s="6"/>
      <c r="AD375" s="6"/>
      <c r="AR375" s="6"/>
      <c r="BF375" s="6"/>
      <c r="BT375" s="6"/>
      <c r="CH375" s="6"/>
    </row>
    <row r="376" ht="13.5" customHeight="1">
      <c r="P376" s="6"/>
      <c r="AD376" s="6"/>
      <c r="AR376" s="6"/>
      <c r="BF376" s="6"/>
      <c r="BT376" s="6"/>
      <c r="CH376" s="6"/>
    </row>
    <row r="377" ht="13.5" customHeight="1">
      <c r="P377" s="6"/>
      <c r="AD377" s="6"/>
      <c r="AR377" s="6"/>
      <c r="BF377" s="6"/>
      <c r="BT377" s="6"/>
      <c r="CH377" s="6"/>
    </row>
    <row r="378" ht="13.5" customHeight="1">
      <c r="P378" s="6"/>
      <c r="AD378" s="6"/>
      <c r="AR378" s="6"/>
      <c r="BF378" s="6"/>
      <c r="BT378" s="6"/>
      <c r="CH378" s="6"/>
    </row>
    <row r="379" ht="13.5" customHeight="1">
      <c r="P379" s="6"/>
      <c r="AD379" s="6"/>
      <c r="AR379" s="6"/>
      <c r="BF379" s="6"/>
      <c r="BT379" s="6"/>
      <c r="CH379" s="6"/>
    </row>
    <row r="380" ht="13.5" customHeight="1">
      <c r="P380" s="6"/>
      <c r="AD380" s="6"/>
      <c r="AR380" s="6"/>
      <c r="BF380" s="6"/>
      <c r="BT380" s="6"/>
      <c r="CH380" s="6"/>
    </row>
    <row r="381" ht="13.5" customHeight="1">
      <c r="P381" s="6"/>
      <c r="AD381" s="6"/>
      <c r="AR381" s="6"/>
      <c r="BF381" s="6"/>
      <c r="BT381" s="6"/>
      <c r="CH381" s="6"/>
    </row>
    <row r="382" ht="13.5" customHeight="1">
      <c r="P382" s="6"/>
      <c r="AD382" s="6"/>
      <c r="AR382" s="6"/>
      <c r="BF382" s="6"/>
      <c r="BT382" s="6"/>
      <c r="CH382" s="6"/>
    </row>
    <row r="383" ht="13.5" customHeight="1">
      <c r="P383" s="6"/>
      <c r="AD383" s="6"/>
      <c r="AR383" s="6"/>
      <c r="BF383" s="6"/>
      <c r="BT383" s="6"/>
      <c r="CH383" s="6"/>
    </row>
    <row r="384" ht="13.5" customHeight="1">
      <c r="P384" s="6"/>
      <c r="AD384" s="6"/>
      <c r="AR384" s="6"/>
      <c r="BF384" s="6"/>
      <c r="BT384" s="6"/>
      <c r="CH384" s="6"/>
    </row>
    <row r="385" ht="13.5" customHeight="1">
      <c r="P385" s="6"/>
      <c r="AD385" s="6"/>
      <c r="AR385" s="6"/>
      <c r="BF385" s="6"/>
      <c r="BT385" s="6"/>
      <c r="CH385" s="6"/>
    </row>
    <row r="386" ht="13.5" customHeight="1">
      <c r="P386" s="6"/>
      <c r="AD386" s="6"/>
      <c r="AR386" s="6"/>
      <c r="BF386" s="6"/>
      <c r="BT386" s="6"/>
      <c r="CH386" s="6"/>
    </row>
    <row r="387" ht="13.5" customHeight="1">
      <c r="P387" s="6"/>
      <c r="AD387" s="6"/>
      <c r="AR387" s="6"/>
      <c r="BF387" s="6"/>
      <c r="BT387" s="6"/>
      <c r="CH387" s="6"/>
    </row>
    <row r="388" ht="13.5" customHeight="1">
      <c r="P388" s="6"/>
      <c r="AD388" s="6"/>
      <c r="AR388" s="6"/>
      <c r="BF388" s="6"/>
      <c r="BT388" s="6"/>
      <c r="CH388" s="6"/>
    </row>
    <row r="389" ht="13.5" customHeight="1">
      <c r="P389" s="6"/>
      <c r="AD389" s="6"/>
      <c r="AR389" s="6"/>
      <c r="BF389" s="6"/>
      <c r="BT389" s="6"/>
      <c r="CH389" s="6"/>
    </row>
    <row r="390" ht="13.5" customHeight="1">
      <c r="P390" s="6"/>
      <c r="AD390" s="6"/>
      <c r="AR390" s="6"/>
      <c r="BF390" s="6"/>
      <c r="BT390" s="6"/>
      <c r="CH390" s="6"/>
    </row>
    <row r="391" ht="13.5" customHeight="1">
      <c r="P391" s="6"/>
      <c r="AD391" s="6"/>
      <c r="AR391" s="6"/>
      <c r="BF391" s="6"/>
      <c r="BT391" s="6"/>
      <c r="CH391" s="6"/>
    </row>
    <row r="392" ht="13.5" customHeight="1">
      <c r="P392" s="6"/>
      <c r="AD392" s="6"/>
      <c r="AR392" s="6"/>
      <c r="BF392" s="6"/>
      <c r="BT392" s="6"/>
      <c r="CH392" s="6"/>
    </row>
    <row r="393" ht="13.5" customHeight="1">
      <c r="P393" s="6"/>
      <c r="AD393" s="6"/>
      <c r="AR393" s="6"/>
      <c r="BF393" s="6"/>
      <c r="BT393" s="6"/>
      <c r="CH393" s="6"/>
    </row>
    <row r="394" ht="13.5" customHeight="1">
      <c r="P394" s="6"/>
      <c r="AD394" s="6"/>
      <c r="AR394" s="6"/>
      <c r="BF394" s="6"/>
      <c r="BT394" s="6"/>
      <c r="CH394" s="6"/>
    </row>
    <row r="395" ht="13.5" customHeight="1">
      <c r="P395" s="6"/>
      <c r="AD395" s="6"/>
      <c r="AR395" s="6"/>
      <c r="BF395" s="6"/>
      <c r="BT395" s="6"/>
      <c r="CH395" s="6"/>
    </row>
    <row r="396" ht="13.5" customHeight="1">
      <c r="P396" s="6"/>
      <c r="AD396" s="6"/>
      <c r="AR396" s="6"/>
      <c r="BF396" s="6"/>
      <c r="BT396" s="6"/>
      <c r="CH396" s="6"/>
    </row>
    <row r="397" ht="13.5" customHeight="1">
      <c r="P397" s="6"/>
      <c r="AD397" s="6"/>
      <c r="AR397" s="6"/>
      <c r="BF397" s="6"/>
      <c r="BT397" s="6"/>
      <c r="CH397" s="6"/>
    </row>
    <row r="398" ht="13.5" customHeight="1">
      <c r="P398" s="6"/>
      <c r="AD398" s="6"/>
      <c r="AR398" s="6"/>
      <c r="BF398" s="6"/>
      <c r="BT398" s="6"/>
      <c r="CH398" s="6"/>
    </row>
    <row r="399" ht="13.5" customHeight="1">
      <c r="P399" s="6"/>
      <c r="AD399" s="6"/>
      <c r="AR399" s="6"/>
      <c r="BF399" s="6"/>
      <c r="BT399" s="6"/>
      <c r="CH399" s="6"/>
    </row>
    <row r="400" ht="13.5" customHeight="1">
      <c r="P400" s="6"/>
      <c r="AD400" s="6"/>
      <c r="AR400" s="6"/>
      <c r="BF400" s="6"/>
      <c r="BT400" s="6"/>
      <c r="CH400" s="6"/>
    </row>
    <row r="401" ht="13.5" customHeight="1">
      <c r="P401" s="6"/>
      <c r="AD401" s="6"/>
      <c r="AR401" s="6"/>
      <c r="BF401" s="6"/>
      <c r="BT401" s="6"/>
      <c r="CH401" s="6"/>
    </row>
    <row r="402" ht="13.5" customHeight="1">
      <c r="P402" s="6"/>
      <c r="AD402" s="6"/>
      <c r="AR402" s="6"/>
      <c r="BF402" s="6"/>
      <c r="BT402" s="6"/>
      <c r="CH402" s="6"/>
    </row>
    <row r="403" ht="13.5" customHeight="1">
      <c r="P403" s="6"/>
      <c r="AD403" s="6"/>
      <c r="AR403" s="6"/>
      <c r="BF403" s="6"/>
      <c r="BT403" s="6"/>
      <c r="CH403" s="6"/>
    </row>
    <row r="404" ht="13.5" customHeight="1">
      <c r="P404" s="6"/>
      <c r="AD404" s="6"/>
      <c r="AR404" s="6"/>
      <c r="BF404" s="6"/>
      <c r="BT404" s="6"/>
      <c r="CH404" s="6"/>
    </row>
    <row r="405" ht="13.5" customHeight="1">
      <c r="P405" s="6"/>
      <c r="AD405" s="6"/>
      <c r="AR405" s="6"/>
      <c r="BF405" s="6"/>
      <c r="BT405" s="6"/>
      <c r="CH405" s="6"/>
    </row>
    <row r="406" ht="13.5" customHeight="1">
      <c r="P406" s="6"/>
      <c r="AD406" s="6"/>
      <c r="AR406" s="6"/>
      <c r="BF406" s="6"/>
      <c r="BT406" s="6"/>
      <c r="CH406" s="6"/>
    </row>
    <row r="407" ht="13.5" customHeight="1">
      <c r="P407" s="6"/>
      <c r="AD407" s="6"/>
      <c r="AR407" s="6"/>
      <c r="BF407" s="6"/>
      <c r="BT407" s="6"/>
      <c r="CH407" s="6"/>
    </row>
    <row r="408" ht="13.5" customHeight="1">
      <c r="P408" s="6"/>
      <c r="AD408" s="6"/>
      <c r="AR408" s="6"/>
      <c r="BF408" s="6"/>
      <c r="BT408" s="6"/>
      <c r="CH408" s="6"/>
    </row>
    <row r="409" ht="13.5" customHeight="1">
      <c r="P409" s="6"/>
      <c r="AD409" s="6"/>
      <c r="AR409" s="6"/>
      <c r="BF409" s="6"/>
      <c r="BT409" s="6"/>
      <c r="CH409" s="6"/>
    </row>
    <row r="410" ht="13.5" customHeight="1">
      <c r="P410" s="6"/>
      <c r="AD410" s="6"/>
      <c r="AR410" s="6"/>
      <c r="BF410" s="6"/>
      <c r="BT410" s="6"/>
      <c r="CH410" s="6"/>
    </row>
    <row r="411" ht="13.5" customHeight="1">
      <c r="P411" s="6"/>
      <c r="AD411" s="6"/>
      <c r="AR411" s="6"/>
      <c r="BF411" s="6"/>
      <c r="BT411" s="6"/>
      <c r="CH411" s="6"/>
    </row>
    <row r="412" ht="13.5" customHeight="1">
      <c r="P412" s="6"/>
      <c r="AD412" s="6"/>
      <c r="AR412" s="6"/>
      <c r="BF412" s="6"/>
      <c r="BT412" s="6"/>
      <c r="CH412" s="6"/>
    </row>
    <row r="413" ht="13.5" customHeight="1">
      <c r="P413" s="6"/>
      <c r="AD413" s="6"/>
      <c r="AR413" s="6"/>
      <c r="BF413" s="6"/>
      <c r="BT413" s="6"/>
      <c r="CH413" s="6"/>
    </row>
    <row r="414" ht="13.5" customHeight="1">
      <c r="P414" s="6"/>
      <c r="AD414" s="6"/>
      <c r="AR414" s="6"/>
      <c r="BF414" s="6"/>
      <c r="BT414" s="6"/>
      <c r="CH414" s="6"/>
    </row>
    <row r="415" ht="13.5" customHeight="1">
      <c r="P415" s="6"/>
      <c r="AD415" s="6"/>
      <c r="AR415" s="6"/>
      <c r="BF415" s="6"/>
      <c r="BT415" s="6"/>
      <c r="CH415" s="6"/>
    </row>
    <row r="416" ht="13.5" customHeight="1">
      <c r="P416" s="6"/>
      <c r="AD416" s="6"/>
      <c r="AR416" s="6"/>
      <c r="BF416" s="6"/>
      <c r="BT416" s="6"/>
      <c r="CH416" s="6"/>
    </row>
    <row r="417" ht="13.5" customHeight="1">
      <c r="P417" s="6"/>
      <c r="AD417" s="6"/>
      <c r="AR417" s="6"/>
      <c r="BF417" s="6"/>
      <c r="BT417" s="6"/>
      <c r="CH417" s="6"/>
    </row>
    <row r="418" ht="13.5" customHeight="1">
      <c r="P418" s="6"/>
      <c r="AD418" s="6"/>
      <c r="AR418" s="6"/>
      <c r="BF418" s="6"/>
      <c r="BT418" s="6"/>
      <c r="CH418" s="6"/>
    </row>
    <row r="419" ht="13.5" customHeight="1">
      <c r="P419" s="6"/>
      <c r="AD419" s="6"/>
      <c r="AR419" s="6"/>
      <c r="BF419" s="6"/>
      <c r="BT419" s="6"/>
      <c r="CH419" s="6"/>
    </row>
    <row r="420" ht="13.5" customHeight="1">
      <c r="P420" s="6"/>
      <c r="AD420" s="6"/>
      <c r="AR420" s="6"/>
      <c r="BF420" s="6"/>
      <c r="BT420" s="6"/>
      <c r="CH420" s="6"/>
    </row>
    <row r="421" ht="13.5" customHeight="1">
      <c r="P421" s="6"/>
      <c r="AD421" s="6"/>
      <c r="AR421" s="6"/>
      <c r="BF421" s="6"/>
      <c r="BT421" s="6"/>
      <c r="CH421" s="6"/>
    </row>
    <row r="422" ht="13.5" customHeight="1">
      <c r="P422" s="6"/>
      <c r="AD422" s="6"/>
      <c r="AR422" s="6"/>
      <c r="BF422" s="6"/>
      <c r="BT422" s="6"/>
      <c r="CH422" s="6"/>
    </row>
    <row r="423" ht="13.5" customHeight="1">
      <c r="P423" s="6"/>
      <c r="AD423" s="6"/>
      <c r="AR423" s="6"/>
      <c r="BF423" s="6"/>
      <c r="BT423" s="6"/>
      <c r="CH423" s="6"/>
    </row>
    <row r="424" ht="13.5" customHeight="1">
      <c r="P424" s="6"/>
      <c r="AD424" s="6"/>
      <c r="AR424" s="6"/>
      <c r="BF424" s="6"/>
      <c r="BT424" s="6"/>
      <c r="CH424" s="6"/>
    </row>
    <row r="425" ht="13.5" customHeight="1">
      <c r="P425" s="6"/>
      <c r="AD425" s="6"/>
      <c r="AR425" s="6"/>
      <c r="BF425" s="6"/>
      <c r="BT425" s="6"/>
      <c r="CH425" s="6"/>
    </row>
    <row r="426" ht="13.5" customHeight="1">
      <c r="P426" s="6"/>
      <c r="AD426" s="6"/>
      <c r="AR426" s="6"/>
      <c r="BF426" s="6"/>
      <c r="BT426" s="6"/>
      <c r="CH426" s="6"/>
    </row>
    <row r="427" ht="13.5" customHeight="1">
      <c r="P427" s="6"/>
      <c r="AD427" s="6"/>
      <c r="AR427" s="6"/>
      <c r="BF427" s="6"/>
      <c r="BT427" s="6"/>
      <c r="CH427" s="6"/>
    </row>
    <row r="428" ht="13.5" customHeight="1">
      <c r="P428" s="6"/>
      <c r="AD428" s="6"/>
      <c r="AR428" s="6"/>
      <c r="BF428" s="6"/>
      <c r="BT428" s="6"/>
      <c r="CH428" s="6"/>
    </row>
    <row r="429" ht="13.5" customHeight="1">
      <c r="P429" s="6"/>
      <c r="AD429" s="6"/>
      <c r="AR429" s="6"/>
      <c r="BF429" s="6"/>
      <c r="BT429" s="6"/>
      <c r="CH429" s="6"/>
    </row>
    <row r="430" ht="13.5" customHeight="1">
      <c r="P430" s="6"/>
      <c r="AD430" s="6"/>
      <c r="AR430" s="6"/>
      <c r="BF430" s="6"/>
      <c r="BT430" s="6"/>
      <c r="CH430" s="6"/>
    </row>
    <row r="431" ht="13.5" customHeight="1">
      <c r="P431" s="6"/>
      <c r="AD431" s="6"/>
      <c r="AR431" s="6"/>
      <c r="BF431" s="6"/>
      <c r="BT431" s="6"/>
      <c r="CH431" s="6"/>
    </row>
    <row r="432" ht="13.5" customHeight="1">
      <c r="P432" s="6"/>
      <c r="AD432" s="6"/>
      <c r="AR432" s="6"/>
      <c r="BF432" s="6"/>
      <c r="BT432" s="6"/>
      <c r="CH432" s="6"/>
    </row>
    <row r="433" ht="13.5" customHeight="1">
      <c r="P433" s="6"/>
      <c r="AD433" s="6"/>
      <c r="AR433" s="6"/>
      <c r="BF433" s="6"/>
      <c r="BT433" s="6"/>
      <c r="CH433" s="6"/>
    </row>
    <row r="434" ht="13.5" customHeight="1">
      <c r="P434" s="6"/>
      <c r="AD434" s="6"/>
      <c r="AR434" s="6"/>
      <c r="BF434" s="6"/>
      <c r="BT434" s="6"/>
      <c r="CH434" s="6"/>
    </row>
    <row r="435" ht="13.5" customHeight="1">
      <c r="P435" s="6"/>
      <c r="AD435" s="6"/>
      <c r="AR435" s="6"/>
      <c r="BF435" s="6"/>
      <c r="BT435" s="6"/>
      <c r="CH435" s="6"/>
    </row>
    <row r="436" ht="13.5" customHeight="1">
      <c r="P436" s="6"/>
      <c r="AD436" s="6"/>
      <c r="AR436" s="6"/>
      <c r="BF436" s="6"/>
      <c r="BT436" s="6"/>
      <c r="CH436" s="6"/>
    </row>
    <row r="437" ht="13.5" customHeight="1">
      <c r="P437" s="6"/>
      <c r="AD437" s="6"/>
      <c r="AR437" s="6"/>
      <c r="BF437" s="6"/>
      <c r="BT437" s="6"/>
      <c r="CH437" s="6"/>
    </row>
    <row r="438" ht="13.5" customHeight="1">
      <c r="P438" s="6"/>
      <c r="AD438" s="6"/>
      <c r="AR438" s="6"/>
      <c r="BF438" s="6"/>
      <c r="BT438" s="6"/>
      <c r="CH438" s="6"/>
    </row>
    <row r="439" ht="13.5" customHeight="1">
      <c r="P439" s="6"/>
      <c r="AD439" s="6"/>
      <c r="AR439" s="6"/>
      <c r="BF439" s="6"/>
      <c r="BT439" s="6"/>
      <c r="CH439" s="6"/>
    </row>
    <row r="440" ht="13.5" customHeight="1">
      <c r="P440" s="6"/>
      <c r="AD440" s="6"/>
      <c r="AR440" s="6"/>
      <c r="BF440" s="6"/>
      <c r="BT440" s="6"/>
      <c r="CH440" s="6"/>
    </row>
    <row r="441" ht="13.5" customHeight="1">
      <c r="P441" s="6"/>
      <c r="AD441" s="6"/>
      <c r="AR441" s="6"/>
      <c r="BF441" s="6"/>
      <c r="BT441" s="6"/>
      <c r="CH441" s="6"/>
    </row>
    <row r="442" ht="13.5" customHeight="1">
      <c r="P442" s="6"/>
      <c r="AD442" s="6"/>
      <c r="AR442" s="6"/>
      <c r="BF442" s="6"/>
      <c r="BT442" s="6"/>
      <c r="CH442" s="6"/>
    </row>
    <row r="443" ht="13.5" customHeight="1">
      <c r="P443" s="6"/>
      <c r="AD443" s="6"/>
      <c r="AR443" s="6"/>
      <c r="BF443" s="6"/>
      <c r="BT443" s="6"/>
      <c r="CH443" s="6"/>
    </row>
    <row r="444" ht="13.5" customHeight="1">
      <c r="P444" s="6"/>
      <c r="AD444" s="6"/>
      <c r="AR444" s="6"/>
      <c r="BF444" s="6"/>
      <c r="BT444" s="6"/>
      <c r="CH444" s="6"/>
    </row>
    <row r="445" ht="13.5" customHeight="1">
      <c r="P445" s="6"/>
      <c r="AD445" s="6"/>
      <c r="AR445" s="6"/>
      <c r="BF445" s="6"/>
      <c r="BT445" s="6"/>
      <c r="CH445" s="6"/>
    </row>
    <row r="446" ht="13.5" customHeight="1">
      <c r="P446" s="6"/>
      <c r="AD446" s="6"/>
      <c r="AR446" s="6"/>
      <c r="BF446" s="6"/>
      <c r="BT446" s="6"/>
      <c r="CH446" s="6"/>
    </row>
    <row r="447" ht="13.5" customHeight="1">
      <c r="P447" s="6"/>
      <c r="AD447" s="6"/>
      <c r="AR447" s="6"/>
      <c r="BF447" s="6"/>
      <c r="BT447" s="6"/>
      <c r="CH447" s="6"/>
    </row>
    <row r="448" ht="13.5" customHeight="1">
      <c r="P448" s="6"/>
      <c r="AD448" s="6"/>
      <c r="AR448" s="6"/>
      <c r="BF448" s="6"/>
      <c r="BT448" s="6"/>
      <c r="CH448" s="6"/>
    </row>
    <row r="449" ht="13.5" customHeight="1">
      <c r="P449" s="6"/>
      <c r="AD449" s="6"/>
      <c r="AR449" s="6"/>
      <c r="BF449" s="6"/>
      <c r="BT449" s="6"/>
      <c r="CH449" s="6"/>
    </row>
    <row r="450" ht="13.5" customHeight="1">
      <c r="P450" s="6"/>
      <c r="AD450" s="6"/>
      <c r="AR450" s="6"/>
      <c r="BF450" s="6"/>
      <c r="BT450" s="6"/>
      <c r="CH450" s="6"/>
    </row>
    <row r="451" ht="13.5" customHeight="1">
      <c r="P451" s="6"/>
      <c r="AD451" s="6"/>
      <c r="AR451" s="6"/>
      <c r="BF451" s="6"/>
      <c r="BT451" s="6"/>
      <c r="CH451" s="6"/>
    </row>
    <row r="452" ht="13.5" customHeight="1">
      <c r="P452" s="6"/>
      <c r="AD452" s="6"/>
      <c r="AR452" s="6"/>
      <c r="BF452" s="6"/>
      <c r="BT452" s="6"/>
      <c r="CH452" s="6"/>
    </row>
    <row r="453" ht="13.5" customHeight="1">
      <c r="P453" s="6"/>
      <c r="AD453" s="6"/>
      <c r="AR453" s="6"/>
      <c r="BF453" s="6"/>
      <c r="BT453" s="6"/>
      <c r="CH453" s="6"/>
    </row>
    <row r="454" ht="13.5" customHeight="1">
      <c r="P454" s="6"/>
      <c r="AD454" s="6"/>
      <c r="AR454" s="6"/>
      <c r="BF454" s="6"/>
      <c r="BT454" s="6"/>
      <c r="CH454" s="6"/>
    </row>
    <row r="455" ht="13.5" customHeight="1">
      <c r="P455" s="6"/>
      <c r="AD455" s="6"/>
      <c r="AR455" s="6"/>
      <c r="BF455" s="6"/>
      <c r="BT455" s="6"/>
      <c r="CH455" s="6"/>
    </row>
    <row r="456" ht="13.5" customHeight="1">
      <c r="P456" s="6"/>
      <c r="AD456" s="6"/>
      <c r="AR456" s="6"/>
      <c r="BF456" s="6"/>
      <c r="BT456" s="6"/>
      <c r="CH456" s="6"/>
    </row>
    <row r="457" ht="13.5" customHeight="1">
      <c r="P457" s="6"/>
      <c r="AD457" s="6"/>
      <c r="AR457" s="6"/>
      <c r="BF457" s="6"/>
      <c r="BT457" s="6"/>
      <c r="CH457" s="6"/>
    </row>
    <row r="458" ht="13.5" customHeight="1">
      <c r="P458" s="6"/>
      <c r="AD458" s="6"/>
      <c r="AR458" s="6"/>
      <c r="BF458" s="6"/>
      <c r="BT458" s="6"/>
      <c r="CH458" s="6"/>
    </row>
    <row r="459" ht="13.5" customHeight="1">
      <c r="P459" s="6"/>
      <c r="AD459" s="6"/>
      <c r="AR459" s="6"/>
      <c r="BF459" s="6"/>
      <c r="BT459" s="6"/>
      <c r="CH459" s="6"/>
    </row>
    <row r="460" ht="13.5" customHeight="1">
      <c r="P460" s="6"/>
      <c r="AD460" s="6"/>
      <c r="AR460" s="6"/>
      <c r="BF460" s="6"/>
      <c r="BT460" s="6"/>
      <c r="CH460" s="6"/>
    </row>
    <row r="461" ht="13.5" customHeight="1">
      <c r="P461" s="6"/>
      <c r="AD461" s="6"/>
      <c r="AR461" s="6"/>
      <c r="BF461" s="6"/>
      <c r="BT461" s="6"/>
      <c r="CH461" s="6"/>
    </row>
    <row r="462" ht="13.5" customHeight="1">
      <c r="P462" s="6"/>
      <c r="AD462" s="6"/>
      <c r="AR462" s="6"/>
      <c r="BF462" s="6"/>
      <c r="BT462" s="6"/>
      <c r="CH462" s="6"/>
    </row>
    <row r="463" ht="13.5" customHeight="1">
      <c r="P463" s="6"/>
      <c r="AD463" s="6"/>
      <c r="AR463" s="6"/>
      <c r="BF463" s="6"/>
      <c r="BT463" s="6"/>
      <c r="CH463" s="6"/>
    </row>
    <row r="464" ht="13.5" customHeight="1">
      <c r="P464" s="6"/>
      <c r="AD464" s="6"/>
      <c r="AR464" s="6"/>
      <c r="BF464" s="6"/>
      <c r="BT464" s="6"/>
      <c r="CH464" s="6"/>
    </row>
    <row r="465" ht="13.5" customHeight="1">
      <c r="P465" s="6"/>
      <c r="AD465" s="6"/>
      <c r="AR465" s="6"/>
      <c r="BF465" s="6"/>
      <c r="BT465" s="6"/>
      <c r="CH465" s="6"/>
    </row>
    <row r="466" ht="13.5" customHeight="1">
      <c r="P466" s="6"/>
      <c r="AD466" s="6"/>
      <c r="AR466" s="6"/>
      <c r="BF466" s="6"/>
      <c r="BT466" s="6"/>
      <c r="CH466" s="6"/>
    </row>
    <row r="467" ht="13.5" customHeight="1">
      <c r="P467" s="6"/>
      <c r="AD467" s="6"/>
      <c r="AR467" s="6"/>
      <c r="BF467" s="6"/>
      <c r="BT467" s="6"/>
      <c r="CH467" s="6"/>
    </row>
    <row r="468" ht="13.5" customHeight="1">
      <c r="P468" s="6"/>
      <c r="AD468" s="6"/>
      <c r="AR468" s="6"/>
      <c r="BF468" s="6"/>
      <c r="BT468" s="6"/>
      <c r="CH468" s="6"/>
    </row>
    <row r="469" ht="13.5" customHeight="1">
      <c r="P469" s="6"/>
      <c r="AD469" s="6"/>
      <c r="AR469" s="6"/>
      <c r="BF469" s="6"/>
      <c r="BT469" s="6"/>
      <c r="CH469" s="6"/>
    </row>
    <row r="470" ht="13.5" customHeight="1">
      <c r="P470" s="6"/>
      <c r="AD470" s="6"/>
      <c r="AR470" s="6"/>
      <c r="BF470" s="6"/>
      <c r="BT470" s="6"/>
      <c r="CH470" s="6"/>
    </row>
    <row r="471" ht="13.5" customHeight="1">
      <c r="P471" s="6"/>
      <c r="AD471" s="6"/>
      <c r="AR471" s="6"/>
      <c r="BF471" s="6"/>
      <c r="BT471" s="6"/>
      <c r="CH471" s="6"/>
    </row>
    <row r="472" ht="13.5" customHeight="1">
      <c r="P472" s="6"/>
      <c r="AD472" s="6"/>
      <c r="AR472" s="6"/>
      <c r="BF472" s="6"/>
      <c r="BT472" s="6"/>
      <c r="CH472" s="6"/>
    </row>
    <row r="473" ht="13.5" customHeight="1">
      <c r="P473" s="6"/>
      <c r="AD473" s="6"/>
      <c r="AR473" s="6"/>
      <c r="BF473" s="6"/>
      <c r="BT473" s="6"/>
      <c r="CH473" s="6"/>
    </row>
    <row r="474" ht="13.5" customHeight="1">
      <c r="P474" s="6"/>
      <c r="AD474" s="6"/>
      <c r="AR474" s="6"/>
      <c r="BF474" s="6"/>
      <c r="BT474" s="6"/>
      <c r="CH474" s="6"/>
    </row>
    <row r="475" ht="13.5" customHeight="1">
      <c r="P475" s="6"/>
      <c r="AD475" s="6"/>
      <c r="AR475" s="6"/>
      <c r="BF475" s="6"/>
      <c r="BT475" s="6"/>
      <c r="CH475" s="6"/>
    </row>
    <row r="476" ht="13.5" customHeight="1">
      <c r="P476" s="6"/>
      <c r="AD476" s="6"/>
      <c r="AR476" s="6"/>
      <c r="BF476" s="6"/>
      <c r="BT476" s="6"/>
      <c r="CH476" s="6"/>
    </row>
    <row r="477" ht="13.5" customHeight="1">
      <c r="P477" s="6"/>
      <c r="AD477" s="6"/>
      <c r="AR477" s="6"/>
      <c r="BF477" s="6"/>
      <c r="BT477" s="6"/>
      <c r="CH477" s="6"/>
    </row>
    <row r="478" ht="13.5" customHeight="1">
      <c r="P478" s="6"/>
      <c r="AD478" s="6"/>
      <c r="AR478" s="6"/>
      <c r="BF478" s="6"/>
      <c r="BT478" s="6"/>
      <c r="CH478" s="6"/>
    </row>
    <row r="479" ht="13.5" customHeight="1">
      <c r="P479" s="6"/>
      <c r="AD479" s="6"/>
      <c r="AR479" s="6"/>
      <c r="BF479" s="6"/>
      <c r="BT479" s="6"/>
      <c r="CH479" s="6"/>
    </row>
    <row r="480" ht="13.5" customHeight="1">
      <c r="P480" s="6"/>
      <c r="AD480" s="6"/>
      <c r="AR480" s="6"/>
      <c r="BF480" s="6"/>
      <c r="BT480" s="6"/>
      <c r="CH480" s="6"/>
    </row>
    <row r="481" ht="13.5" customHeight="1">
      <c r="P481" s="6"/>
      <c r="AD481" s="6"/>
      <c r="AR481" s="6"/>
      <c r="BF481" s="6"/>
      <c r="BT481" s="6"/>
      <c r="CH481" s="6"/>
    </row>
    <row r="482" ht="13.5" customHeight="1">
      <c r="P482" s="6"/>
      <c r="AD482" s="6"/>
      <c r="AR482" s="6"/>
      <c r="BF482" s="6"/>
      <c r="BT482" s="6"/>
      <c r="CH482" s="6"/>
    </row>
    <row r="483" ht="13.5" customHeight="1">
      <c r="P483" s="6"/>
      <c r="AD483" s="6"/>
      <c r="AR483" s="6"/>
      <c r="BF483" s="6"/>
      <c r="BT483" s="6"/>
      <c r="CH483" s="6"/>
    </row>
    <row r="484" ht="13.5" customHeight="1">
      <c r="P484" s="6"/>
      <c r="AD484" s="6"/>
      <c r="AR484" s="6"/>
      <c r="BF484" s="6"/>
      <c r="BT484" s="6"/>
      <c r="CH484" s="6"/>
    </row>
    <row r="485" ht="13.5" customHeight="1">
      <c r="P485" s="6"/>
      <c r="AD485" s="6"/>
      <c r="AR485" s="6"/>
      <c r="BF485" s="6"/>
      <c r="BT485" s="6"/>
      <c r="CH485" s="6"/>
    </row>
    <row r="486" ht="13.5" customHeight="1">
      <c r="P486" s="6"/>
      <c r="AD486" s="6"/>
      <c r="AR486" s="6"/>
      <c r="BF486" s="6"/>
      <c r="BT486" s="6"/>
      <c r="CH486" s="6"/>
    </row>
    <row r="487" ht="13.5" customHeight="1">
      <c r="P487" s="6"/>
      <c r="AD487" s="6"/>
      <c r="AR487" s="6"/>
      <c r="BF487" s="6"/>
      <c r="BT487" s="6"/>
      <c r="CH487" s="6"/>
    </row>
    <row r="488" ht="13.5" customHeight="1">
      <c r="P488" s="6"/>
      <c r="AD488" s="6"/>
      <c r="AR488" s="6"/>
      <c r="BF488" s="6"/>
      <c r="BT488" s="6"/>
      <c r="CH488" s="6"/>
    </row>
    <row r="489" ht="13.5" customHeight="1">
      <c r="P489" s="6"/>
      <c r="AD489" s="6"/>
      <c r="AR489" s="6"/>
      <c r="BF489" s="6"/>
      <c r="BT489" s="6"/>
      <c r="CH489" s="6"/>
    </row>
    <row r="490" ht="13.5" customHeight="1">
      <c r="P490" s="6"/>
      <c r="AD490" s="6"/>
      <c r="AR490" s="6"/>
      <c r="BF490" s="6"/>
      <c r="BT490" s="6"/>
      <c r="CH490" s="6"/>
    </row>
    <row r="491" ht="13.5" customHeight="1">
      <c r="P491" s="6"/>
      <c r="AD491" s="6"/>
      <c r="AR491" s="6"/>
      <c r="BF491" s="6"/>
      <c r="BT491" s="6"/>
      <c r="CH491" s="6"/>
    </row>
    <row r="492" ht="13.5" customHeight="1">
      <c r="P492" s="6"/>
      <c r="AD492" s="6"/>
      <c r="AR492" s="6"/>
      <c r="BF492" s="6"/>
      <c r="BT492" s="6"/>
      <c r="CH492" s="6"/>
    </row>
    <row r="493" ht="13.5" customHeight="1">
      <c r="P493" s="6"/>
      <c r="AD493" s="6"/>
      <c r="AR493" s="6"/>
      <c r="BF493" s="6"/>
      <c r="BT493" s="6"/>
      <c r="CH493" s="6"/>
    </row>
    <row r="494" ht="13.5" customHeight="1">
      <c r="P494" s="6"/>
      <c r="AD494" s="6"/>
      <c r="AR494" s="6"/>
      <c r="BF494" s="6"/>
      <c r="BT494" s="6"/>
      <c r="CH494" s="6"/>
    </row>
    <row r="495" ht="13.5" customHeight="1">
      <c r="P495" s="6"/>
      <c r="AD495" s="6"/>
      <c r="AR495" s="6"/>
      <c r="BF495" s="6"/>
      <c r="BT495" s="6"/>
      <c r="CH495" s="6"/>
    </row>
    <row r="496" ht="13.5" customHeight="1">
      <c r="P496" s="6"/>
      <c r="AD496" s="6"/>
      <c r="AR496" s="6"/>
      <c r="BF496" s="6"/>
      <c r="BT496" s="6"/>
      <c r="CH496" s="6"/>
    </row>
    <row r="497" ht="13.5" customHeight="1">
      <c r="P497" s="6"/>
      <c r="AD497" s="6"/>
      <c r="AR497" s="6"/>
      <c r="BF497" s="6"/>
      <c r="BT497" s="6"/>
      <c r="CH497" s="6"/>
    </row>
    <row r="498" ht="13.5" customHeight="1">
      <c r="P498" s="6"/>
      <c r="AD498" s="6"/>
      <c r="AR498" s="6"/>
      <c r="BF498" s="6"/>
      <c r="BT498" s="6"/>
      <c r="CH498" s="6"/>
    </row>
    <row r="499" ht="13.5" customHeight="1">
      <c r="P499" s="6"/>
      <c r="AD499" s="6"/>
      <c r="AR499" s="6"/>
      <c r="BF499" s="6"/>
      <c r="BT499" s="6"/>
      <c r="CH499" s="6"/>
    </row>
    <row r="500" ht="13.5" customHeight="1">
      <c r="P500" s="6"/>
      <c r="AD500" s="6"/>
      <c r="AR500" s="6"/>
      <c r="BF500" s="6"/>
      <c r="BT500" s="6"/>
      <c r="CH500" s="6"/>
    </row>
    <row r="501" ht="13.5" customHeight="1">
      <c r="P501" s="6"/>
      <c r="AD501" s="6"/>
      <c r="AR501" s="6"/>
      <c r="BF501" s="6"/>
      <c r="BT501" s="6"/>
      <c r="CH501" s="6"/>
    </row>
    <row r="502" ht="13.5" customHeight="1">
      <c r="P502" s="6"/>
      <c r="AD502" s="6"/>
      <c r="AR502" s="6"/>
      <c r="BF502" s="6"/>
      <c r="BT502" s="6"/>
      <c r="CH502" s="6"/>
    </row>
    <row r="503" ht="13.5" customHeight="1">
      <c r="P503" s="6"/>
      <c r="AD503" s="6"/>
      <c r="AR503" s="6"/>
      <c r="BF503" s="6"/>
      <c r="BT503" s="6"/>
      <c r="CH503" s="6"/>
    </row>
    <row r="504" ht="13.5" customHeight="1">
      <c r="P504" s="6"/>
      <c r="AD504" s="6"/>
      <c r="AR504" s="6"/>
      <c r="BF504" s="6"/>
      <c r="BT504" s="6"/>
      <c r="CH504" s="6"/>
    </row>
    <row r="505" ht="13.5" customHeight="1">
      <c r="P505" s="6"/>
      <c r="AD505" s="6"/>
      <c r="AR505" s="6"/>
      <c r="BF505" s="6"/>
      <c r="BT505" s="6"/>
      <c r="CH505" s="6"/>
    </row>
    <row r="506" ht="13.5" customHeight="1">
      <c r="P506" s="6"/>
      <c r="AD506" s="6"/>
      <c r="AR506" s="6"/>
      <c r="BF506" s="6"/>
      <c r="BT506" s="6"/>
      <c r="CH506" s="6"/>
    </row>
    <row r="507" ht="13.5" customHeight="1">
      <c r="P507" s="6"/>
      <c r="AD507" s="6"/>
      <c r="AR507" s="6"/>
      <c r="BF507" s="6"/>
      <c r="BT507" s="6"/>
      <c r="CH507" s="6"/>
    </row>
    <row r="508" ht="13.5" customHeight="1">
      <c r="P508" s="6"/>
      <c r="AD508" s="6"/>
      <c r="AR508" s="6"/>
      <c r="BF508" s="6"/>
      <c r="BT508" s="6"/>
      <c r="CH508" s="6"/>
    </row>
    <row r="509" ht="13.5" customHeight="1">
      <c r="P509" s="6"/>
      <c r="AD509" s="6"/>
      <c r="AR509" s="6"/>
      <c r="BF509" s="6"/>
      <c r="BT509" s="6"/>
      <c r="CH509" s="6"/>
    </row>
    <row r="510" ht="13.5" customHeight="1">
      <c r="P510" s="6"/>
      <c r="AD510" s="6"/>
      <c r="AR510" s="6"/>
      <c r="BF510" s="6"/>
      <c r="BT510" s="6"/>
      <c r="CH510" s="6"/>
    </row>
    <row r="511" ht="13.5" customHeight="1">
      <c r="P511" s="6"/>
      <c r="AD511" s="6"/>
      <c r="AR511" s="6"/>
      <c r="BF511" s="6"/>
      <c r="BT511" s="6"/>
      <c r="CH511" s="6"/>
    </row>
    <row r="512" ht="13.5" customHeight="1">
      <c r="P512" s="6"/>
      <c r="AD512" s="6"/>
      <c r="AR512" s="6"/>
      <c r="BF512" s="6"/>
      <c r="BT512" s="6"/>
      <c r="CH512" s="6"/>
    </row>
    <row r="513" ht="13.5" customHeight="1">
      <c r="P513" s="6"/>
      <c r="AD513" s="6"/>
      <c r="AR513" s="6"/>
      <c r="BF513" s="6"/>
      <c r="BT513" s="6"/>
      <c r="CH513" s="6"/>
    </row>
    <row r="514" ht="13.5" customHeight="1">
      <c r="P514" s="6"/>
      <c r="AD514" s="6"/>
      <c r="AR514" s="6"/>
      <c r="BF514" s="6"/>
      <c r="BT514" s="6"/>
      <c r="CH514" s="6"/>
    </row>
    <row r="515" ht="13.5" customHeight="1">
      <c r="P515" s="6"/>
      <c r="AD515" s="6"/>
      <c r="AR515" s="6"/>
      <c r="BF515" s="6"/>
      <c r="BT515" s="6"/>
      <c r="CH515" s="6"/>
    </row>
    <row r="516" ht="13.5" customHeight="1">
      <c r="P516" s="6"/>
      <c r="AD516" s="6"/>
      <c r="AR516" s="6"/>
      <c r="BF516" s="6"/>
      <c r="BT516" s="6"/>
      <c r="CH516" s="6"/>
    </row>
    <row r="517" ht="13.5" customHeight="1">
      <c r="P517" s="6"/>
      <c r="AD517" s="6"/>
      <c r="AR517" s="6"/>
      <c r="BF517" s="6"/>
      <c r="BT517" s="6"/>
      <c r="CH517" s="6"/>
    </row>
    <row r="518" ht="13.5" customHeight="1">
      <c r="P518" s="6"/>
      <c r="AD518" s="6"/>
      <c r="AR518" s="6"/>
      <c r="BF518" s="6"/>
      <c r="BT518" s="6"/>
      <c r="CH518" s="6"/>
    </row>
    <row r="519" ht="13.5" customHeight="1">
      <c r="P519" s="6"/>
      <c r="AD519" s="6"/>
      <c r="AR519" s="6"/>
      <c r="BF519" s="6"/>
      <c r="BT519" s="6"/>
      <c r="CH519" s="6"/>
    </row>
    <row r="520" ht="13.5" customHeight="1">
      <c r="P520" s="6"/>
      <c r="AD520" s="6"/>
      <c r="AR520" s="6"/>
      <c r="BF520" s="6"/>
      <c r="BT520" s="6"/>
      <c r="CH520" s="6"/>
    </row>
    <row r="521" ht="13.5" customHeight="1">
      <c r="P521" s="6"/>
      <c r="AD521" s="6"/>
      <c r="AR521" s="6"/>
      <c r="BF521" s="6"/>
      <c r="BT521" s="6"/>
      <c r="CH521" s="6"/>
    </row>
    <row r="522" ht="13.5" customHeight="1">
      <c r="P522" s="6"/>
      <c r="AD522" s="6"/>
      <c r="AR522" s="6"/>
      <c r="BF522" s="6"/>
      <c r="BT522" s="6"/>
      <c r="CH522" s="6"/>
    </row>
    <row r="523" ht="13.5" customHeight="1">
      <c r="P523" s="6"/>
      <c r="AD523" s="6"/>
      <c r="AR523" s="6"/>
      <c r="BF523" s="6"/>
      <c r="BT523" s="6"/>
      <c r="CH523" s="6"/>
    </row>
    <row r="524" ht="13.5" customHeight="1">
      <c r="P524" s="6"/>
      <c r="AD524" s="6"/>
      <c r="AR524" s="6"/>
      <c r="BF524" s="6"/>
      <c r="BT524" s="6"/>
      <c r="CH524" s="6"/>
    </row>
    <row r="525" ht="13.5" customHeight="1">
      <c r="P525" s="6"/>
      <c r="AD525" s="6"/>
      <c r="AR525" s="6"/>
      <c r="BF525" s="6"/>
      <c r="BT525" s="6"/>
      <c r="CH525" s="6"/>
    </row>
    <row r="526" ht="13.5" customHeight="1">
      <c r="P526" s="6"/>
      <c r="AD526" s="6"/>
      <c r="AR526" s="6"/>
      <c r="BF526" s="6"/>
      <c r="BT526" s="6"/>
      <c r="CH526" s="6"/>
    </row>
    <row r="527" ht="13.5" customHeight="1">
      <c r="P527" s="6"/>
      <c r="AD527" s="6"/>
      <c r="AR527" s="6"/>
      <c r="BF527" s="6"/>
      <c r="BT527" s="6"/>
      <c r="CH527" s="6"/>
    </row>
    <row r="528" ht="13.5" customHeight="1">
      <c r="P528" s="6"/>
      <c r="AD528" s="6"/>
      <c r="AR528" s="6"/>
      <c r="BF528" s="6"/>
      <c r="BT528" s="6"/>
      <c r="CH528" s="6"/>
    </row>
    <row r="529" ht="13.5" customHeight="1">
      <c r="P529" s="6"/>
      <c r="AD529" s="6"/>
      <c r="AR529" s="6"/>
      <c r="BF529" s="6"/>
      <c r="BT529" s="6"/>
      <c r="CH529" s="6"/>
    </row>
    <row r="530" ht="13.5" customHeight="1">
      <c r="P530" s="6"/>
      <c r="AD530" s="6"/>
      <c r="AR530" s="6"/>
      <c r="BF530" s="6"/>
      <c r="BT530" s="6"/>
      <c r="CH530" s="6"/>
    </row>
    <row r="531" ht="13.5" customHeight="1">
      <c r="P531" s="6"/>
      <c r="AD531" s="6"/>
      <c r="AR531" s="6"/>
      <c r="BF531" s="6"/>
      <c r="BT531" s="6"/>
      <c r="CH531" s="6"/>
    </row>
    <row r="532" ht="13.5" customHeight="1">
      <c r="P532" s="6"/>
      <c r="AD532" s="6"/>
      <c r="AR532" s="6"/>
      <c r="BF532" s="6"/>
      <c r="BT532" s="6"/>
      <c r="CH532" s="6"/>
    </row>
    <row r="533" ht="13.5" customHeight="1">
      <c r="P533" s="6"/>
      <c r="AD533" s="6"/>
      <c r="AR533" s="6"/>
      <c r="BF533" s="6"/>
      <c r="BT533" s="6"/>
      <c r="CH533" s="6"/>
    </row>
    <row r="534" ht="13.5" customHeight="1">
      <c r="P534" s="6"/>
      <c r="AD534" s="6"/>
      <c r="AR534" s="6"/>
      <c r="BF534" s="6"/>
      <c r="BT534" s="6"/>
      <c r="CH534" s="6"/>
    </row>
    <row r="535" ht="13.5" customHeight="1">
      <c r="P535" s="6"/>
      <c r="AD535" s="6"/>
      <c r="AR535" s="6"/>
      <c r="BF535" s="6"/>
      <c r="BT535" s="6"/>
      <c r="CH535" s="6"/>
    </row>
    <row r="536" ht="13.5" customHeight="1">
      <c r="P536" s="6"/>
      <c r="AD536" s="6"/>
      <c r="AR536" s="6"/>
      <c r="BF536" s="6"/>
      <c r="BT536" s="6"/>
      <c r="CH536" s="6"/>
    </row>
    <row r="537" ht="13.5" customHeight="1">
      <c r="P537" s="6"/>
      <c r="AD537" s="6"/>
      <c r="AR537" s="6"/>
      <c r="BF537" s="6"/>
      <c r="BT537" s="6"/>
      <c r="CH537" s="6"/>
    </row>
    <row r="538" ht="13.5" customHeight="1">
      <c r="P538" s="6"/>
      <c r="AD538" s="6"/>
      <c r="AR538" s="6"/>
      <c r="BF538" s="6"/>
      <c r="BT538" s="6"/>
      <c r="CH538" s="6"/>
    </row>
    <row r="539" ht="13.5" customHeight="1">
      <c r="P539" s="6"/>
      <c r="AD539" s="6"/>
      <c r="AR539" s="6"/>
      <c r="BF539" s="6"/>
      <c r="BT539" s="6"/>
      <c r="CH539" s="6"/>
    </row>
    <row r="540" ht="13.5" customHeight="1">
      <c r="P540" s="6"/>
      <c r="AD540" s="6"/>
      <c r="AR540" s="6"/>
      <c r="BF540" s="6"/>
      <c r="BT540" s="6"/>
      <c r="CH540" s="6"/>
    </row>
    <row r="541" ht="13.5" customHeight="1">
      <c r="P541" s="6"/>
      <c r="AD541" s="6"/>
      <c r="AR541" s="6"/>
      <c r="BF541" s="6"/>
      <c r="BT541" s="6"/>
      <c r="CH541" s="6"/>
    </row>
    <row r="542" ht="13.5" customHeight="1">
      <c r="P542" s="6"/>
      <c r="AD542" s="6"/>
      <c r="AR542" s="6"/>
      <c r="BF542" s="6"/>
      <c r="BT542" s="6"/>
      <c r="CH542" s="6"/>
    </row>
    <row r="543" ht="13.5" customHeight="1">
      <c r="P543" s="6"/>
      <c r="AD543" s="6"/>
      <c r="AR543" s="6"/>
      <c r="BF543" s="6"/>
      <c r="BT543" s="6"/>
      <c r="CH543" s="6"/>
    </row>
    <row r="544" ht="13.5" customHeight="1">
      <c r="P544" s="6"/>
      <c r="AD544" s="6"/>
      <c r="AR544" s="6"/>
      <c r="BF544" s="6"/>
      <c r="BT544" s="6"/>
      <c r="CH544" s="6"/>
    </row>
    <row r="545" ht="13.5" customHeight="1">
      <c r="P545" s="6"/>
      <c r="AD545" s="6"/>
      <c r="AR545" s="6"/>
      <c r="BF545" s="6"/>
      <c r="BT545" s="6"/>
      <c r="CH545" s="6"/>
    </row>
    <row r="546" ht="13.5" customHeight="1">
      <c r="P546" s="6"/>
      <c r="AD546" s="6"/>
      <c r="AR546" s="6"/>
      <c r="BF546" s="6"/>
      <c r="BT546" s="6"/>
      <c r="CH546" s="6"/>
    </row>
    <row r="547" ht="13.5" customHeight="1">
      <c r="P547" s="6"/>
      <c r="AD547" s="6"/>
      <c r="AR547" s="6"/>
      <c r="BF547" s="6"/>
      <c r="BT547" s="6"/>
      <c r="CH547" s="6"/>
    </row>
    <row r="548" ht="13.5" customHeight="1">
      <c r="P548" s="6"/>
      <c r="AD548" s="6"/>
      <c r="AR548" s="6"/>
      <c r="BF548" s="6"/>
      <c r="BT548" s="6"/>
      <c r="CH548" s="6"/>
    </row>
    <row r="549" ht="13.5" customHeight="1">
      <c r="P549" s="6"/>
      <c r="AD549" s="6"/>
      <c r="AR549" s="6"/>
      <c r="BF549" s="6"/>
      <c r="BT549" s="6"/>
      <c r="CH549" s="6"/>
    </row>
    <row r="550" ht="13.5" customHeight="1">
      <c r="P550" s="6"/>
      <c r="AD550" s="6"/>
      <c r="AR550" s="6"/>
      <c r="BF550" s="6"/>
      <c r="BT550" s="6"/>
      <c r="CH550" s="6"/>
    </row>
    <row r="551" ht="13.5" customHeight="1">
      <c r="P551" s="6"/>
      <c r="AD551" s="6"/>
      <c r="AR551" s="6"/>
      <c r="BF551" s="6"/>
      <c r="BT551" s="6"/>
      <c r="CH551" s="6"/>
    </row>
    <row r="552" ht="13.5" customHeight="1">
      <c r="P552" s="6"/>
      <c r="AD552" s="6"/>
      <c r="AR552" s="6"/>
      <c r="BF552" s="6"/>
      <c r="BT552" s="6"/>
      <c r="CH552" s="6"/>
    </row>
    <row r="553" ht="13.5" customHeight="1">
      <c r="P553" s="6"/>
      <c r="AD553" s="6"/>
      <c r="AR553" s="6"/>
      <c r="BF553" s="6"/>
      <c r="BT553" s="6"/>
      <c r="CH553" s="6"/>
    </row>
    <row r="554" ht="13.5" customHeight="1">
      <c r="P554" s="6"/>
      <c r="AD554" s="6"/>
      <c r="AR554" s="6"/>
      <c r="BF554" s="6"/>
      <c r="BT554" s="6"/>
      <c r="CH554" s="6"/>
    </row>
    <row r="555" ht="13.5" customHeight="1">
      <c r="P555" s="6"/>
      <c r="AD555" s="6"/>
      <c r="AR555" s="6"/>
      <c r="BF555" s="6"/>
      <c r="BT555" s="6"/>
      <c r="CH555" s="6"/>
    </row>
    <row r="556" ht="13.5" customHeight="1">
      <c r="P556" s="6"/>
      <c r="AD556" s="6"/>
      <c r="AR556" s="6"/>
      <c r="BF556" s="6"/>
      <c r="BT556" s="6"/>
      <c r="CH556" s="6"/>
    </row>
    <row r="557" ht="13.5" customHeight="1">
      <c r="P557" s="6"/>
      <c r="AD557" s="6"/>
      <c r="AR557" s="6"/>
      <c r="BF557" s="6"/>
      <c r="BT557" s="6"/>
      <c r="CH557" s="6"/>
    </row>
    <row r="558" ht="13.5" customHeight="1">
      <c r="P558" s="6"/>
      <c r="AD558" s="6"/>
      <c r="AR558" s="6"/>
      <c r="BF558" s="6"/>
      <c r="BT558" s="6"/>
      <c r="CH558" s="6"/>
    </row>
    <row r="559" ht="13.5" customHeight="1">
      <c r="P559" s="6"/>
      <c r="AD559" s="6"/>
      <c r="AR559" s="6"/>
      <c r="BF559" s="6"/>
      <c r="BT559" s="6"/>
      <c r="CH559" s="6"/>
    </row>
    <row r="560" ht="13.5" customHeight="1">
      <c r="P560" s="6"/>
      <c r="AD560" s="6"/>
      <c r="AR560" s="6"/>
      <c r="BF560" s="6"/>
      <c r="BT560" s="6"/>
      <c r="CH560" s="6"/>
    </row>
    <row r="561" ht="13.5" customHeight="1">
      <c r="P561" s="6"/>
      <c r="AD561" s="6"/>
      <c r="AR561" s="6"/>
      <c r="BF561" s="6"/>
      <c r="BT561" s="6"/>
      <c r="CH561" s="6"/>
    </row>
    <row r="562" ht="13.5" customHeight="1">
      <c r="P562" s="6"/>
      <c r="AD562" s="6"/>
      <c r="AR562" s="6"/>
      <c r="BF562" s="6"/>
      <c r="BT562" s="6"/>
      <c r="CH562" s="6"/>
    </row>
    <row r="563" ht="13.5" customHeight="1">
      <c r="P563" s="6"/>
      <c r="AD563" s="6"/>
      <c r="AR563" s="6"/>
      <c r="BF563" s="6"/>
      <c r="BT563" s="6"/>
      <c r="CH563" s="6"/>
    </row>
    <row r="564" ht="13.5" customHeight="1">
      <c r="P564" s="6"/>
      <c r="AD564" s="6"/>
      <c r="AR564" s="6"/>
      <c r="BF564" s="6"/>
      <c r="BT564" s="6"/>
      <c r="CH564" s="6"/>
    </row>
    <row r="565" ht="13.5" customHeight="1">
      <c r="P565" s="6"/>
      <c r="AD565" s="6"/>
      <c r="AR565" s="6"/>
      <c r="BF565" s="6"/>
      <c r="BT565" s="6"/>
      <c r="CH565" s="6"/>
    </row>
    <row r="566" ht="13.5" customHeight="1">
      <c r="P566" s="6"/>
      <c r="AD566" s="6"/>
      <c r="AR566" s="6"/>
      <c r="BF566" s="6"/>
      <c r="BT566" s="6"/>
      <c r="CH566" s="6"/>
    </row>
    <row r="567" ht="13.5" customHeight="1">
      <c r="P567" s="6"/>
      <c r="AD567" s="6"/>
      <c r="AR567" s="6"/>
      <c r="BF567" s="6"/>
      <c r="BT567" s="6"/>
      <c r="CH567" s="6"/>
    </row>
    <row r="568" ht="13.5" customHeight="1">
      <c r="P568" s="6"/>
      <c r="AD568" s="6"/>
      <c r="AR568" s="6"/>
      <c r="BF568" s="6"/>
      <c r="BT568" s="6"/>
      <c r="CH568" s="6"/>
    </row>
    <row r="569" ht="13.5" customHeight="1">
      <c r="P569" s="6"/>
      <c r="AD569" s="6"/>
      <c r="AR569" s="6"/>
      <c r="BF569" s="6"/>
      <c r="BT569" s="6"/>
      <c r="CH569" s="6"/>
    </row>
    <row r="570" ht="13.5" customHeight="1">
      <c r="P570" s="6"/>
      <c r="AD570" s="6"/>
      <c r="AR570" s="6"/>
      <c r="BF570" s="6"/>
      <c r="BT570" s="6"/>
      <c r="CH570" s="6"/>
    </row>
    <row r="571" ht="13.5" customHeight="1">
      <c r="P571" s="6"/>
      <c r="AD571" s="6"/>
      <c r="AR571" s="6"/>
      <c r="BF571" s="6"/>
      <c r="BT571" s="6"/>
      <c r="CH571" s="6"/>
    </row>
    <row r="572" ht="13.5" customHeight="1">
      <c r="P572" s="6"/>
      <c r="AD572" s="6"/>
      <c r="AR572" s="6"/>
      <c r="BF572" s="6"/>
      <c r="BT572" s="6"/>
      <c r="CH572" s="6"/>
    </row>
    <row r="573" ht="13.5" customHeight="1">
      <c r="P573" s="6"/>
      <c r="AD573" s="6"/>
      <c r="AR573" s="6"/>
      <c r="BF573" s="6"/>
      <c r="BT573" s="6"/>
      <c r="CH573" s="6"/>
    </row>
    <row r="574" ht="13.5" customHeight="1">
      <c r="P574" s="6"/>
      <c r="AD574" s="6"/>
      <c r="AR574" s="6"/>
      <c r="BF574" s="6"/>
      <c r="BT574" s="6"/>
      <c r="CH574" s="6"/>
    </row>
    <row r="575" ht="13.5" customHeight="1">
      <c r="P575" s="6"/>
      <c r="AD575" s="6"/>
      <c r="AR575" s="6"/>
      <c r="BF575" s="6"/>
      <c r="BT575" s="6"/>
      <c r="CH575" s="6"/>
    </row>
    <row r="576" ht="13.5" customHeight="1">
      <c r="P576" s="6"/>
      <c r="AD576" s="6"/>
      <c r="AR576" s="6"/>
      <c r="BF576" s="6"/>
      <c r="BT576" s="6"/>
      <c r="CH576" s="6"/>
    </row>
    <row r="577" ht="13.5" customHeight="1">
      <c r="P577" s="6"/>
      <c r="AD577" s="6"/>
      <c r="AR577" s="6"/>
      <c r="BF577" s="6"/>
      <c r="BT577" s="6"/>
      <c r="CH577" s="6"/>
    </row>
    <row r="578" ht="13.5" customHeight="1">
      <c r="P578" s="6"/>
      <c r="AD578" s="6"/>
      <c r="AR578" s="6"/>
      <c r="BF578" s="6"/>
      <c r="BT578" s="6"/>
      <c r="CH578" s="6"/>
    </row>
    <row r="579" ht="13.5" customHeight="1">
      <c r="P579" s="6"/>
      <c r="AD579" s="6"/>
      <c r="AR579" s="6"/>
      <c r="BF579" s="6"/>
      <c r="BT579" s="6"/>
      <c r="CH579" s="6"/>
    </row>
    <row r="580" ht="13.5" customHeight="1">
      <c r="P580" s="6"/>
      <c r="AD580" s="6"/>
      <c r="AR580" s="6"/>
      <c r="BF580" s="6"/>
      <c r="BT580" s="6"/>
      <c r="CH580" s="6"/>
    </row>
    <row r="581" ht="13.5" customHeight="1">
      <c r="P581" s="6"/>
      <c r="AD581" s="6"/>
      <c r="AR581" s="6"/>
      <c r="BF581" s="6"/>
      <c r="BT581" s="6"/>
      <c r="CH581" s="6"/>
    </row>
    <row r="582" ht="13.5" customHeight="1">
      <c r="P582" s="6"/>
      <c r="AD582" s="6"/>
      <c r="AR582" s="6"/>
      <c r="BF582" s="6"/>
      <c r="BT582" s="6"/>
      <c r="CH582" s="6"/>
    </row>
    <row r="583" ht="13.5" customHeight="1">
      <c r="P583" s="6"/>
      <c r="AD583" s="6"/>
      <c r="AR583" s="6"/>
      <c r="BF583" s="6"/>
      <c r="BT583" s="6"/>
      <c r="CH583" s="6"/>
    </row>
    <row r="584" ht="13.5" customHeight="1">
      <c r="P584" s="6"/>
      <c r="AD584" s="6"/>
      <c r="AR584" s="6"/>
      <c r="BF584" s="6"/>
      <c r="BT584" s="6"/>
      <c r="CH584" s="6"/>
    </row>
    <row r="585" ht="13.5" customHeight="1">
      <c r="P585" s="6"/>
      <c r="AD585" s="6"/>
      <c r="AR585" s="6"/>
      <c r="BF585" s="6"/>
      <c r="BT585" s="6"/>
      <c r="CH585" s="6"/>
    </row>
    <row r="586" ht="13.5" customHeight="1">
      <c r="P586" s="6"/>
      <c r="AD586" s="6"/>
      <c r="AR586" s="6"/>
      <c r="BF586" s="6"/>
      <c r="BT586" s="6"/>
      <c r="CH586" s="6"/>
    </row>
    <row r="587" ht="13.5" customHeight="1">
      <c r="P587" s="6"/>
      <c r="AD587" s="6"/>
      <c r="AR587" s="6"/>
      <c r="BF587" s="6"/>
      <c r="BT587" s="6"/>
      <c r="CH587" s="6"/>
    </row>
    <row r="588" ht="13.5" customHeight="1">
      <c r="P588" s="6"/>
      <c r="AD588" s="6"/>
      <c r="AR588" s="6"/>
      <c r="BF588" s="6"/>
      <c r="BT588" s="6"/>
      <c r="CH588" s="6"/>
    </row>
    <row r="589" ht="13.5" customHeight="1">
      <c r="P589" s="6"/>
      <c r="AD589" s="6"/>
      <c r="AR589" s="6"/>
      <c r="BF589" s="6"/>
      <c r="BT589" s="6"/>
      <c r="CH589" s="6"/>
    </row>
    <row r="590" ht="13.5" customHeight="1">
      <c r="P590" s="6"/>
      <c r="AD590" s="6"/>
      <c r="AR590" s="6"/>
      <c r="BF590" s="6"/>
      <c r="BT590" s="6"/>
      <c r="CH590" s="6"/>
    </row>
    <row r="591" ht="13.5" customHeight="1">
      <c r="P591" s="6"/>
      <c r="AD591" s="6"/>
      <c r="AR591" s="6"/>
      <c r="BF591" s="6"/>
      <c r="BT591" s="6"/>
      <c r="CH591" s="6"/>
    </row>
    <row r="592" ht="13.5" customHeight="1">
      <c r="P592" s="6"/>
      <c r="AD592" s="6"/>
      <c r="AR592" s="6"/>
      <c r="BF592" s="6"/>
      <c r="BT592" s="6"/>
      <c r="CH592" s="6"/>
    </row>
    <row r="593" ht="13.5" customHeight="1">
      <c r="P593" s="6"/>
      <c r="AD593" s="6"/>
      <c r="AR593" s="6"/>
      <c r="BF593" s="6"/>
      <c r="BT593" s="6"/>
      <c r="CH593" s="6"/>
    </row>
    <row r="594" ht="13.5" customHeight="1">
      <c r="P594" s="6"/>
      <c r="AD594" s="6"/>
      <c r="AR594" s="6"/>
      <c r="BF594" s="6"/>
      <c r="BT594" s="6"/>
      <c r="CH594" s="6"/>
    </row>
    <row r="595" ht="13.5" customHeight="1">
      <c r="P595" s="6"/>
      <c r="AD595" s="6"/>
      <c r="AR595" s="6"/>
      <c r="BF595" s="6"/>
      <c r="BT595" s="6"/>
      <c r="CH595" s="6"/>
    </row>
    <row r="596" ht="13.5" customHeight="1">
      <c r="P596" s="6"/>
      <c r="AD596" s="6"/>
      <c r="AR596" s="6"/>
      <c r="BF596" s="6"/>
      <c r="BT596" s="6"/>
      <c r="CH596" s="6"/>
    </row>
    <row r="597" ht="13.5" customHeight="1">
      <c r="P597" s="6"/>
      <c r="AD597" s="6"/>
      <c r="AR597" s="6"/>
      <c r="BF597" s="6"/>
      <c r="BT597" s="6"/>
      <c r="CH597" s="6"/>
    </row>
    <row r="598" ht="13.5" customHeight="1">
      <c r="P598" s="6"/>
      <c r="AD598" s="6"/>
      <c r="AR598" s="6"/>
      <c r="BF598" s="6"/>
      <c r="BT598" s="6"/>
      <c r="CH598" s="6"/>
    </row>
    <row r="599" ht="13.5" customHeight="1">
      <c r="P599" s="6"/>
      <c r="AD599" s="6"/>
      <c r="AR599" s="6"/>
      <c r="BF599" s="6"/>
      <c r="BT599" s="6"/>
      <c r="CH599" s="6"/>
    </row>
    <row r="600" ht="13.5" customHeight="1">
      <c r="P600" s="6"/>
      <c r="AD600" s="6"/>
      <c r="AR600" s="6"/>
      <c r="BF600" s="6"/>
      <c r="BT600" s="6"/>
      <c r="CH600" s="6"/>
    </row>
    <row r="601" ht="13.5" customHeight="1">
      <c r="P601" s="6"/>
      <c r="AD601" s="6"/>
      <c r="AR601" s="6"/>
      <c r="BF601" s="6"/>
      <c r="BT601" s="6"/>
      <c r="CH601" s="6"/>
    </row>
    <row r="602" ht="13.5" customHeight="1">
      <c r="P602" s="6"/>
      <c r="AD602" s="6"/>
      <c r="AR602" s="6"/>
      <c r="BF602" s="6"/>
      <c r="BT602" s="6"/>
      <c r="CH602" s="6"/>
    </row>
    <row r="603" ht="13.5" customHeight="1">
      <c r="P603" s="6"/>
      <c r="AD603" s="6"/>
      <c r="AR603" s="6"/>
      <c r="BF603" s="6"/>
      <c r="BT603" s="6"/>
      <c r="CH603" s="6"/>
    </row>
    <row r="604" ht="13.5" customHeight="1">
      <c r="P604" s="6"/>
      <c r="AD604" s="6"/>
      <c r="AR604" s="6"/>
      <c r="BF604" s="6"/>
      <c r="BT604" s="6"/>
      <c r="CH604" s="6"/>
    </row>
    <row r="605" ht="13.5" customHeight="1">
      <c r="P605" s="6"/>
      <c r="AD605" s="6"/>
      <c r="AR605" s="6"/>
      <c r="BF605" s="6"/>
      <c r="BT605" s="6"/>
      <c r="CH605" s="6"/>
    </row>
    <row r="606" ht="13.5" customHeight="1">
      <c r="P606" s="6"/>
      <c r="AD606" s="6"/>
      <c r="AR606" s="6"/>
      <c r="BF606" s="6"/>
      <c r="BT606" s="6"/>
      <c r="CH606" s="6"/>
    </row>
    <row r="607" ht="13.5" customHeight="1">
      <c r="P607" s="6"/>
      <c r="AD607" s="6"/>
      <c r="AR607" s="6"/>
      <c r="BF607" s="6"/>
      <c r="BT607" s="6"/>
      <c r="CH607" s="6"/>
    </row>
    <row r="608" ht="13.5" customHeight="1">
      <c r="P608" s="6"/>
      <c r="AD608" s="6"/>
      <c r="AR608" s="6"/>
      <c r="BF608" s="6"/>
      <c r="BT608" s="6"/>
      <c r="CH608" s="6"/>
    </row>
    <row r="609" ht="13.5" customHeight="1">
      <c r="P609" s="6"/>
      <c r="AD609" s="6"/>
      <c r="AR609" s="6"/>
      <c r="BF609" s="6"/>
      <c r="BT609" s="6"/>
      <c r="CH609" s="6"/>
    </row>
    <row r="610" ht="13.5" customHeight="1">
      <c r="P610" s="6"/>
      <c r="AD610" s="6"/>
      <c r="AR610" s="6"/>
      <c r="BF610" s="6"/>
      <c r="BT610" s="6"/>
      <c r="CH610" s="6"/>
    </row>
    <row r="611" ht="13.5" customHeight="1">
      <c r="P611" s="6"/>
      <c r="AD611" s="6"/>
      <c r="AR611" s="6"/>
      <c r="BF611" s="6"/>
      <c r="BT611" s="6"/>
      <c r="CH611" s="6"/>
    </row>
    <row r="612" ht="13.5" customHeight="1">
      <c r="P612" s="6"/>
      <c r="AD612" s="6"/>
      <c r="AR612" s="6"/>
      <c r="BF612" s="6"/>
      <c r="BT612" s="6"/>
      <c r="CH612" s="6"/>
    </row>
    <row r="613" ht="13.5" customHeight="1">
      <c r="P613" s="6"/>
      <c r="AD613" s="6"/>
      <c r="AR613" s="6"/>
      <c r="BF613" s="6"/>
      <c r="BT613" s="6"/>
      <c r="CH613" s="6"/>
    </row>
    <row r="614" ht="13.5" customHeight="1">
      <c r="P614" s="6"/>
      <c r="AD614" s="6"/>
      <c r="AR614" s="6"/>
      <c r="BF614" s="6"/>
      <c r="BT614" s="6"/>
      <c r="CH614" s="6"/>
    </row>
    <row r="615" ht="13.5" customHeight="1">
      <c r="P615" s="6"/>
      <c r="AD615" s="6"/>
      <c r="AR615" s="6"/>
      <c r="BF615" s="6"/>
      <c r="BT615" s="6"/>
      <c r="CH615" s="6"/>
    </row>
    <row r="616" ht="13.5" customHeight="1">
      <c r="P616" s="6"/>
      <c r="AD616" s="6"/>
      <c r="AR616" s="6"/>
      <c r="BF616" s="6"/>
      <c r="BT616" s="6"/>
      <c r="CH616" s="6"/>
    </row>
    <row r="617" ht="13.5" customHeight="1">
      <c r="P617" s="6"/>
      <c r="AD617" s="6"/>
      <c r="AR617" s="6"/>
      <c r="BF617" s="6"/>
      <c r="BT617" s="6"/>
      <c r="CH617" s="6"/>
    </row>
    <row r="618" ht="13.5" customHeight="1">
      <c r="P618" s="6"/>
      <c r="AD618" s="6"/>
      <c r="AR618" s="6"/>
      <c r="BF618" s="6"/>
      <c r="BT618" s="6"/>
      <c r="CH618" s="6"/>
    </row>
    <row r="619" ht="13.5" customHeight="1">
      <c r="P619" s="6"/>
      <c r="AD619" s="6"/>
      <c r="AR619" s="6"/>
      <c r="BF619" s="6"/>
      <c r="BT619" s="6"/>
      <c r="CH619" s="6"/>
    </row>
    <row r="620" ht="13.5" customHeight="1">
      <c r="P620" s="6"/>
      <c r="AD620" s="6"/>
      <c r="AR620" s="6"/>
      <c r="BF620" s="6"/>
      <c r="BT620" s="6"/>
      <c r="CH620" s="6"/>
    </row>
    <row r="621" ht="13.5" customHeight="1">
      <c r="P621" s="6"/>
      <c r="AD621" s="6"/>
      <c r="AR621" s="6"/>
      <c r="BF621" s="6"/>
      <c r="BT621" s="6"/>
      <c r="CH621" s="6"/>
    </row>
    <row r="622" ht="13.5" customHeight="1">
      <c r="P622" s="6"/>
      <c r="AD622" s="6"/>
      <c r="AR622" s="6"/>
      <c r="BF622" s="6"/>
      <c r="BT622" s="6"/>
      <c r="CH622" s="6"/>
    </row>
    <row r="623" ht="13.5" customHeight="1">
      <c r="P623" s="6"/>
      <c r="AD623" s="6"/>
      <c r="AR623" s="6"/>
      <c r="BF623" s="6"/>
      <c r="BT623" s="6"/>
      <c r="CH623" s="6"/>
    </row>
    <row r="624" ht="13.5" customHeight="1">
      <c r="P624" s="6"/>
      <c r="AD624" s="6"/>
      <c r="AR624" s="6"/>
      <c r="BF624" s="6"/>
      <c r="BT624" s="6"/>
      <c r="CH624" s="6"/>
    </row>
    <row r="625" ht="13.5" customHeight="1">
      <c r="P625" s="6"/>
      <c r="AD625" s="6"/>
      <c r="AR625" s="6"/>
      <c r="BF625" s="6"/>
      <c r="BT625" s="6"/>
      <c r="CH625" s="6"/>
    </row>
    <row r="626" ht="13.5" customHeight="1">
      <c r="P626" s="6"/>
      <c r="AD626" s="6"/>
      <c r="AR626" s="6"/>
      <c r="BF626" s="6"/>
      <c r="BT626" s="6"/>
      <c r="CH626" s="6"/>
    </row>
    <row r="627" ht="13.5" customHeight="1">
      <c r="P627" s="6"/>
      <c r="AD627" s="6"/>
      <c r="AR627" s="6"/>
      <c r="BF627" s="6"/>
      <c r="BT627" s="6"/>
      <c r="CH627" s="6"/>
    </row>
    <row r="628" ht="13.5" customHeight="1">
      <c r="P628" s="6"/>
      <c r="AD628" s="6"/>
      <c r="AR628" s="6"/>
      <c r="BF628" s="6"/>
      <c r="BT628" s="6"/>
      <c r="CH628" s="6"/>
    </row>
    <row r="629" ht="13.5" customHeight="1">
      <c r="P629" s="6"/>
      <c r="AD629" s="6"/>
      <c r="AR629" s="6"/>
      <c r="BF629" s="6"/>
      <c r="BT629" s="6"/>
      <c r="CH629" s="6"/>
    </row>
    <row r="630" ht="13.5" customHeight="1">
      <c r="P630" s="6"/>
      <c r="AD630" s="6"/>
      <c r="AR630" s="6"/>
      <c r="BF630" s="6"/>
      <c r="BT630" s="6"/>
      <c r="CH630" s="6"/>
    </row>
    <row r="631" ht="13.5" customHeight="1">
      <c r="P631" s="6"/>
      <c r="AD631" s="6"/>
      <c r="AR631" s="6"/>
      <c r="BF631" s="6"/>
      <c r="BT631" s="6"/>
      <c r="CH631" s="6"/>
    </row>
    <row r="632" ht="13.5" customHeight="1">
      <c r="P632" s="6"/>
      <c r="AD632" s="6"/>
      <c r="AR632" s="6"/>
      <c r="BF632" s="6"/>
      <c r="BT632" s="6"/>
      <c r="CH632" s="6"/>
    </row>
    <row r="633" ht="13.5" customHeight="1">
      <c r="P633" s="6"/>
      <c r="AD633" s="6"/>
      <c r="AR633" s="6"/>
      <c r="BF633" s="6"/>
      <c r="BT633" s="6"/>
      <c r="CH633" s="6"/>
    </row>
    <row r="634" ht="13.5" customHeight="1">
      <c r="P634" s="6"/>
      <c r="AD634" s="6"/>
      <c r="AR634" s="6"/>
      <c r="BF634" s="6"/>
      <c r="BT634" s="6"/>
      <c r="CH634" s="6"/>
    </row>
    <row r="635" ht="13.5" customHeight="1">
      <c r="P635" s="6"/>
      <c r="AD635" s="6"/>
      <c r="AR635" s="6"/>
      <c r="BF635" s="6"/>
      <c r="BT635" s="6"/>
      <c r="CH635" s="6"/>
    </row>
    <row r="636" ht="13.5" customHeight="1">
      <c r="P636" s="6"/>
      <c r="AD636" s="6"/>
      <c r="AR636" s="6"/>
      <c r="BF636" s="6"/>
      <c r="BT636" s="6"/>
      <c r="CH636" s="6"/>
    </row>
    <row r="637" ht="13.5" customHeight="1">
      <c r="P637" s="6"/>
      <c r="AD637" s="6"/>
      <c r="AR637" s="6"/>
      <c r="BF637" s="6"/>
      <c r="BT637" s="6"/>
      <c r="CH637" s="6"/>
    </row>
    <row r="638" ht="13.5" customHeight="1">
      <c r="P638" s="6"/>
      <c r="AD638" s="6"/>
      <c r="AR638" s="6"/>
      <c r="BF638" s="6"/>
      <c r="BT638" s="6"/>
      <c r="CH638" s="6"/>
    </row>
    <row r="639" ht="13.5" customHeight="1">
      <c r="P639" s="6"/>
      <c r="AD639" s="6"/>
      <c r="AR639" s="6"/>
      <c r="BF639" s="6"/>
      <c r="BT639" s="6"/>
      <c r="CH639" s="6"/>
    </row>
    <row r="640" ht="13.5" customHeight="1">
      <c r="P640" s="6"/>
      <c r="AD640" s="6"/>
      <c r="AR640" s="6"/>
      <c r="BF640" s="6"/>
      <c r="BT640" s="6"/>
      <c r="CH640" s="6"/>
    </row>
    <row r="641" ht="13.5" customHeight="1">
      <c r="P641" s="6"/>
      <c r="AD641" s="6"/>
      <c r="AR641" s="6"/>
      <c r="BF641" s="6"/>
      <c r="BT641" s="6"/>
      <c r="CH641" s="6"/>
    </row>
    <row r="642" ht="13.5" customHeight="1">
      <c r="P642" s="6"/>
      <c r="AD642" s="6"/>
      <c r="AR642" s="6"/>
      <c r="BF642" s="6"/>
      <c r="BT642" s="6"/>
      <c r="CH642" s="6"/>
    </row>
    <row r="643" ht="13.5" customHeight="1">
      <c r="P643" s="6"/>
      <c r="AD643" s="6"/>
      <c r="AR643" s="6"/>
      <c r="BF643" s="6"/>
      <c r="BT643" s="6"/>
      <c r="CH643" s="6"/>
    </row>
    <row r="644" ht="13.5" customHeight="1">
      <c r="P644" s="6"/>
      <c r="AD644" s="6"/>
      <c r="AR644" s="6"/>
      <c r="BF644" s="6"/>
      <c r="BT644" s="6"/>
      <c r="CH644" s="6"/>
    </row>
    <row r="645" ht="13.5" customHeight="1">
      <c r="P645" s="6"/>
      <c r="AD645" s="6"/>
      <c r="AR645" s="6"/>
      <c r="BF645" s="6"/>
      <c r="BT645" s="6"/>
      <c r="CH645" s="6"/>
    </row>
    <row r="646" ht="13.5" customHeight="1">
      <c r="P646" s="6"/>
      <c r="AD646" s="6"/>
      <c r="AR646" s="6"/>
      <c r="BF646" s="6"/>
      <c r="BT646" s="6"/>
      <c r="CH646" s="6"/>
    </row>
    <row r="647" ht="13.5" customHeight="1">
      <c r="P647" s="6"/>
      <c r="AD647" s="6"/>
      <c r="AR647" s="6"/>
      <c r="BF647" s="6"/>
      <c r="BT647" s="6"/>
      <c r="CH647" s="6"/>
    </row>
    <row r="648" ht="13.5" customHeight="1">
      <c r="P648" s="6"/>
      <c r="AD648" s="6"/>
      <c r="AR648" s="6"/>
      <c r="BF648" s="6"/>
      <c r="BT648" s="6"/>
      <c r="CH648" s="6"/>
    </row>
    <row r="649" ht="13.5" customHeight="1">
      <c r="P649" s="6"/>
      <c r="AD649" s="6"/>
      <c r="AR649" s="6"/>
      <c r="BF649" s="6"/>
      <c r="BT649" s="6"/>
      <c r="CH649" s="6"/>
    </row>
    <row r="650" ht="13.5" customHeight="1">
      <c r="P650" s="6"/>
      <c r="AD650" s="6"/>
      <c r="AR650" s="6"/>
      <c r="BF650" s="6"/>
      <c r="BT650" s="6"/>
      <c r="CH650" s="6"/>
    </row>
    <row r="651" ht="13.5" customHeight="1">
      <c r="P651" s="6"/>
      <c r="AD651" s="6"/>
      <c r="AR651" s="6"/>
      <c r="BF651" s="6"/>
      <c r="BT651" s="6"/>
      <c r="CH651" s="6"/>
    </row>
    <row r="652" ht="13.5" customHeight="1">
      <c r="P652" s="6"/>
      <c r="AD652" s="6"/>
      <c r="AR652" s="6"/>
      <c r="BF652" s="6"/>
      <c r="BT652" s="6"/>
      <c r="CH652" s="6"/>
    </row>
    <row r="653" ht="13.5" customHeight="1">
      <c r="P653" s="6"/>
      <c r="AD653" s="6"/>
      <c r="AR653" s="6"/>
      <c r="BF653" s="6"/>
      <c r="BT653" s="6"/>
      <c r="CH653" s="6"/>
    </row>
    <row r="654" ht="13.5" customHeight="1">
      <c r="P654" s="6"/>
      <c r="AD654" s="6"/>
      <c r="AR654" s="6"/>
      <c r="BF654" s="6"/>
      <c r="BT654" s="6"/>
      <c r="CH654" s="6"/>
    </row>
    <row r="655" ht="13.5" customHeight="1">
      <c r="P655" s="6"/>
      <c r="AD655" s="6"/>
      <c r="AR655" s="6"/>
      <c r="BF655" s="6"/>
      <c r="BT655" s="6"/>
      <c r="CH655" s="6"/>
    </row>
    <row r="656" ht="13.5" customHeight="1">
      <c r="P656" s="6"/>
      <c r="AD656" s="6"/>
      <c r="AR656" s="6"/>
      <c r="BF656" s="6"/>
      <c r="BT656" s="6"/>
      <c r="CH656" s="6"/>
    </row>
    <row r="657" ht="13.5" customHeight="1">
      <c r="P657" s="6"/>
      <c r="AD657" s="6"/>
      <c r="AR657" s="6"/>
      <c r="BF657" s="6"/>
      <c r="BT657" s="6"/>
      <c r="CH657" s="6"/>
    </row>
    <row r="658" ht="13.5" customHeight="1">
      <c r="P658" s="6"/>
      <c r="AD658" s="6"/>
      <c r="AR658" s="6"/>
      <c r="BF658" s="6"/>
      <c r="BT658" s="6"/>
      <c r="CH658" s="6"/>
    </row>
    <row r="659" ht="13.5" customHeight="1">
      <c r="P659" s="6"/>
      <c r="AD659" s="6"/>
      <c r="AR659" s="6"/>
      <c r="BF659" s="6"/>
      <c r="BT659" s="6"/>
      <c r="CH659" s="6"/>
    </row>
    <row r="660" ht="13.5" customHeight="1">
      <c r="P660" s="6"/>
      <c r="AD660" s="6"/>
      <c r="AR660" s="6"/>
      <c r="BF660" s="6"/>
      <c r="BT660" s="6"/>
      <c r="CH660" s="6"/>
    </row>
    <row r="661" ht="13.5" customHeight="1">
      <c r="P661" s="6"/>
      <c r="AD661" s="6"/>
      <c r="AR661" s="6"/>
      <c r="BF661" s="6"/>
      <c r="BT661" s="6"/>
      <c r="CH661" s="6"/>
    </row>
    <row r="662" ht="13.5" customHeight="1">
      <c r="P662" s="6"/>
      <c r="AD662" s="6"/>
      <c r="AR662" s="6"/>
      <c r="BF662" s="6"/>
      <c r="BT662" s="6"/>
      <c r="CH662" s="6"/>
    </row>
    <row r="663" ht="13.5" customHeight="1">
      <c r="P663" s="6"/>
      <c r="AD663" s="6"/>
      <c r="AR663" s="6"/>
      <c r="BF663" s="6"/>
      <c r="BT663" s="6"/>
      <c r="CH663" s="6"/>
    </row>
    <row r="664" ht="13.5" customHeight="1">
      <c r="P664" s="6"/>
      <c r="AD664" s="6"/>
      <c r="AR664" s="6"/>
      <c r="BF664" s="6"/>
      <c r="BT664" s="6"/>
      <c r="CH664" s="6"/>
    </row>
    <row r="665" ht="13.5" customHeight="1">
      <c r="P665" s="6"/>
      <c r="AD665" s="6"/>
      <c r="AR665" s="6"/>
      <c r="BF665" s="6"/>
      <c r="BT665" s="6"/>
      <c r="CH665" s="6"/>
    </row>
    <row r="666" ht="13.5" customHeight="1">
      <c r="P666" s="6"/>
      <c r="AD666" s="6"/>
      <c r="AR666" s="6"/>
      <c r="BF666" s="6"/>
      <c r="BT666" s="6"/>
      <c r="CH666" s="6"/>
    </row>
    <row r="667" ht="13.5" customHeight="1">
      <c r="P667" s="6"/>
      <c r="AD667" s="6"/>
      <c r="AR667" s="6"/>
      <c r="BF667" s="6"/>
      <c r="BT667" s="6"/>
      <c r="CH667" s="6"/>
    </row>
    <row r="668" ht="13.5" customHeight="1">
      <c r="P668" s="6"/>
      <c r="AD668" s="6"/>
      <c r="AR668" s="6"/>
      <c r="BF668" s="6"/>
      <c r="BT668" s="6"/>
      <c r="CH668" s="6"/>
    </row>
    <row r="669" ht="13.5" customHeight="1">
      <c r="P669" s="6"/>
      <c r="AD669" s="6"/>
      <c r="AR669" s="6"/>
      <c r="BF669" s="6"/>
      <c r="BT669" s="6"/>
      <c r="CH669" s="6"/>
    </row>
    <row r="670" ht="13.5" customHeight="1">
      <c r="P670" s="6"/>
      <c r="AD670" s="6"/>
      <c r="AR670" s="6"/>
      <c r="BF670" s="6"/>
      <c r="BT670" s="6"/>
      <c r="CH670" s="6"/>
    </row>
    <row r="671" ht="13.5" customHeight="1">
      <c r="P671" s="6"/>
      <c r="AD671" s="6"/>
      <c r="AR671" s="6"/>
      <c r="BF671" s="6"/>
      <c r="BT671" s="6"/>
      <c r="CH671" s="6"/>
    </row>
    <row r="672" ht="13.5" customHeight="1">
      <c r="P672" s="6"/>
      <c r="AD672" s="6"/>
      <c r="AR672" s="6"/>
      <c r="BF672" s="6"/>
      <c r="BT672" s="6"/>
      <c r="CH672" s="6"/>
    </row>
    <row r="673" ht="13.5" customHeight="1">
      <c r="P673" s="6"/>
      <c r="AD673" s="6"/>
      <c r="AR673" s="6"/>
      <c r="BF673" s="6"/>
      <c r="BT673" s="6"/>
      <c r="CH673" s="6"/>
    </row>
    <row r="674" ht="13.5" customHeight="1">
      <c r="P674" s="6"/>
      <c r="AD674" s="6"/>
      <c r="AR674" s="6"/>
      <c r="BF674" s="6"/>
      <c r="BT674" s="6"/>
      <c r="CH674" s="6"/>
    </row>
    <row r="675" ht="13.5" customHeight="1">
      <c r="P675" s="6"/>
      <c r="AD675" s="6"/>
      <c r="AR675" s="6"/>
      <c r="BF675" s="6"/>
      <c r="BT675" s="6"/>
      <c r="CH675" s="6"/>
    </row>
    <row r="676" ht="13.5" customHeight="1">
      <c r="P676" s="6"/>
      <c r="AD676" s="6"/>
      <c r="AR676" s="6"/>
      <c r="BF676" s="6"/>
      <c r="BT676" s="6"/>
      <c r="CH676" s="6"/>
    </row>
    <row r="677" ht="13.5" customHeight="1">
      <c r="P677" s="6"/>
      <c r="AD677" s="6"/>
      <c r="AR677" s="6"/>
      <c r="BF677" s="6"/>
      <c r="BT677" s="6"/>
      <c r="CH677" s="6"/>
    </row>
    <row r="678" ht="13.5" customHeight="1">
      <c r="P678" s="6"/>
      <c r="AD678" s="6"/>
      <c r="AR678" s="6"/>
      <c r="BF678" s="6"/>
      <c r="BT678" s="6"/>
      <c r="CH678" s="6"/>
    </row>
    <row r="679" ht="13.5" customHeight="1">
      <c r="P679" s="6"/>
      <c r="AD679" s="6"/>
      <c r="AR679" s="6"/>
      <c r="BF679" s="6"/>
      <c r="BT679" s="6"/>
      <c r="CH679" s="6"/>
    </row>
    <row r="680" ht="13.5" customHeight="1">
      <c r="P680" s="6"/>
      <c r="AD680" s="6"/>
      <c r="AR680" s="6"/>
      <c r="BF680" s="6"/>
      <c r="BT680" s="6"/>
      <c r="CH680" s="6"/>
    </row>
    <row r="681" ht="13.5" customHeight="1">
      <c r="P681" s="6"/>
      <c r="AD681" s="6"/>
      <c r="AR681" s="6"/>
      <c r="BF681" s="6"/>
      <c r="BT681" s="6"/>
      <c r="CH681" s="6"/>
    </row>
    <row r="682" ht="13.5" customHeight="1">
      <c r="P682" s="6"/>
      <c r="AD682" s="6"/>
      <c r="AR682" s="6"/>
      <c r="BF682" s="6"/>
      <c r="BT682" s="6"/>
      <c r="CH682" s="6"/>
    </row>
    <row r="683" ht="13.5" customHeight="1">
      <c r="P683" s="6"/>
      <c r="AD683" s="6"/>
      <c r="AR683" s="6"/>
      <c r="BF683" s="6"/>
      <c r="BT683" s="6"/>
      <c r="CH683" s="6"/>
    </row>
    <row r="684" ht="13.5" customHeight="1">
      <c r="P684" s="6"/>
      <c r="AD684" s="6"/>
      <c r="AR684" s="6"/>
      <c r="BF684" s="6"/>
      <c r="BT684" s="6"/>
      <c r="CH684" s="6"/>
    </row>
    <row r="685" ht="13.5" customHeight="1">
      <c r="P685" s="6"/>
      <c r="AD685" s="6"/>
      <c r="AR685" s="6"/>
      <c r="BF685" s="6"/>
      <c r="BT685" s="6"/>
      <c r="CH685" s="6"/>
    </row>
    <row r="686" ht="13.5" customHeight="1">
      <c r="P686" s="6"/>
      <c r="AD686" s="6"/>
      <c r="AR686" s="6"/>
      <c r="BF686" s="6"/>
      <c r="BT686" s="6"/>
      <c r="CH686" s="6"/>
    </row>
    <row r="687" ht="13.5" customHeight="1">
      <c r="P687" s="6"/>
      <c r="AD687" s="6"/>
      <c r="AR687" s="6"/>
      <c r="BF687" s="6"/>
      <c r="BT687" s="6"/>
      <c r="CH687" s="6"/>
    </row>
    <row r="688" ht="13.5" customHeight="1">
      <c r="P688" s="6"/>
      <c r="AD688" s="6"/>
      <c r="AR688" s="6"/>
      <c r="BF688" s="6"/>
      <c r="BT688" s="6"/>
      <c r="CH688" s="6"/>
    </row>
    <row r="689" ht="13.5" customHeight="1">
      <c r="P689" s="6"/>
      <c r="AD689" s="6"/>
      <c r="AR689" s="6"/>
      <c r="BF689" s="6"/>
      <c r="BT689" s="6"/>
      <c r="CH689" s="6"/>
    </row>
    <row r="690" ht="13.5" customHeight="1">
      <c r="P690" s="6"/>
      <c r="AD690" s="6"/>
      <c r="AR690" s="6"/>
      <c r="BF690" s="6"/>
      <c r="BT690" s="6"/>
      <c r="CH690" s="6"/>
    </row>
    <row r="691" ht="13.5" customHeight="1">
      <c r="P691" s="6"/>
      <c r="AD691" s="6"/>
      <c r="AR691" s="6"/>
      <c r="BF691" s="6"/>
      <c r="BT691" s="6"/>
      <c r="CH691" s="6"/>
    </row>
    <row r="692" ht="13.5" customHeight="1">
      <c r="P692" s="6"/>
      <c r="AD692" s="6"/>
      <c r="AR692" s="6"/>
      <c r="BF692" s="6"/>
      <c r="BT692" s="6"/>
      <c r="CH692" s="6"/>
    </row>
    <row r="693" ht="13.5" customHeight="1">
      <c r="P693" s="6"/>
      <c r="AD693" s="6"/>
      <c r="AR693" s="6"/>
      <c r="BF693" s="6"/>
      <c r="BT693" s="6"/>
      <c r="CH693" s="6"/>
    </row>
    <row r="694" ht="13.5" customHeight="1">
      <c r="P694" s="6"/>
      <c r="AD694" s="6"/>
      <c r="AR694" s="6"/>
      <c r="BF694" s="6"/>
      <c r="BT694" s="6"/>
      <c r="CH694" s="6"/>
    </row>
    <row r="695" ht="13.5" customHeight="1">
      <c r="P695" s="6"/>
      <c r="AD695" s="6"/>
      <c r="AR695" s="6"/>
      <c r="BF695" s="6"/>
      <c r="BT695" s="6"/>
      <c r="CH695" s="6"/>
    </row>
    <row r="696" ht="13.5" customHeight="1">
      <c r="P696" s="6"/>
      <c r="AD696" s="6"/>
      <c r="AR696" s="6"/>
      <c r="BF696" s="6"/>
      <c r="BT696" s="6"/>
      <c r="CH696" s="6"/>
    </row>
    <row r="697" ht="13.5" customHeight="1">
      <c r="P697" s="6"/>
      <c r="AD697" s="6"/>
      <c r="AR697" s="6"/>
      <c r="BF697" s="6"/>
      <c r="BT697" s="6"/>
      <c r="CH697" s="6"/>
    </row>
    <row r="698" ht="13.5" customHeight="1">
      <c r="P698" s="6"/>
      <c r="AD698" s="6"/>
      <c r="AR698" s="6"/>
      <c r="BF698" s="6"/>
      <c r="BT698" s="6"/>
      <c r="CH698" s="6"/>
    </row>
    <row r="699" ht="13.5" customHeight="1">
      <c r="P699" s="6"/>
      <c r="AD699" s="6"/>
      <c r="AR699" s="6"/>
      <c r="BF699" s="6"/>
      <c r="BT699" s="6"/>
      <c r="CH699" s="6"/>
    </row>
    <row r="700" ht="13.5" customHeight="1">
      <c r="P700" s="6"/>
      <c r="AD700" s="6"/>
      <c r="AR700" s="6"/>
      <c r="BF700" s="6"/>
      <c r="BT700" s="6"/>
      <c r="CH700" s="6"/>
    </row>
    <row r="701" ht="13.5" customHeight="1">
      <c r="P701" s="6"/>
      <c r="AD701" s="6"/>
      <c r="AR701" s="6"/>
      <c r="BF701" s="6"/>
      <c r="BT701" s="6"/>
      <c r="CH701" s="6"/>
    </row>
    <row r="702" ht="13.5" customHeight="1">
      <c r="P702" s="6"/>
      <c r="AD702" s="6"/>
      <c r="AR702" s="6"/>
      <c r="BF702" s="6"/>
      <c r="BT702" s="6"/>
      <c r="CH702" s="6"/>
    </row>
    <row r="703" ht="13.5" customHeight="1">
      <c r="P703" s="6"/>
      <c r="AD703" s="6"/>
      <c r="AR703" s="6"/>
      <c r="BF703" s="6"/>
      <c r="BT703" s="6"/>
      <c r="CH703" s="6"/>
    </row>
    <row r="704" ht="13.5" customHeight="1">
      <c r="P704" s="6"/>
      <c r="AD704" s="6"/>
      <c r="AR704" s="6"/>
      <c r="BF704" s="6"/>
      <c r="BT704" s="6"/>
      <c r="CH704" s="6"/>
    </row>
    <row r="705" ht="13.5" customHeight="1">
      <c r="P705" s="6"/>
      <c r="AD705" s="6"/>
      <c r="AR705" s="6"/>
      <c r="BF705" s="6"/>
      <c r="BT705" s="6"/>
      <c r="CH705" s="6"/>
    </row>
    <row r="706" ht="13.5" customHeight="1">
      <c r="P706" s="6"/>
      <c r="AD706" s="6"/>
      <c r="AR706" s="6"/>
      <c r="BF706" s="6"/>
      <c r="BT706" s="6"/>
      <c r="CH706" s="6"/>
    </row>
    <row r="707" ht="13.5" customHeight="1">
      <c r="P707" s="6"/>
      <c r="AD707" s="6"/>
      <c r="AR707" s="6"/>
      <c r="BF707" s="6"/>
      <c r="BT707" s="6"/>
      <c r="CH707" s="6"/>
    </row>
    <row r="708" ht="13.5" customHeight="1">
      <c r="P708" s="6"/>
      <c r="AD708" s="6"/>
      <c r="AR708" s="6"/>
      <c r="BF708" s="6"/>
      <c r="BT708" s="6"/>
      <c r="CH708" s="6"/>
    </row>
    <row r="709" ht="13.5" customHeight="1">
      <c r="P709" s="6"/>
      <c r="AD709" s="6"/>
      <c r="AR709" s="6"/>
      <c r="BF709" s="6"/>
      <c r="BT709" s="6"/>
      <c r="CH709" s="6"/>
    </row>
    <row r="710" ht="13.5" customHeight="1">
      <c r="P710" s="6"/>
      <c r="AD710" s="6"/>
      <c r="AR710" s="6"/>
      <c r="BF710" s="6"/>
      <c r="BT710" s="6"/>
      <c r="CH710" s="6"/>
    </row>
    <row r="711" ht="13.5" customHeight="1">
      <c r="P711" s="6"/>
      <c r="AD711" s="6"/>
      <c r="AR711" s="6"/>
      <c r="BF711" s="6"/>
      <c r="BT711" s="6"/>
      <c r="CH711" s="6"/>
    </row>
    <row r="712" ht="13.5" customHeight="1">
      <c r="P712" s="6"/>
      <c r="AD712" s="6"/>
      <c r="AR712" s="6"/>
      <c r="BF712" s="6"/>
      <c r="BT712" s="6"/>
      <c r="CH712" s="6"/>
    </row>
    <row r="713" ht="13.5" customHeight="1">
      <c r="P713" s="6"/>
      <c r="AD713" s="6"/>
      <c r="AR713" s="6"/>
      <c r="BF713" s="6"/>
      <c r="BT713" s="6"/>
      <c r="CH713" s="6"/>
    </row>
    <row r="714" ht="13.5" customHeight="1">
      <c r="P714" s="6"/>
      <c r="AD714" s="6"/>
      <c r="AR714" s="6"/>
      <c r="BF714" s="6"/>
      <c r="BT714" s="6"/>
      <c r="CH714" s="6"/>
    </row>
    <row r="715" ht="13.5" customHeight="1">
      <c r="P715" s="6"/>
      <c r="AD715" s="6"/>
      <c r="AR715" s="6"/>
      <c r="BF715" s="6"/>
      <c r="BT715" s="6"/>
      <c r="CH715" s="6"/>
    </row>
    <row r="716" ht="13.5" customHeight="1">
      <c r="P716" s="6"/>
      <c r="AD716" s="6"/>
      <c r="AR716" s="6"/>
      <c r="BF716" s="6"/>
      <c r="BT716" s="6"/>
      <c r="CH716" s="6"/>
    </row>
    <row r="717" ht="13.5" customHeight="1">
      <c r="P717" s="6"/>
      <c r="AD717" s="6"/>
      <c r="AR717" s="6"/>
      <c r="BF717" s="6"/>
      <c r="BT717" s="6"/>
      <c r="CH717" s="6"/>
    </row>
    <row r="718" ht="13.5" customHeight="1">
      <c r="P718" s="6"/>
      <c r="AD718" s="6"/>
      <c r="AR718" s="6"/>
      <c r="BF718" s="6"/>
      <c r="BT718" s="6"/>
      <c r="CH718" s="6"/>
    </row>
    <row r="719" ht="13.5" customHeight="1">
      <c r="P719" s="6"/>
      <c r="AD719" s="6"/>
      <c r="AR719" s="6"/>
      <c r="BF719" s="6"/>
      <c r="BT719" s="6"/>
      <c r="CH719" s="6"/>
    </row>
    <row r="720" ht="13.5" customHeight="1">
      <c r="P720" s="6"/>
      <c r="AD720" s="6"/>
      <c r="AR720" s="6"/>
      <c r="BF720" s="6"/>
      <c r="BT720" s="6"/>
      <c r="CH720" s="6"/>
    </row>
    <row r="721" ht="13.5" customHeight="1">
      <c r="P721" s="6"/>
      <c r="AD721" s="6"/>
      <c r="AR721" s="6"/>
      <c r="BF721" s="6"/>
      <c r="BT721" s="6"/>
      <c r="CH721" s="6"/>
    </row>
    <row r="722" ht="13.5" customHeight="1">
      <c r="P722" s="6"/>
      <c r="AD722" s="6"/>
      <c r="AR722" s="6"/>
      <c r="BF722" s="6"/>
      <c r="BT722" s="6"/>
      <c r="CH722" s="6"/>
    </row>
    <row r="723" ht="13.5" customHeight="1">
      <c r="P723" s="6"/>
      <c r="AD723" s="6"/>
      <c r="AR723" s="6"/>
      <c r="BF723" s="6"/>
      <c r="BT723" s="6"/>
      <c r="CH723" s="6"/>
    </row>
    <row r="724" ht="13.5" customHeight="1">
      <c r="P724" s="6"/>
      <c r="AD724" s="6"/>
      <c r="AR724" s="6"/>
      <c r="BF724" s="6"/>
      <c r="BT724" s="6"/>
      <c r="CH724" s="6"/>
    </row>
    <row r="725" ht="13.5" customHeight="1">
      <c r="P725" s="6"/>
      <c r="AD725" s="6"/>
      <c r="AR725" s="6"/>
      <c r="BF725" s="6"/>
      <c r="BT725" s="6"/>
      <c r="CH725" s="6"/>
    </row>
    <row r="726" ht="13.5" customHeight="1">
      <c r="P726" s="6"/>
      <c r="AD726" s="6"/>
      <c r="AR726" s="6"/>
      <c r="BF726" s="6"/>
      <c r="BT726" s="6"/>
      <c r="CH726" s="6"/>
    </row>
    <row r="727" ht="13.5" customHeight="1">
      <c r="P727" s="6"/>
      <c r="AD727" s="6"/>
      <c r="AR727" s="6"/>
      <c r="BF727" s="6"/>
      <c r="BT727" s="6"/>
      <c r="CH727" s="6"/>
    </row>
    <row r="728" ht="13.5" customHeight="1">
      <c r="P728" s="6"/>
      <c r="AD728" s="6"/>
      <c r="AR728" s="6"/>
      <c r="BF728" s="6"/>
      <c r="BT728" s="6"/>
      <c r="CH728" s="6"/>
    </row>
    <row r="729" ht="13.5" customHeight="1">
      <c r="P729" s="6"/>
      <c r="AD729" s="6"/>
      <c r="AR729" s="6"/>
      <c r="BF729" s="6"/>
      <c r="BT729" s="6"/>
      <c r="CH729" s="6"/>
    </row>
    <row r="730" ht="13.5" customHeight="1">
      <c r="P730" s="6"/>
      <c r="AD730" s="6"/>
      <c r="AR730" s="6"/>
      <c r="BF730" s="6"/>
      <c r="BT730" s="6"/>
      <c r="CH730" s="6"/>
    </row>
    <row r="731" ht="13.5" customHeight="1">
      <c r="P731" s="6"/>
      <c r="AD731" s="6"/>
      <c r="AR731" s="6"/>
      <c r="BF731" s="6"/>
      <c r="BT731" s="6"/>
      <c r="CH731" s="6"/>
    </row>
    <row r="732" ht="13.5" customHeight="1">
      <c r="P732" s="6"/>
      <c r="AD732" s="6"/>
      <c r="AR732" s="6"/>
      <c r="BF732" s="6"/>
      <c r="BT732" s="6"/>
      <c r="CH732" s="6"/>
    </row>
    <row r="733" ht="13.5" customHeight="1">
      <c r="P733" s="6"/>
      <c r="AD733" s="6"/>
      <c r="AR733" s="6"/>
      <c r="BF733" s="6"/>
      <c r="BT733" s="6"/>
      <c r="CH733" s="6"/>
    </row>
    <row r="734" ht="13.5" customHeight="1">
      <c r="P734" s="6"/>
      <c r="AD734" s="6"/>
      <c r="AR734" s="6"/>
      <c r="BF734" s="6"/>
      <c r="BT734" s="6"/>
      <c r="CH734" s="6"/>
    </row>
    <row r="735" ht="13.5" customHeight="1">
      <c r="P735" s="6"/>
      <c r="AD735" s="6"/>
      <c r="AR735" s="6"/>
      <c r="BF735" s="6"/>
      <c r="BT735" s="6"/>
      <c r="CH735" s="6"/>
    </row>
    <row r="736" ht="13.5" customHeight="1">
      <c r="P736" s="6"/>
      <c r="AD736" s="6"/>
      <c r="AR736" s="6"/>
      <c r="BF736" s="6"/>
      <c r="BT736" s="6"/>
      <c r="CH736" s="6"/>
    </row>
    <row r="737" ht="13.5" customHeight="1">
      <c r="P737" s="6"/>
      <c r="AD737" s="6"/>
      <c r="AR737" s="6"/>
      <c r="BF737" s="6"/>
      <c r="BT737" s="6"/>
      <c r="CH737" s="6"/>
    </row>
    <row r="738" ht="13.5" customHeight="1">
      <c r="P738" s="6"/>
      <c r="AD738" s="6"/>
      <c r="AR738" s="6"/>
      <c r="BF738" s="6"/>
      <c r="BT738" s="6"/>
      <c r="CH738" s="6"/>
    </row>
    <row r="739" ht="13.5" customHeight="1">
      <c r="P739" s="6"/>
      <c r="AD739" s="6"/>
      <c r="AR739" s="6"/>
      <c r="BF739" s="6"/>
      <c r="BT739" s="6"/>
      <c r="CH739" s="6"/>
    </row>
    <row r="740" ht="13.5" customHeight="1">
      <c r="P740" s="6"/>
      <c r="AD740" s="6"/>
      <c r="AR740" s="6"/>
      <c r="BF740" s="6"/>
      <c r="BT740" s="6"/>
      <c r="CH740" s="6"/>
    </row>
    <row r="741" ht="13.5" customHeight="1">
      <c r="P741" s="6"/>
      <c r="AD741" s="6"/>
      <c r="AR741" s="6"/>
      <c r="BF741" s="6"/>
      <c r="BT741" s="6"/>
      <c r="CH741" s="6"/>
    </row>
    <row r="742" ht="13.5" customHeight="1">
      <c r="P742" s="6"/>
      <c r="AD742" s="6"/>
      <c r="AR742" s="6"/>
      <c r="BF742" s="6"/>
      <c r="BT742" s="6"/>
      <c r="CH742" s="6"/>
    </row>
    <row r="743" ht="13.5" customHeight="1">
      <c r="P743" s="6"/>
      <c r="AD743" s="6"/>
      <c r="AR743" s="6"/>
      <c r="BF743" s="6"/>
      <c r="BT743" s="6"/>
      <c r="CH743" s="6"/>
    </row>
    <row r="744" ht="13.5" customHeight="1">
      <c r="P744" s="6"/>
      <c r="AD744" s="6"/>
      <c r="AR744" s="6"/>
      <c r="BF744" s="6"/>
      <c r="BT744" s="6"/>
      <c r="CH744" s="6"/>
    </row>
    <row r="745" ht="13.5" customHeight="1">
      <c r="P745" s="6"/>
      <c r="AD745" s="6"/>
      <c r="AR745" s="6"/>
      <c r="BF745" s="6"/>
      <c r="BT745" s="6"/>
      <c r="CH745" s="6"/>
    </row>
    <row r="746" ht="13.5" customHeight="1">
      <c r="P746" s="6"/>
      <c r="AD746" s="6"/>
      <c r="AR746" s="6"/>
      <c r="BF746" s="6"/>
      <c r="BT746" s="6"/>
      <c r="CH746" s="6"/>
    </row>
    <row r="747" ht="13.5" customHeight="1">
      <c r="P747" s="6"/>
      <c r="AD747" s="6"/>
      <c r="AR747" s="6"/>
      <c r="BF747" s="6"/>
      <c r="BT747" s="6"/>
      <c r="CH747" s="6"/>
    </row>
    <row r="748" ht="13.5" customHeight="1">
      <c r="P748" s="6"/>
      <c r="AD748" s="6"/>
      <c r="AR748" s="6"/>
      <c r="BF748" s="6"/>
      <c r="BT748" s="6"/>
      <c r="CH748" s="6"/>
    </row>
    <row r="749" ht="13.5" customHeight="1">
      <c r="P749" s="6"/>
      <c r="AD749" s="6"/>
      <c r="AR749" s="6"/>
      <c r="BF749" s="6"/>
      <c r="BT749" s="6"/>
      <c r="CH749" s="6"/>
    </row>
    <row r="750" ht="13.5" customHeight="1">
      <c r="P750" s="6"/>
      <c r="AD750" s="6"/>
      <c r="AR750" s="6"/>
      <c r="BF750" s="6"/>
      <c r="BT750" s="6"/>
      <c r="CH750" s="6"/>
    </row>
    <row r="751" ht="13.5" customHeight="1">
      <c r="P751" s="6"/>
      <c r="AD751" s="6"/>
      <c r="AR751" s="6"/>
      <c r="BF751" s="6"/>
      <c r="BT751" s="6"/>
      <c r="CH751" s="6"/>
    </row>
    <row r="752" ht="13.5" customHeight="1">
      <c r="P752" s="6"/>
      <c r="AD752" s="6"/>
      <c r="AR752" s="6"/>
      <c r="BF752" s="6"/>
      <c r="BT752" s="6"/>
      <c r="CH752" s="6"/>
    </row>
    <row r="753" ht="13.5" customHeight="1">
      <c r="P753" s="6"/>
      <c r="AD753" s="6"/>
      <c r="AR753" s="6"/>
      <c r="BF753" s="6"/>
      <c r="BT753" s="6"/>
      <c r="CH753" s="6"/>
    </row>
    <row r="754" ht="13.5" customHeight="1">
      <c r="P754" s="6"/>
      <c r="AD754" s="6"/>
      <c r="AR754" s="6"/>
      <c r="BF754" s="6"/>
      <c r="BT754" s="6"/>
      <c r="CH754" s="6"/>
    </row>
    <row r="755" ht="13.5" customHeight="1">
      <c r="P755" s="6"/>
      <c r="AD755" s="6"/>
      <c r="AR755" s="6"/>
      <c r="BF755" s="6"/>
      <c r="BT755" s="6"/>
      <c r="CH755" s="6"/>
    </row>
    <row r="756" ht="13.5" customHeight="1">
      <c r="P756" s="6"/>
      <c r="AD756" s="6"/>
      <c r="AR756" s="6"/>
      <c r="BF756" s="6"/>
      <c r="BT756" s="6"/>
      <c r="CH756" s="6"/>
    </row>
    <row r="757" ht="13.5" customHeight="1">
      <c r="P757" s="6"/>
      <c r="AD757" s="6"/>
      <c r="AR757" s="6"/>
      <c r="BF757" s="6"/>
      <c r="BT757" s="6"/>
      <c r="CH757" s="6"/>
    </row>
    <row r="758" ht="13.5" customHeight="1">
      <c r="P758" s="6"/>
      <c r="AD758" s="6"/>
      <c r="AR758" s="6"/>
      <c r="BF758" s="6"/>
      <c r="BT758" s="6"/>
      <c r="CH758" s="6"/>
    </row>
    <row r="759" ht="13.5" customHeight="1">
      <c r="P759" s="6"/>
      <c r="AD759" s="6"/>
      <c r="AR759" s="6"/>
      <c r="BF759" s="6"/>
      <c r="BT759" s="6"/>
      <c r="CH759" s="6"/>
    </row>
    <row r="760" ht="13.5" customHeight="1">
      <c r="P760" s="6"/>
      <c r="AD760" s="6"/>
      <c r="AR760" s="6"/>
      <c r="BF760" s="6"/>
      <c r="BT760" s="6"/>
      <c r="CH760" s="6"/>
    </row>
    <row r="761" ht="13.5" customHeight="1">
      <c r="P761" s="6"/>
      <c r="AD761" s="6"/>
      <c r="AR761" s="6"/>
      <c r="BF761" s="6"/>
      <c r="BT761" s="6"/>
      <c r="CH761" s="6"/>
    </row>
    <row r="762" ht="13.5" customHeight="1">
      <c r="P762" s="6"/>
      <c r="AD762" s="6"/>
      <c r="AR762" s="6"/>
      <c r="BF762" s="6"/>
      <c r="BT762" s="6"/>
      <c r="CH762" s="6"/>
    </row>
    <row r="763" ht="13.5" customHeight="1">
      <c r="P763" s="6"/>
      <c r="AD763" s="6"/>
      <c r="AR763" s="6"/>
      <c r="BF763" s="6"/>
      <c r="BT763" s="6"/>
      <c r="CH763" s="6"/>
    </row>
    <row r="764" ht="13.5" customHeight="1">
      <c r="P764" s="6"/>
      <c r="AD764" s="6"/>
      <c r="AR764" s="6"/>
      <c r="BF764" s="6"/>
      <c r="BT764" s="6"/>
      <c r="CH764" s="6"/>
    </row>
    <row r="765" ht="13.5" customHeight="1">
      <c r="P765" s="6"/>
      <c r="AD765" s="6"/>
      <c r="AR765" s="6"/>
      <c r="BF765" s="6"/>
      <c r="BT765" s="6"/>
      <c r="CH765" s="6"/>
    </row>
    <row r="766" ht="13.5" customHeight="1">
      <c r="P766" s="6"/>
      <c r="AD766" s="6"/>
      <c r="AR766" s="6"/>
      <c r="BF766" s="6"/>
      <c r="BT766" s="6"/>
      <c r="CH766" s="6"/>
    </row>
    <row r="767" ht="13.5" customHeight="1">
      <c r="P767" s="6"/>
      <c r="AD767" s="6"/>
      <c r="AR767" s="6"/>
      <c r="BF767" s="6"/>
      <c r="BT767" s="6"/>
      <c r="CH767" s="6"/>
    </row>
    <row r="768" ht="13.5" customHeight="1">
      <c r="P768" s="6"/>
      <c r="AD768" s="6"/>
      <c r="AR768" s="6"/>
      <c r="BF768" s="6"/>
      <c r="BT768" s="6"/>
      <c r="CH768" s="6"/>
    </row>
    <row r="769" ht="13.5" customHeight="1">
      <c r="P769" s="6"/>
      <c r="AD769" s="6"/>
      <c r="AR769" s="6"/>
      <c r="BF769" s="6"/>
      <c r="BT769" s="6"/>
      <c r="CH769" s="6"/>
    </row>
    <row r="770" ht="13.5" customHeight="1">
      <c r="P770" s="6"/>
      <c r="AD770" s="6"/>
      <c r="AR770" s="6"/>
      <c r="BF770" s="6"/>
      <c r="BT770" s="6"/>
      <c r="CH770" s="6"/>
    </row>
    <row r="771" ht="13.5" customHeight="1">
      <c r="P771" s="6"/>
      <c r="AD771" s="6"/>
      <c r="AR771" s="6"/>
      <c r="BF771" s="6"/>
      <c r="BT771" s="6"/>
      <c r="CH771" s="6"/>
    </row>
    <row r="772" ht="13.5" customHeight="1">
      <c r="P772" s="6"/>
      <c r="AD772" s="6"/>
      <c r="AR772" s="6"/>
      <c r="BF772" s="6"/>
      <c r="BT772" s="6"/>
      <c r="CH772" s="6"/>
    </row>
    <row r="773" ht="13.5" customHeight="1">
      <c r="P773" s="6"/>
      <c r="AD773" s="6"/>
      <c r="AR773" s="6"/>
      <c r="BF773" s="6"/>
      <c r="BT773" s="6"/>
      <c r="CH773" s="6"/>
    </row>
    <row r="774" ht="13.5" customHeight="1">
      <c r="P774" s="6"/>
      <c r="AD774" s="6"/>
      <c r="AR774" s="6"/>
      <c r="BF774" s="6"/>
      <c r="BT774" s="6"/>
      <c r="CH774" s="6"/>
    </row>
    <row r="775" ht="13.5" customHeight="1">
      <c r="P775" s="6"/>
      <c r="AD775" s="6"/>
      <c r="AR775" s="6"/>
      <c r="BF775" s="6"/>
      <c r="BT775" s="6"/>
      <c r="CH775" s="6"/>
    </row>
    <row r="776" ht="13.5" customHeight="1">
      <c r="P776" s="6"/>
      <c r="AD776" s="6"/>
      <c r="AR776" s="6"/>
      <c r="BF776" s="6"/>
      <c r="BT776" s="6"/>
      <c r="CH776" s="6"/>
    </row>
    <row r="777" ht="13.5" customHeight="1">
      <c r="P777" s="6"/>
      <c r="AD777" s="6"/>
      <c r="AR777" s="6"/>
      <c r="BF777" s="6"/>
      <c r="BT777" s="6"/>
      <c r="CH777" s="6"/>
    </row>
    <row r="778" ht="13.5" customHeight="1">
      <c r="P778" s="6"/>
      <c r="AD778" s="6"/>
      <c r="AR778" s="6"/>
      <c r="BF778" s="6"/>
      <c r="BT778" s="6"/>
      <c r="CH778" s="6"/>
    </row>
    <row r="779" ht="13.5" customHeight="1">
      <c r="P779" s="6"/>
      <c r="AD779" s="6"/>
      <c r="AR779" s="6"/>
      <c r="BF779" s="6"/>
      <c r="BT779" s="6"/>
      <c r="CH779" s="6"/>
    </row>
    <row r="780" ht="13.5" customHeight="1">
      <c r="P780" s="6"/>
      <c r="AD780" s="6"/>
      <c r="AR780" s="6"/>
      <c r="BF780" s="6"/>
      <c r="BT780" s="6"/>
      <c r="CH780" s="6"/>
    </row>
    <row r="781" ht="13.5" customHeight="1">
      <c r="P781" s="6"/>
      <c r="AD781" s="6"/>
      <c r="AR781" s="6"/>
      <c r="BF781" s="6"/>
      <c r="BT781" s="6"/>
      <c r="CH781" s="6"/>
    </row>
    <row r="782" ht="13.5" customHeight="1">
      <c r="P782" s="6"/>
      <c r="AD782" s="6"/>
      <c r="AR782" s="6"/>
      <c r="BF782" s="6"/>
      <c r="BT782" s="6"/>
      <c r="CH782" s="6"/>
    </row>
    <row r="783" ht="13.5" customHeight="1">
      <c r="P783" s="6"/>
      <c r="AD783" s="6"/>
      <c r="AR783" s="6"/>
      <c r="BF783" s="6"/>
      <c r="BT783" s="6"/>
      <c r="CH783" s="6"/>
    </row>
    <row r="784" ht="13.5" customHeight="1">
      <c r="P784" s="6"/>
      <c r="AD784" s="6"/>
      <c r="AR784" s="6"/>
      <c r="BF784" s="6"/>
      <c r="BT784" s="6"/>
      <c r="CH784" s="6"/>
    </row>
    <row r="785" ht="13.5" customHeight="1">
      <c r="P785" s="6"/>
      <c r="AD785" s="6"/>
      <c r="AR785" s="6"/>
      <c r="BF785" s="6"/>
      <c r="BT785" s="6"/>
      <c r="CH785" s="6"/>
    </row>
    <row r="786" ht="13.5" customHeight="1">
      <c r="P786" s="6"/>
      <c r="AD786" s="6"/>
      <c r="AR786" s="6"/>
      <c r="BF786" s="6"/>
      <c r="BT786" s="6"/>
      <c r="CH786" s="6"/>
    </row>
    <row r="787" ht="13.5" customHeight="1">
      <c r="P787" s="6"/>
      <c r="AD787" s="6"/>
      <c r="AR787" s="6"/>
      <c r="BF787" s="6"/>
      <c r="BT787" s="6"/>
      <c r="CH787" s="6"/>
    </row>
    <row r="788" ht="13.5" customHeight="1">
      <c r="P788" s="6"/>
      <c r="AD788" s="6"/>
      <c r="AR788" s="6"/>
      <c r="BF788" s="6"/>
      <c r="BT788" s="6"/>
      <c r="CH788" s="6"/>
    </row>
    <row r="789" ht="13.5" customHeight="1">
      <c r="P789" s="6"/>
      <c r="AD789" s="6"/>
      <c r="AR789" s="6"/>
      <c r="BF789" s="6"/>
      <c r="BT789" s="6"/>
      <c r="CH789" s="6"/>
    </row>
    <row r="790" ht="13.5" customHeight="1">
      <c r="P790" s="6"/>
      <c r="AD790" s="6"/>
      <c r="AR790" s="6"/>
      <c r="BF790" s="6"/>
      <c r="BT790" s="6"/>
      <c r="CH790" s="6"/>
    </row>
    <row r="791" ht="13.5" customHeight="1">
      <c r="P791" s="6"/>
      <c r="AD791" s="6"/>
      <c r="AR791" s="6"/>
      <c r="BF791" s="6"/>
      <c r="BT791" s="6"/>
      <c r="CH791" s="6"/>
    </row>
    <row r="792" ht="13.5" customHeight="1">
      <c r="P792" s="6"/>
      <c r="AD792" s="6"/>
      <c r="AR792" s="6"/>
      <c r="BF792" s="6"/>
      <c r="BT792" s="6"/>
      <c r="CH792" s="6"/>
    </row>
    <row r="793" ht="13.5" customHeight="1">
      <c r="P793" s="6"/>
      <c r="AD793" s="6"/>
      <c r="AR793" s="6"/>
      <c r="BF793" s="6"/>
      <c r="BT793" s="6"/>
      <c r="CH793" s="6"/>
    </row>
    <row r="794" ht="13.5" customHeight="1">
      <c r="P794" s="6"/>
      <c r="AD794" s="6"/>
      <c r="AR794" s="6"/>
      <c r="BF794" s="6"/>
      <c r="BT794" s="6"/>
      <c r="CH794" s="6"/>
    </row>
    <row r="795" ht="13.5" customHeight="1">
      <c r="P795" s="6"/>
      <c r="AD795" s="6"/>
      <c r="AR795" s="6"/>
      <c r="BF795" s="6"/>
      <c r="BT795" s="6"/>
      <c r="CH795" s="6"/>
    </row>
    <row r="796" ht="13.5" customHeight="1">
      <c r="P796" s="6"/>
      <c r="AD796" s="6"/>
      <c r="AR796" s="6"/>
      <c r="BF796" s="6"/>
      <c r="BT796" s="6"/>
      <c r="CH796" s="6"/>
    </row>
    <row r="797" ht="13.5" customHeight="1">
      <c r="P797" s="6"/>
      <c r="AD797" s="6"/>
      <c r="AR797" s="6"/>
      <c r="BF797" s="6"/>
      <c r="BT797" s="6"/>
      <c r="CH797" s="6"/>
    </row>
    <row r="798" ht="13.5" customHeight="1">
      <c r="P798" s="6"/>
      <c r="AD798" s="6"/>
      <c r="AR798" s="6"/>
      <c r="BF798" s="6"/>
      <c r="BT798" s="6"/>
      <c r="CH798" s="6"/>
    </row>
    <row r="799" ht="13.5" customHeight="1">
      <c r="P799" s="6"/>
      <c r="AD799" s="6"/>
      <c r="AR799" s="6"/>
      <c r="BF799" s="6"/>
      <c r="BT799" s="6"/>
      <c r="CH799" s="6"/>
    </row>
    <row r="800" ht="13.5" customHeight="1">
      <c r="P800" s="6"/>
      <c r="AD800" s="6"/>
      <c r="AR800" s="6"/>
      <c r="BF800" s="6"/>
      <c r="BT800" s="6"/>
      <c r="CH800" s="6"/>
    </row>
    <row r="801" ht="13.5" customHeight="1">
      <c r="P801" s="6"/>
      <c r="AD801" s="6"/>
      <c r="AR801" s="6"/>
      <c r="BF801" s="6"/>
      <c r="BT801" s="6"/>
      <c r="CH801" s="6"/>
    </row>
    <row r="802" ht="13.5" customHeight="1">
      <c r="P802" s="6"/>
      <c r="AD802" s="6"/>
      <c r="AR802" s="6"/>
      <c r="BF802" s="6"/>
      <c r="BT802" s="6"/>
      <c r="CH802" s="6"/>
    </row>
    <row r="803" ht="13.5" customHeight="1">
      <c r="P803" s="6"/>
      <c r="AD803" s="6"/>
      <c r="AR803" s="6"/>
      <c r="BF803" s="6"/>
      <c r="BT803" s="6"/>
      <c r="CH803" s="6"/>
    </row>
    <row r="804" ht="13.5" customHeight="1">
      <c r="P804" s="6"/>
      <c r="AD804" s="6"/>
      <c r="AR804" s="6"/>
      <c r="BF804" s="6"/>
      <c r="BT804" s="6"/>
      <c r="CH804" s="6"/>
    </row>
    <row r="805" ht="13.5" customHeight="1">
      <c r="P805" s="6"/>
      <c r="AD805" s="6"/>
      <c r="AR805" s="6"/>
      <c r="BF805" s="6"/>
      <c r="BT805" s="6"/>
      <c r="CH805" s="6"/>
    </row>
    <row r="806" ht="13.5" customHeight="1">
      <c r="P806" s="6"/>
      <c r="AD806" s="6"/>
      <c r="AR806" s="6"/>
      <c r="BF806" s="6"/>
      <c r="BT806" s="6"/>
      <c r="CH806" s="6"/>
    </row>
    <row r="807" ht="13.5" customHeight="1">
      <c r="P807" s="6"/>
      <c r="AD807" s="6"/>
      <c r="AR807" s="6"/>
      <c r="BF807" s="6"/>
      <c r="BT807" s="6"/>
      <c r="CH807" s="6"/>
    </row>
    <row r="808" ht="13.5" customHeight="1">
      <c r="P808" s="6"/>
      <c r="AD808" s="6"/>
      <c r="AR808" s="6"/>
      <c r="BF808" s="6"/>
      <c r="BT808" s="6"/>
      <c r="CH808" s="6"/>
    </row>
    <row r="809" ht="13.5" customHeight="1">
      <c r="P809" s="6"/>
      <c r="AD809" s="6"/>
      <c r="AR809" s="6"/>
      <c r="BF809" s="6"/>
      <c r="BT809" s="6"/>
      <c r="CH809" s="6"/>
    </row>
    <row r="810" ht="13.5" customHeight="1">
      <c r="P810" s="6"/>
      <c r="AD810" s="6"/>
      <c r="AR810" s="6"/>
      <c r="BF810" s="6"/>
      <c r="BT810" s="6"/>
      <c r="CH810" s="6"/>
    </row>
    <row r="811" ht="13.5" customHeight="1">
      <c r="P811" s="6"/>
      <c r="AD811" s="6"/>
      <c r="AR811" s="6"/>
      <c r="BF811" s="6"/>
      <c r="BT811" s="6"/>
      <c r="CH811" s="6"/>
    </row>
    <row r="812" ht="13.5" customHeight="1">
      <c r="P812" s="6"/>
      <c r="AD812" s="6"/>
      <c r="AR812" s="6"/>
      <c r="BF812" s="6"/>
      <c r="BT812" s="6"/>
      <c r="CH812" s="6"/>
    </row>
    <row r="813" ht="13.5" customHeight="1">
      <c r="P813" s="6"/>
      <c r="AD813" s="6"/>
      <c r="AR813" s="6"/>
      <c r="BF813" s="6"/>
      <c r="BT813" s="6"/>
      <c r="CH813" s="6"/>
    </row>
    <row r="814" ht="13.5" customHeight="1">
      <c r="P814" s="6"/>
      <c r="AD814" s="6"/>
      <c r="AR814" s="6"/>
      <c r="BF814" s="6"/>
      <c r="BT814" s="6"/>
      <c r="CH814" s="6"/>
    </row>
    <row r="815" ht="13.5" customHeight="1">
      <c r="P815" s="6"/>
      <c r="AD815" s="6"/>
      <c r="AR815" s="6"/>
      <c r="BF815" s="6"/>
      <c r="BT815" s="6"/>
      <c r="CH815" s="6"/>
    </row>
    <row r="816" ht="13.5" customHeight="1">
      <c r="P816" s="6"/>
      <c r="AD816" s="6"/>
      <c r="AR816" s="6"/>
      <c r="BF816" s="6"/>
      <c r="BT816" s="6"/>
      <c r="CH816" s="6"/>
    </row>
    <row r="817" ht="13.5" customHeight="1">
      <c r="P817" s="6"/>
      <c r="AD817" s="6"/>
      <c r="AR817" s="6"/>
      <c r="BF817" s="6"/>
      <c r="BT817" s="6"/>
      <c r="CH817" s="6"/>
    </row>
    <row r="818" ht="13.5" customHeight="1">
      <c r="P818" s="6"/>
      <c r="AD818" s="6"/>
      <c r="AR818" s="6"/>
      <c r="BF818" s="6"/>
      <c r="BT818" s="6"/>
      <c r="CH818" s="6"/>
    </row>
    <row r="819" ht="13.5" customHeight="1">
      <c r="P819" s="6"/>
      <c r="AD819" s="6"/>
      <c r="AR819" s="6"/>
      <c r="BF819" s="6"/>
      <c r="BT819" s="6"/>
      <c r="CH819" s="6"/>
    </row>
    <row r="820" ht="13.5" customHeight="1">
      <c r="P820" s="6"/>
      <c r="AD820" s="6"/>
      <c r="AR820" s="6"/>
      <c r="BF820" s="6"/>
      <c r="BT820" s="6"/>
      <c r="CH820" s="6"/>
    </row>
    <row r="821" ht="13.5" customHeight="1">
      <c r="P821" s="6"/>
      <c r="AD821" s="6"/>
      <c r="AR821" s="6"/>
      <c r="BF821" s="6"/>
      <c r="BT821" s="6"/>
      <c r="CH821" s="6"/>
    </row>
    <row r="822" ht="13.5" customHeight="1">
      <c r="P822" s="6"/>
      <c r="AD822" s="6"/>
      <c r="AR822" s="6"/>
      <c r="BF822" s="6"/>
      <c r="BT822" s="6"/>
      <c r="CH822" s="6"/>
    </row>
    <row r="823" ht="13.5" customHeight="1">
      <c r="P823" s="6"/>
      <c r="AD823" s="6"/>
      <c r="AR823" s="6"/>
      <c r="BF823" s="6"/>
      <c r="BT823" s="6"/>
      <c r="CH823" s="6"/>
    </row>
    <row r="824" ht="13.5" customHeight="1">
      <c r="P824" s="6"/>
      <c r="AD824" s="6"/>
      <c r="AR824" s="6"/>
      <c r="BF824" s="6"/>
      <c r="BT824" s="6"/>
      <c r="CH824" s="6"/>
    </row>
    <row r="825" ht="13.5" customHeight="1">
      <c r="P825" s="6"/>
      <c r="AD825" s="6"/>
      <c r="AR825" s="6"/>
      <c r="BF825" s="6"/>
      <c r="BT825" s="6"/>
      <c r="CH825" s="6"/>
    </row>
    <row r="826" ht="13.5" customHeight="1">
      <c r="P826" s="6"/>
      <c r="AD826" s="6"/>
      <c r="AR826" s="6"/>
      <c r="BF826" s="6"/>
      <c r="BT826" s="6"/>
      <c r="CH826" s="6"/>
    </row>
    <row r="827" ht="13.5" customHeight="1">
      <c r="P827" s="6"/>
      <c r="AD827" s="6"/>
      <c r="AR827" s="6"/>
      <c r="BF827" s="6"/>
      <c r="BT827" s="6"/>
      <c r="CH827" s="6"/>
    </row>
    <row r="828" ht="13.5" customHeight="1">
      <c r="P828" s="6"/>
      <c r="AD828" s="6"/>
      <c r="AR828" s="6"/>
      <c r="BF828" s="6"/>
      <c r="BT828" s="6"/>
      <c r="CH828" s="6"/>
    </row>
    <row r="829" ht="13.5" customHeight="1">
      <c r="P829" s="6"/>
      <c r="AD829" s="6"/>
      <c r="AR829" s="6"/>
      <c r="BF829" s="6"/>
      <c r="BT829" s="6"/>
      <c r="CH829" s="6"/>
    </row>
    <row r="830" ht="13.5" customHeight="1">
      <c r="P830" s="6"/>
      <c r="AD830" s="6"/>
      <c r="AR830" s="6"/>
      <c r="BF830" s="6"/>
      <c r="BT830" s="6"/>
      <c r="CH830" s="6"/>
    </row>
    <row r="831" ht="13.5" customHeight="1">
      <c r="P831" s="6"/>
      <c r="AD831" s="6"/>
      <c r="AR831" s="6"/>
      <c r="BF831" s="6"/>
      <c r="BT831" s="6"/>
      <c r="CH831" s="6"/>
    </row>
    <row r="832" ht="13.5" customHeight="1">
      <c r="P832" s="6"/>
      <c r="AD832" s="6"/>
      <c r="AR832" s="6"/>
      <c r="BF832" s="6"/>
      <c r="BT832" s="6"/>
      <c r="CH832" s="6"/>
    </row>
    <row r="833" ht="13.5" customHeight="1">
      <c r="P833" s="6"/>
      <c r="AD833" s="6"/>
      <c r="AR833" s="6"/>
      <c r="BF833" s="6"/>
      <c r="BT833" s="6"/>
      <c r="CH833" s="6"/>
    </row>
    <row r="834" ht="13.5" customHeight="1">
      <c r="P834" s="6"/>
      <c r="AD834" s="6"/>
      <c r="AR834" s="6"/>
      <c r="BF834" s="6"/>
      <c r="BT834" s="6"/>
      <c r="CH834" s="6"/>
    </row>
    <row r="835" ht="13.5" customHeight="1">
      <c r="P835" s="6"/>
      <c r="AD835" s="6"/>
      <c r="AR835" s="6"/>
      <c r="BF835" s="6"/>
      <c r="BT835" s="6"/>
      <c r="CH835" s="6"/>
    </row>
    <row r="836" ht="13.5" customHeight="1">
      <c r="P836" s="6"/>
      <c r="AD836" s="6"/>
      <c r="AR836" s="6"/>
      <c r="BF836" s="6"/>
      <c r="BT836" s="6"/>
      <c r="CH836" s="6"/>
    </row>
    <row r="837" ht="13.5" customHeight="1">
      <c r="P837" s="6"/>
      <c r="AD837" s="6"/>
      <c r="AR837" s="6"/>
      <c r="BF837" s="6"/>
      <c r="BT837" s="6"/>
      <c r="CH837" s="6"/>
    </row>
    <row r="838" ht="13.5" customHeight="1">
      <c r="P838" s="6"/>
      <c r="AD838" s="6"/>
      <c r="AR838" s="6"/>
      <c r="BF838" s="6"/>
      <c r="BT838" s="6"/>
      <c r="CH838" s="6"/>
    </row>
    <row r="839" ht="13.5" customHeight="1">
      <c r="P839" s="6"/>
      <c r="AD839" s="6"/>
      <c r="AR839" s="6"/>
      <c r="BF839" s="6"/>
      <c r="BT839" s="6"/>
      <c r="CH839" s="6"/>
    </row>
    <row r="840" ht="13.5" customHeight="1">
      <c r="P840" s="6"/>
      <c r="AD840" s="6"/>
      <c r="AR840" s="6"/>
      <c r="BF840" s="6"/>
      <c r="BT840" s="6"/>
      <c r="CH840" s="6"/>
    </row>
    <row r="841" ht="13.5" customHeight="1">
      <c r="P841" s="6"/>
      <c r="AD841" s="6"/>
      <c r="AR841" s="6"/>
      <c r="BF841" s="6"/>
      <c r="BT841" s="6"/>
      <c r="CH841" s="6"/>
    </row>
    <row r="842" ht="13.5" customHeight="1">
      <c r="P842" s="6"/>
      <c r="AD842" s="6"/>
      <c r="AR842" s="6"/>
      <c r="BF842" s="6"/>
      <c r="BT842" s="6"/>
      <c r="CH842" s="6"/>
    </row>
    <row r="843" ht="13.5" customHeight="1">
      <c r="P843" s="6"/>
      <c r="AD843" s="6"/>
      <c r="AR843" s="6"/>
      <c r="BF843" s="6"/>
      <c r="BT843" s="6"/>
      <c r="CH843" s="6"/>
    </row>
    <row r="844" ht="13.5" customHeight="1">
      <c r="P844" s="6"/>
      <c r="AD844" s="6"/>
      <c r="AR844" s="6"/>
      <c r="BF844" s="6"/>
      <c r="BT844" s="6"/>
      <c r="CH844" s="6"/>
    </row>
    <row r="845" ht="13.5" customHeight="1">
      <c r="P845" s="6"/>
      <c r="AD845" s="6"/>
      <c r="AR845" s="6"/>
      <c r="BF845" s="6"/>
      <c r="BT845" s="6"/>
      <c r="CH845" s="6"/>
    </row>
    <row r="846" ht="13.5" customHeight="1">
      <c r="P846" s="6"/>
      <c r="AD846" s="6"/>
      <c r="AR846" s="6"/>
      <c r="BF846" s="6"/>
      <c r="BT846" s="6"/>
      <c r="CH846" s="6"/>
    </row>
    <row r="847" ht="13.5" customHeight="1">
      <c r="P847" s="6"/>
      <c r="AD847" s="6"/>
      <c r="AR847" s="6"/>
      <c r="BF847" s="6"/>
      <c r="BT847" s="6"/>
      <c r="CH847" s="6"/>
    </row>
    <row r="848" ht="13.5" customHeight="1">
      <c r="P848" s="6"/>
      <c r="AD848" s="6"/>
      <c r="AR848" s="6"/>
      <c r="BF848" s="6"/>
      <c r="BT848" s="6"/>
      <c r="CH848" s="6"/>
    </row>
    <row r="849" ht="13.5" customHeight="1">
      <c r="P849" s="6"/>
      <c r="AD849" s="6"/>
      <c r="AR849" s="6"/>
      <c r="BF849" s="6"/>
      <c r="BT849" s="6"/>
      <c r="CH849" s="6"/>
    </row>
    <row r="850" ht="13.5" customHeight="1">
      <c r="P850" s="6"/>
      <c r="AD850" s="6"/>
      <c r="AR850" s="6"/>
      <c r="BF850" s="6"/>
      <c r="BT850" s="6"/>
      <c r="CH850" s="6"/>
    </row>
    <row r="851" ht="13.5" customHeight="1">
      <c r="P851" s="6"/>
      <c r="AD851" s="6"/>
      <c r="AR851" s="6"/>
      <c r="BF851" s="6"/>
      <c r="BT851" s="6"/>
      <c r="CH851" s="6"/>
    </row>
    <row r="852" ht="13.5" customHeight="1">
      <c r="P852" s="6"/>
      <c r="AD852" s="6"/>
      <c r="AR852" s="6"/>
      <c r="BF852" s="6"/>
      <c r="BT852" s="6"/>
      <c r="CH852" s="6"/>
    </row>
    <row r="853" ht="13.5" customHeight="1">
      <c r="P853" s="6"/>
      <c r="AD853" s="6"/>
      <c r="AR853" s="6"/>
      <c r="BF853" s="6"/>
      <c r="BT853" s="6"/>
      <c r="CH853" s="6"/>
    </row>
    <row r="854" ht="13.5" customHeight="1">
      <c r="P854" s="6"/>
      <c r="AD854" s="6"/>
      <c r="AR854" s="6"/>
      <c r="BF854" s="6"/>
      <c r="BT854" s="6"/>
      <c r="CH854" s="6"/>
    </row>
    <row r="855" ht="13.5" customHeight="1">
      <c r="P855" s="6"/>
      <c r="AD855" s="6"/>
      <c r="AR855" s="6"/>
      <c r="BF855" s="6"/>
      <c r="BT855" s="6"/>
      <c r="CH855" s="6"/>
    </row>
    <row r="856" ht="13.5" customHeight="1">
      <c r="P856" s="6"/>
      <c r="AD856" s="6"/>
      <c r="AR856" s="6"/>
      <c r="BF856" s="6"/>
      <c r="BT856" s="6"/>
      <c r="CH856" s="6"/>
    </row>
    <row r="857" ht="13.5" customHeight="1">
      <c r="P857" s="6"/>
      <c r="AD857" s="6"/>
      <c r="AR857" s="6"/>
      <c r="BF857" s="6"/>
      <c r="BT857" s="6"/>
      <c r="CH857" s="6"/>
    </row>
    <row r="858" ht="13.5" customHeight="1">
      <c r="P858" s="6"/>
      <c r="AD858" s="6"/>
      <c r="AR858" s="6"/>
      <c r="BF858" s="6"/>
      <c r="BT858" s="6"/>
      <c r="CH858" s="6"/>
    </row>
    <row r="859" ht="13.5" customHeight="1">
      <c r="P859" s="6"/>
      <c r="AD859" s="6"/>
      <c r="AR859" s="6"/>
      <c r="BF859" s="6"/>
      <c r="BT859" s="6"/>
      <c r="CH859" s="6"/>
    </row>
    <row r="860" ht="13.5" customHeight="1">
      <c r="P860" s="6"/>
      <c r="AD860" s="6"/>
      <c r="AR860" s="6"/>
      <c r="BF860" s="6"/>
      <c r="BT860" s="6"/>
      <c r="CH860" s="6"/>
    </row>
    <row r="861" ht="13.5" customHeight="1">
      <c r="P861" s="6"/>
      <c r="AD861" s="6"/>
      <c r="AR861" s="6"/>
      <c r="BF861" s="6"/>
      <c r="BT861" s="6"/>
      <c r="CH861" s="6"/>
    </row>
    <row r="862" ht="13.5" customHeight="1">
      <c r="P862" s="6"/>
      <c r="AD862" s="6"/>
      <c r="AR862" s="6"/>
      <c r="BF862" s="6"/>
      <c r="BT862" s="6"/>
      <c r="CH862" s="6"/>
    </row>
    <row r="863" ht="13.5" customHeight="1">
      <c r="P863" s="6"/>
      <c r="AD863" s="6"/>
      <c r="AR863" s="6"/>
      <c r="BF863" s="6"/>
      <c r="BT863" s="6"/>
      <c r="CH863" s="6"/>
    </row>
    <row r="864" ht="13.5" customHeight="1">
      <c r="P864" s="6"/>
      <c r="AD864" s="6"/>
      <c r="AR864" s="6"/>
      <c r="BF864" s="6"/>
      <c r="BT864" s="6"/>
      <c r="CH864" s="6"/>
    </row>
    <row r="865" ht="13.5" customHeight="1">
      <c r="P865" s="6"/>
      <c r="AD865" s="6"/>
      <c r="AR865" s="6"/>
      <c r="BF865" s="6"/>
      <c r="BT865" s="6"/>
      <c r="CH865" s="6"/>
    </row>
    <row r="866" ht="13.5" customHeight="1">
      <c r="P866" s="6"/>
      <c r="AD866" s="6"/>
      <c r="AR866" s="6"/>
      <c r="BF866" s="6"/>
      <c r="BT866" s="6"/>
      <c r="CH866" s="6"/>
    </row>
    <row r="867" ht="13.5" customHeight="1">
      <c r="P867" s="6"/>
      <c r="AD867" s="6"/>
      <c r="AR867" s="6"/>
      <c r="BF867" s="6"/>
      <c r="BT867" s="6"/>
      <c r="CH867" s="6"/>
    </row>
    <row r="868" ht="13.5" customHeight="1">
      <c r="P868" s="6"/>
      <c r="AD868" s="6"/>
      <c r="AR868" s="6"/>
      <c r="BF868" s="6"/>
      <c r="BT868" s="6"/>
      <c r="CH868" s="6"/>
    </row>
    <row r="869" ht="13.5" customHeight="1">
      <c r="P869" s="6"/>
      <c r="AD869" s="6"/>
      <c r="AR869" s="6"/>
      <c r="BF869" s="6"/>
      <c r="BT869" s="6"/>
      <c r="CH869" s="6"/>
    </row>
    <row r="870" ht="13.5" customHeight="1">
      <c r="P870" s="6"/>
      <c r="AD870" s="6"/>
      <c r="AR870" s="6"/>
      <c r="BF870" s="6"/>
      <c r="BT870" s="6"/>
      <c r="CH870" s="6"/>
    </row>
    <row r="871" ht="13.5" customHeight="1">
      <c r="P871" s="6"/>
      <c r="AD871" s="6"/>
      <c r="AR871" s="6"/>
      <c r="BF871" s="6"/>
      <c r="BT871" s="6"/>
      <c r="CH871" s="6"/>
    </row>
    <row r="872" ht="13.5" customHeight="1">
      <c r="P872" s="6"/>
      <c r="AD872" s="6"/>
      <c r="AR872" s="6"/>
      <c r="BF872" s="6"/>
      <c r="BT872" s="6"/>
      <c r="CH872" s="6"/>
    </row>
    <row r="873" ht="13.5" customHeight="1">
      <c r="P873" s="6"/>
      <c r="AD873" s="6"/>
      <c r="AR873" s="6"/>
      <c r="BF873" s="6"/>
      <c r="BT873" s="6"/>
      <c r="CH873" s="6"/>
    </row>
    <row r="874" ht="13.5" customHeight="1">
      <c r="P874" s="6"/>
      <c r="AD874" s="6"/>
      <c r="AR874" s="6"/>
      <c r="BF874" s="6"/>
      <c r="BT874" s="6"/>
      <c r="CH874" s="6"/>
    </row>
    <row r="875" ht="13.5" customHeight="1">
      <c r="P875" s="6"/>
      <c r="AD875" s="6"/>
      <c r="AR875" s="6"/>
      <c r="BF875" s="6"/>
      <c r="BT875" s="6"/>
      <c r="CH875" s="6"/>
    </row>
    <row r="876" ht="13.5" customHeight="1">
      <c r="P876" s="6"/>
      <c r="AD876" s="6"/>
      <c r="AR876" s="6"/>
      <c r="BF876" s="6"/>
      <c r="BT876" s="6"/>
      <c r="CH876" s="6"/>
    </row>
    <row r="877" ht="13.5" customHeight="1">
      <c r="P877" s="6"/>
      <c r="AD877" s="6"/>
      <c r="AR877" s="6"/>
      <c r="BF877" s="6"/>
      <c r="BT877" s="6"/>
      <c r="CH877" s="6"/>
    </row>
    <row r="878" ht="13.5" customHeight="1">
      <c r="P878" s="6"/>
      <c r="AD878" s="6"/>
      <c r="AR878" s="6"/>
      <c r="BF878" s="6"/>
      <c r="BT878" s="6"/>
      <c r="CH878" s="6"/>
    </row>
    <row r="879" ht="13.5" customHeight="1">
      <c r="P879" s="6"/>
      <c r="AD879" s="6"/>
      <c r="AR879" s="6"/>
      <c r="BF879" s="6"/>
      <c r="BT879" s="6"/>
      <c r="CH879" s="6"/>
    </row>
    <row r="880" ht="13.5" customHeight="1">
      <c r="P880" s="6"/>
      <c r="AD880" s="6"/>
      <c r="AR880" s="6"/>
      <c r="BF880" s="6"/>
      <c r="BT880" s="6"/>
      <c r="CH880" s="6"/>
    </row>
    <row r="881" ht="13.5" customHeight="1">
      <c r="P881" s="6"/>
      <c r="AD881" s="6"/>
      <c r="AR881" s="6"/>
      <c r="BF881" s="6"/>
      <c r="BT881" s="6"/>
      <c r="CH881" s="6"/>
    </row>
    <row r="882" ht="13.5" customHeight="1">
      <c r="P882" s="6"/>
      <c r="AD882" s="6"/>
      <c r="AR882" s="6"/>
      <c r="BF882" s="6"/>
      <c r="BT882" s="6"/>
      <c r="CH882" s="6"/>
    </row>
    <row r="883" ht="13.5" customHeight="1">
      <c r="P883" s="6"/>
      <c r="AD883" s="6"/>
      <c r="AR883" s="6"/>
      <c r="BF883" s="6"/>
      <c r="BT883" s="6"/>
      <c r="CH883" s="6"/>
    </row>
    <row r="884" ht="13.5" customHeight="1">
      <c r="P884" s="6"/>
      <c r="AD884" s="6"/>
      <c r="AR884" s="6"/>
      <c r="BF884" s="6"/>
      <c r="BT884" s="6"/>
      <c r="CH884" s="6"/>
    </row>
    <row r="885" ht="13.5" customHeight="1">
      <c r="P885" s="6"/>
      <c r="AD885" s="6"/>
      <c r="AR885" s="6"/>
      <c r="BF885" s="6"/>
      <c r="BT885" s="6"/>
      <c r="CH885" s="6"/>
    </row>
    <row r="886" ht="13.5" customHeight="1">
      <c r="P886" s="6"/>
      <c r="AD886" s="6"/>
      <c r="AR886" s="6"/>
      <c r="BF886" s="6"/>
      <c r="BT886" s="6"/>
      <c r="CH886" s="6"/>
    </row>
    <row r="887" ht="13.5" customHeight="1">
      <c r="P887" s="6"/>
      <c r="AD887" s="6"/>
      <c r="AR887" s="6"/>
      <c r="BF887" s="6"/>
      <c r="BT887" s="6"/>
      <c r="CH887" s="6"/>
    </row>
    <row r="888" ht="13.5" customHeight="1">
      <c r="P888" s="6"/>
      <c r="AD888" s="6"/>
      <c r="AR888" s="6"/>
      <c r="BF888" s="6"/>
      <c r="BT888" s="6"/>
      <c r="CH888" s="6"/>
    </row>
    <row r="889" ht="13.5" customHeight="1">
      <c r="P889" s="6"/>
      <c r="AD889" s="6"/>
      <c r="AR889" s="6"/>
      <c r="BF889" s="6"/>
      <c r="BT889" s="6"/>
      <c r="CH889" s="6"/>
    </row>
    <row r="890" ht="13.5" customHeight="1">
      <c r="P890" s="6"/>
      <c r="AD890" s="6"/>
      <c r="AR890" s="6"/>
      <c r="BF890" s="6"/>
      <c r="BT890" s="6"/>
      <c r="CH890" s="6"/>
    </row>
    <row r="891" ht="13.5" customHeight="1">
      <c r="P891" s="6"/>
      <c r="AD891" s="6"/>
      <c r="AR891" s="6"/>
      <c r="BF891" s="6"/>
      <c r="BT891" s="6"/>
      <c r="CH891" s="6"/>
    </row>
    <row r="892" ht="13.5" customHeight="1">
      <c r="P892" s="6"/>
      <c r="AD892" s="6"/>
      <c r="AR892" s="6"/>
      <c r="BF892" s="6"/>
      <c r="BT892" s="6"/>
      <c r="CH892" s="6"/>
    </row>
    <row r="893" ht="13.5" customHeight="1">
      <c r="P893" s="6"/>
      <c r="AD893" s="6"/>
      <c r="AR893" s="6"/>
      <c r="BF893" s="6"/>
      <c r="BT893" s="6"/>
      <c r="CH893" s="6"/>
    </row>
    <row r="894" ht="13.5" customHeight="1">
      <c r="P894" s="6"/>
      <c r="AD894" s="6"/>
      <c r="AR894" s="6"/>
      <c r="BF894" s="6"/>
      <c r="BT894" s="6"/>
      <c r="CH894" s="6"/>
    </row>
    <row r="895" ht="13.5" customHeight="1">
      <c r="P895" s="6"/>
      <c r="AD895" s="6"/>
      <c r="AR895" s="6"/>
      <c r="BF895" s="6"/>
      <c r="BT895" s="6"/>
      <c r="CH895" s="6"/>
    </row>
    <row r="896" ht="13.5" customHeight="1">
      <c r="P896" s="6"/>
      <c r="AD896" s="6"/>
      <c r="AR896" s="6"/>
      <c r="BF896" s="6"/>
      <c r="BT896" s="6"/>
      <c r="CH896" s="6"/>
    </row>
    <row r="897" ht="13.5" customHeight="1">
      <c r="P897" s="6"/>
      <c r="AD897" s="6"/>
      <c r="AR897" s="6"/>
      <c r="BF897" s="6"/>
      <c r="BT897" s="6"/>
      <c r="CH897" s="6"/>
    </row>
    <row r="898" ht="13.5" customHeight="1">
      <c r="P898" s="6"/>
      <c r="AD898" s="6"/>
      <c r="AR898" s="6"/>
      <c r="BF898" s="6"/>
      <c r="BT898" s="6"/>
      <c r="CH898" s="6"/>
    </row>
    <row r="899" ht="13.5" customHeight="1">
      <c r="P899" s="6"/>
      <c r="AD899" s="6"/>
      <c r="AR899" s="6"/>
      <c r="BF899" s="6"/>
      <c r="BT899" s="6"/>
      <c r="CH899" s="6"/>
    </row>
    <row r="900" ht="13.5" customHeight="1">
      <c r="P900" s="6"/>
      <c r="AD900" s="6"/>
      <c r="AR900" s="6"/>
      <c r="BF900" s="6"/>
      <c r="BT900" s="6"/>
      <c r="CH900" s="6"/>
    </row>
    <row r="901" ht="13.5" customHeight="1">
      <c r="P901" s="6"/>
      <c r="AD901" s="6"/>
      <c r="AR901" s="6"/>
      <c r="BF901" s="6"/>
      <c r="BT901" s="6"/>
      <c r="CH901" s="6"/>
    </row>
    <row r="902" ht="13.5" customHeight="1">
      <c r="P902" s="6"/>
      <c r="AD902" s="6"/>
      <c r="AR902" s="6"/>
      <c r="BF902" s="6"/>
      <c r="BT902" s="6"/>
      <c r="CH902" s="6"/>
    </row>
    <row r="903" ht="13.5" customHeight="1">
      <c r="P903" s="6"/>
      <c r="AD903" s="6"/>
      <c r="AR903" s="6"/>
      <c r="BF903" s="6"/>
      <c r="BT903" s="6"/>
      <c r="CH903" s="6"/>
    </row>
    <row r="904" ht="13.5" customHeight="1">
      <c r="P904" s="6"/>
      <c r="AD904" s="6"/>
      <c r="AR904" s="6"/>
      <c r="BF904" s="6"/>
      <c r="BT904" s="6"/>
      <c r="CH904" s="6"/>
    </row>
    <row r="905" ht="13.5" customHeight="1">
      <c r="P905" s="6"/>
      <c r="AD905" s="6"/>
      <c r="AR905" s="6"/>
      <c r="BF905" s="6"/>
      <c r="BT905" s="6"/>
      <c r="CH905" s="6"/>
    </row>
    <row r="906" ht="13.5" customHeight="1">
      <c r="P906" s="6"/>
      <c r="AD906" s="6"/>
      <c r="AR906" s="6"/>
      <c r="BF906" s="6"/>
      <c r="BT906" s="6"/>
      <c r="CH906" s="6"/>
    </row>
    <row r="907" ht="13.5" customHeight="1">
      <c r="P907" s="6"/>
      <c r="AD907" s="6"/>
      <c r="AR907" s="6"/>
      <c r="BF907" s="6"/>
      <c r="BT907" s="6"/>
      <c r="CH907" s="6"/>
    </row>
    <row r="908" ht="13.5" customHeight="1">
      <c r="P908" s="6"/>
      <c r="AD908" s="6"/>
      <c r="AR908" s="6"/>
      <c r="BF908" s="6"/>
      <c r="BT908" s="6"/>
      <c r="CH908" s="6"/>
    </row>
    <row r="909" ht="13.5" customHeight="1">
      <c r="P909" s="6"/>
      <c r="AD909" s="6"/>
      <c r="AR909" s="6"/>
      <c r="BF909" s="6"/>
      <c r="BT909" s="6"/>
      <c r="CH909" s="6"/>
    </row>
    <row r="910" ht="13.5" customHeight="1">
      <c r="P910" s="6"/>
      <c r="AD910" s="6"/>
      <c r="AR910" s="6"/>
      <c r="BF910" s="6"/>
      <c r="BT910" s="6"/>
      <c r="CH910" s="6"/>
    </row>
    <row r="911" ht="13.5" customHeight="1">
      <c r="P911" s="6"/>
      <c r="AD911" s="6"/>
      <c r="AR911" s="6"/>
      <c r="BF911" s="6"/>
      <c r="BT911" s="6"/>
      <c r="CH911" s="6"/>
    </row>
    <row r="912" ht="13.5" customHeight="1">
      <c r="P912" s="6"/>
      <c r="AD912" s="6"/>
      <c r="AR912" s="6"/>
      <c r="BF912" s="6"/>
      <c r="BT912" s="6"/>
      <c r="CH912" s="6"/>
    </row>
    <row r="913" ht="13.5" customHeight="1">
      <c r="P913" s="6"/>
      <c r="AD913" s="6"/>
      <c r="AR913" s="6"/>
      <c r="BF913" s="6"/>
      <c r="BT913" s="6"/>
      <c r="CH913" s="6"/>
    </row>
    <row r="914" ht="13.5" customHeight="1">
      <c r="P914" s="6"/>
      <c r="AD914" s="6"/>
      <c r="AR914" s="6"/>
      <c r="BF914" s="6"/>
      <c r="BT914" s="6"/>
      <c r="CH914" s="6"/>
    </row>
    <row r="915" ht="13.5" customHeight="1">
      <c r="P915" s="6"/>
      <c r="AD915" s="6"/>
      <c r="AR915" s="6"/>
      <c r="BF915" s="6"/>
      <c r="BT915" s="6"/>
      <c r="CH915" s="6"/>
    </row>
    <row r="916" ht="13.5" customHeight="1">
      <c r="P916" s="6"/>
      <c r="AD916" s="6"/>
      <c r="AR916" s="6"/>
      <c r="BF916" s="6"/>
      <c r="BT916" s="6"/>
      <c r="CH916" s="6"/>
    </row>
    <row r="917" ht="13.5" customHeight="1">
      <c r="P917" s="6"/>
      <c r="AD917" s="6"/>
      <c r="AR917" s="6"/>
      <c r="BF917" s="6"/>
      <c r="BT917" s="6"/>
      <c r="CH917" s="6"/>
    </row>
    <row r="918" ht="13.5" customHeight="1">
      <c r="P918" s="6"/>
      <c r="AD918" s="6"/>
      <c r="AR918" s="6"/>
      <c r="BF918" s="6"/>
      <c r="BT918" s="6"/>
      <c r="CH918" s="6"/>
    </row>
    <row r="919" ht="13.5" customHeight="1">
      <c r="P919" s="6"/>
      <c r="AD919" s="6"/>
      <c r="AR919" s="6"/>
      <c r="BF919" s="6"/>
      <c r="BT919" s="6"/>
      <c r="CH919" s="6"/>
    </row>
    <row r="920" ht="13.5" customHeight="1">
      <c r="P920" s="6"/>
      <c r="AD920" s="6"/>
      <c r="AR920" s="6"/>
      <c r="BF920" s="6"/>
      <c r="BT920" s="6"/>
      <c r="CH920" s="6"/>
    </row>
    <row r="921" ht="13.5" customHeight="1">
      <c r="P921" s="6"/>
      <c r="AD921" s="6"/>
      <c r="AR921" s="6"/>
      <c r="BF921" s="6"/>
      <c r="BT921" s="6"/>
      <c r="CH921" s="6"/>
    </row>
    <row r="922" ht="13.5" customHeight="1">
      <c r="P922" s="6"/>
      <c r="AD922" s="6"/>
      <c r="AR922" s="6"/>
      <c r="BF922" s="6"/>
      <c r="BT922" s="6"/>
      <c r="CH922" s="6"/>
    </row>
    <row r="923" ht="13.5" customHeight="1">
      <c r="P923" s="6"/>
      <c r="AD923" s="6"/>
      <c r="AR923" s="6"/>
      <c r="BF923" s="6"/>
      <c r="BT923" s="6"/>
      <c r="CH923" s="6"/>
    </row>
    <row r="924" ht="13.5" customHeight="1">
      <c r="P924" s="6"/>
      <c r="AD924" s="6"/>
      <c r="AR924" s="6"/>
      <c r="BF924" s="6"/>
      <c r="BT924" s="6"/>
      <c r="CH924" s="6"/>
    </row>
    <row r="925" ht="13.5" customHeight="1">
      <c r="P925" s="6"/>
      <c r="AD925" s="6"/>
      <c r="AR925" s="6"/>
      <c r="BF925" s="6"/>
      <c r="BT925" s="6"/>
      <c r="CH925" s="6"/>
    </row>
    <row r="926" ht="13.5" customHeight="1">
      <c r="P926" s="6"/>
      <c r="AD926" s="6"/>
      <c r="AR926" s="6"/>
      <c r="BF926" s="6"/>
      <c r="BT926" s="6"/>
      <c r="CH926" s="6"/>
    </row>
    <row r="927" ht="13.5" customHeight="1">
      <c r="P927" s="6"/>
      <c r="AD927" s="6"/>
      <c r="AR927" s="6"/>
      <c r="BF927" s="6"/>
      <c r="BT927" s="6"/>
      <c r="CH927" s="6"/>
    </row>
    <row r="928" ht="13.5" customHeight="1">
      <c r="P928" s="6"/>
      <c r="AD928" s="6"/>
      <c r="AR928" s="6"/>
      <c r="BF928" s="6"/>
      <c r="BT928" s="6"/>
      <c r="CH928" s="6"/>
    </row>
    <row r="929" ht="13.5" customHeight="1">
      <c r="P929" s="6"/>
      <c r="AD929" s="6"/>
      <c r="AR929" s="6"/>
      <c r="BF929" s="6"/>
      <c r="BT929" s="6"/>
      <c r="CH929" s="6"/>
    </row>
    <row r="930" ht="13.5" customHeight="1">
      <c r="P930" s="6"/>
      <c r="AD930" s="6"/>
      <c r="AR930" s="6"/>
      <c r="BF930" s="6"/>
      <c r="BT930" s="6"/>
      <c r="CH930" s="6"/>
    </row>
    <row r="931" ht="13.5" customHeight="1">
      <c r="P931" s="6"/>
      <c r="AD931" s="6"/>
      <c r="AR931" s="6"/>
      <c r="BF931" s="6"/>
      <c r="BT931" s="6"/>
      <c r="CH931" s="6"/>
    </row>
    <row r="932" ht="13.5" customHeight="1">
      <c r="P932" s="6"/>
      <c r="AD932" s="6"/>
      <c r="AR932" s="6"/>
      <c r="BF932" s="6"/>
      <c r="BT932" s="6"/>
      <c r="CH932" s="6"/>
    </row>
    <row r="933" ht="13.5" customHeight="1">
      <c r="P933" s="6"/>
      <c r="AD933" s="6"/>
      <c r="AR933" s="6"/>
      <c r="BF933" s="6"/>
      <c r="BT933" s="6"/>
      <c r="CH933" s="6"/>
    </row>
    <row r="934" ht="13.5" customHeight="1">
      <c r="P934" s="6"/>
      <c r="AD934" s="6"/>
      <c r="AR934" s="6"/>
      <c r="BF934" s="6"/>
      <c r="BT934" s="6"/>
      <c r="CH934" s="6"/>
    </row>
    <row r="935" ht="13.5" customHeight="1">
      <c r="P935" s="6"/>
      <c r="AD935" s="6"/>
      <c r="AR935" s="6"/>
      <c r="BF935" s="6"/>
      <c r="BT935" s="6"/>
      <c r="CH935" s="6"/>
    </row>
    <row r="936" ht="13.5" customHeight="1">
      <c r="P936" s="6"/>
      <c r="AD936" s="6"/>
      <c r="AR936" s="6"/>
      <c r="BF936" s="6"/>
      <c r="BT936" s="6"/>
      <c r="CH936" s="6"/>
    </row>
    <row r="937" ht="13.5" customHeight="1">
      <c r="P937" s="6"/>
      <c r="AD937" s="6"/>
      <c r="AR937" s="6"/>
      <c r="BF937" s="6"/>
      <c r="BT937" s="6"/>
      <c r="CH937" s="6"/>
    </row>
    <row r="938" ht="13.5" customHeight="1">
      <c r="P938" s="6"/>
      <c r="AD938" s="6"/>
      <c r="AR938" s="6"/>
      <c r="BF938" s="6"/>
      <c r="BT938" s="6"/>
      <c r="CH938" s="6"/>
    </row>
    <row r="939" ht="13.5" customHeight="1">
      <c r="P939" s="6"/>
      <c r="AD939" s="6"/>
      <c r="AR939" s="6"/>
      <c r="BF939" s="6"/>
      <c r="BT939" s="6"/>
      <c r="CH939" s="6"/>
    </row>
    <row r="940" ht="13.5" customHeight="1">
      <c r="P940" s="6"/>
      <c r="AD940" s="6"/>
      <c r="AR940" s="6"/>
      <c r="BF940" s="6"/>
      <c r="BT940" s="6"/>
      <c r="CH940" s="6"/>
    </row>
    <row r="941" ht="13.5" customHeight="1">
      <c r="P941" s="6"/>
      <c r="AD941" s="6"/>
      <c r="AR941" s="6"/>
      <c r="BF941" s="6"/>
      <c r="BT941" s="6"/>
      <c r="CH941" s="6"/>
    </row>
    <row r="942" ht="13.5" customHeight="1">
      <c r="P942" s="6"/>
      <c r="AD942" s="6"/>
      <c r="AR942" s="6"/>
      <c r="BF942" s="6"/>
      <c r="BT942" s="6"/>
      <c r="CH942" s="6"/>
    </row>
    <row r="943" ht="13.5" customHeight="1">
      <c r="P943" s="6"/>
      <c r="AD943" s="6"/>
      <c r="AR943" s="6"/>
      <c r="BF943" s="6"/>
      <c r="BT943" s="6"/>
      <c r="CH943" s="6"/>
    </row>
    <row r="944" ht="13.5" customHeight="1">
      <c r="P944" s="6"/>
      <c r="AD944" s="6"/>
      <c r="AR944" s="6"/>
      <c r="BF944" s="6"/>
      <c r="BT944" s="6"/>
      <c r="CH944" s="6"/>
    </row>
    <row r="945" ht="13.5" customHeight="1">
      <c r="P945" s="6"/>
      <c r="AD945" s="6"/>
      <c r="AR945" s="6"/>
      <c r="BF945" s="6"/>
      <c r="BT945" s="6"/>
      <c r="CH945" s="6"/>
    </row>
    <row r="946" ht="13.5" customHeight="1">
      <c r="P946" s="6"/>
      <c r="AD946" s="6"/>
      <c r="AR946" s="6"/>
      <c r="BF946" s="6"/>
      <c r="BT946" s="6"/>
      <c r="CH946" s="6"/>
    </row>
    <row r="947" ht="13.5" customHeight="1">
      <c r="P947" s="6"/>
      <c r="AD947" s="6"/>
      <c r="AR947" s="6"/>
      <c r="BF947" s="6"/>
      <c r="BT947" s="6"/>
      <c r="CH947" s="6"/>
    </row>
    <row r="948" ht="13.5" customHeight="1">
      <c r="P948" s="6"/>
      <c r="AD948" s="6"/>
      <c r="AR948" s="6"/>
      <c r="BF948" s="6"/>
      <c r="BT948" s="6"/>
      <c r="CH948" s="6"/>
    </row>
    <row r="949" ht="13.5" customHeight="1">
      <c r="P949" s="6"/>
      <c r="AD949" s="6"/>
      <c r="AR949" s="6"/>
      <c r="BF949" s="6"/>
      <c r="BT949" s="6"/>
      <c r="CH949" s="6"/>
    </row>
    <row r="950" ht="13.5" customHeight="1">
      <c r="P950" s="6"/>
      <c r="AD950" s="6"/>
      <c r="AR950" s="6"/>
      <c r="BF950" s="6"/>
      <c r="BT950" s="6"/>
      <c r="CH950" s="6"/>
    </row>
    <row r="951" ht="13.5" customHeight="1">
      <c r="P951" s="6"/>
      <c r="AD951" s="6"/>
      <c r="AR951" s="6"/>
      <c r="BF951" s="6"/>
      <c r="BT951" s="6"/>
      <c r="CH951" s="6"/>
    </row>
    <row r="952" ht="13.5" customHeight="1">
      <c r="P952" s="6"/>
      <c r="AD952" s="6"/>
      <c r="AR952" s="6"/>
      <c r="BF952" s="6"/>
      <c r="BT952" s="6"/>
      <c r="CH952" s="6"/>
    </row>
    <row r="953" ht="13.5" customHeight="1">
      <c r="P953" s="6"/>
      <c r="AD953" s="6"/>
      <c r="AR953" s="6"/>
      <c r="BF953" s="6"/>
      <c r="BT953" s="6"/>
      <c r="CH953" s="6"/>
    </row>
    <row r="954" ht="13.5" customHeight="1">
      <c r="P954" s="6"/>
      <c r="AD954" s="6"/>
      <c r="AR954" s="6"/>
      <c r="BF954" s="6"/>
      <c r="BT954" s="6"/>
      <c r="CH954" s="6"/>
    </row>
    <row r="955" ht="13.5" customHeight="1">
      <c r="P955" s="6"/>
      <c r="AD955" s="6"/>
      <c r="AR955" s="6"/>
      <c r="BF955" s="6"/>
      <c r="BT955" s="6"/>
      <c r="CH955" s="6"/>
    </row>
    <row r="956" ht="13.5" customHeight="1">
      <c r="P956" s="6"/>
      <c r="AD956" s="6"/>
      <c r="AR956" s="6"/>
      <c r="BF956" s="6"/>
      <c r="BT956" s="6"/>
      <c r="CH956" s="6"/>
    </row>
    <row r="957" ht="13.5" customHeight="1">
      <c r="P957" s="6"/>
      <c r="AD957" s="6"/>
      <c r="AR957" s="6"/>
      <c r="BF957" s="6"/>
      <c r="BT957" s="6"/>
      <c r="CH957" s="6"/>
    </row>
    <row r="958" ht="13.5" customHeight="1">
      <c r="P958" s="6"/>
      <c r="AD958" s="6"/>
      <c r="AR958" s="6"/>
      <c r="BF958" s="6"/>
      <c r="BT958" s="6"/>
      <c r="CH958" s="6"/>
    </row>
    <row r="959" ht="13.5" customHeight="1">
      <c r="P959" s="6"/>
      <c r="AD959" s="6"/>
      <c r="AR959" s="6"/>
      <c r="BF959" s="6"/>
      <c r="BT959" s="6"/>
      <c r="CH959" s="6"/>
    </row>
    <row r="960" ht="13.5" customHeight="1">
      <c r="P960" s="6"/>
      <c r="AD960" s="6"/>
      <c r="AR960" s="6"/>
      <c r="BF960" s="6"/>
      <c r="BT960" s="6"/>
      <c r="CH960" s="6"/>
    </row>
    <row r="961" ht="13.5" customHeight="1">
      <c r="P961" s="6"/>
      <c r="AD961" s="6"/>
      <c r="AR961" s="6"/>
      <c r="BF961" s="6"/>
      <c r="BT961" s="6"/>
      <c r="CH961" s="6"/>
    </row>
    <row r="962" ht="13.5" customHeight="1">
      <c r="P962" s="6"/>
      <c r="AD962" s="6"/>
      <c r="AR962" s="6"/>
      <c r="BF962" s="6"/>
      <c r="BT962" s="6"/>
      <c r="CH962" s="6"/>
    </row>
    <row r="963" ht="13.5" customHeight="1">
      <c r="P963" s="6"/>
      <c r="AD963" s="6"/>
      <c r="AR963" s="6"/>
      <c r="BF963" s="6"/>
      <c r="BT963" s="6"/>
      <c r="CH963" s="6"/>
    </row>
    <row r="964" ht="13.5" customHeight="1">
      <c r="P964" s="6"/>
      <c r="AD964" s="6"/>
      <c r="AR964" s="6"/>
      <c r="BF964" s="6"/>
      <c r="BT964" s="6"/>
      <c r="CH964" s="6"/>
    </row>
    <row r="965" ht="13.5" customHeight="1">
      <c r="P965" s="6"/>
      <c r="AD965" s="6"/>
      <c r="AR965" s="6"/>
      <c r="BF965" s="6"/>
      <c r="BT965" s="6"/>
      <c r="CH965" s="6"/>
    </row>
    <row r="966" ht="13.5" customHeight="1">
      <c r="P966" s="6"/>
      <c r="AD966" s="6"/>
      <c r="AR966" s="6"/>
      <c r="BF966" s="6"/>
      <c r="BT966" s="6"/>
      <c r="CH966" s="6"/>
    </row>
    <row r="967" ht="13.5" customHeight="1">
      <c r="P967" s="6"/>
      <c r="AD967" s="6"/>
      <c r="AR967" s="6"/>
      <c r="BF967" s="6"/>
      <c r="BT967" s="6"/>
      <c r="CH967" s="6"/>
    </row>
    <row r="968" ht="13.5" customHeight="1">
      <c r="P968" s="6"/>
      <c r="AD968" s="6"/>
      <c r="AR968" s="6"/>
      <c r="BF968" s="6"/>
      <c r="BT968" s="6"/>
      <c r="CH968" s="6"/>
    </row>
    <row r="969" ht="13.5" customHeight="1">
      <c r="P969" s="6"/>
      <c r="AD969" s="6"/>
      <c r="AR969" s="6"/>
      <c r="BF969" s="6"/>
      <c r="BT969" s="6"/>
      <c r="CH969" s="6"/>
    </row>
    <row r="970" ht="13.5" customHeight="1">
      <c r="P970" s="6"/>
      <c r="AD970" s="6"/>
      <c r="AR970" s="6"/>
      <c r="BF970" s="6"/>
      <c r="BT970" s="6"/>
      <c r="CH970" s="6"/>
    </row>
    <row r="971" ht="13.5" customHeight="1">
      <c r="P971" s="6"/>
      <c r="AD971" s="6"/>
      <c r="AR971" s="6"/>
      <c r="BF971" s="6"/>
      <c r="BT971" s="6"/>
      <c r="CH971" s="6"/>
    </row>
    <row r="972" ht="13.5" customHeight="1">
      <c r="P972" s="6"/>
      <c r="AD972" s="6"/>
      <c r="AR972" s="6"/>
      <c r="BF972" s="6"/>
      <c r="BT972" s="6"/>
      <c r="CH972" s="6"/>
    </row>
    <row r="973" ht="13.5" customHeight="1">
      <c r="P973" s="6"/>
      <c r="AD973" s="6"/>
      <c r="AR973" s="6"/>
      <c r="BF973" s="6"/>
      <c r="BT973" s="6"/>
      <c r="CH973" s="6"/>
    </row>
    <row r="974" ht="13.5" customHeight="1">
      <c r="P974" s="6"/>
      <c r="AD974" s="6"/>
      <c r="AR974" s="6"/>
      <c r="BF974" s="6"/>
      <c r="BT974" s="6"/>
      <c r="CH974" s="6"/>
    </row>
    <row r="975" ht="13.5" customHeight="1">
      <c r="P975" s="6"/>
      <c r="AD975" s="6"/>
      <c r="AR975" s="6"/>
      <c r="BF975" s="6"/>
      <c r="BT975" s="6"/>
      <c r="CH975" s="6"/>
    </row>
    <row r="976" ht="13.5" customHeight="1">
      <c r="P976" s="6"/>
      <c r="AD976" s="6"/>
      <c r="AR976" s="6"/>
      <c r="BF976" s="6"/>
      <c r="BT976" s="6"/>
      <c r="CH976" s="6"/>
    </row>
    <row r="977" ht="13.5" customHeight="1">
      <c r="P977" s="6"/>
      <c r="AD977" s="6"/>
      <c r="AR977" s="6"/>
      <c r="BF977" s="6"/>
      <c r="BT977" s="6"/>
      <c r="CH977" s="6"/>
    </row>
    <row r="978" ht="13.5" customHeight="1">
      <c r="P978" s="6"/>
      <c r="AD978" s="6"/>
      <c r="AR978" s="6"/>
      <c r="BF978" s="6"/>
      <c r="BT978" s="6"/>
      <c r="CH978" s="6"/>
    </row>
    <row r="979" ht="13.5" customHeight="1">
      <c r="P979" s="6"/>
      <c r="AD979" s="6"/>
      <c r="AR979" s="6"/>
      <c r="BF979" s="6"/>
      <c r="BT979" s="6"/>
      <c r="CH979" s="6"/>
    </row>
    <row r="980" ht="13.5" customHeight="1">
      <c r="P980" s="6"/>
      <c r="AD980" s="6"/>
      <c r="AR980" s="6"/>
      <c r="BF980" s="6"/>
      <c r="BT980" s="6"/>
      <c r="CH980" s="6"/>
    </row>
    <row r="981" ht="13.5" customHeight="1">
      <c r="P981" s="6"/>
      <c r="AD981" s="6"/>
      <c r="AR981" s="6"/>
      <c r="BF981" s="6"/>
      <c r="BT981" s="6"/>
      <c r="CH981" s="6"/>
    </row>
    <row r="982" ht="13.5" customHeight="1">
      <c r="P982" s="6"/>
      <c r="AD982" s="6"/>
      <c r="AR982" s="6"/>
      <c r="BF982" s="6"/>
      <c r="BT982" s="6"/>
      <c r="CH982" s="6"/>
    </row>
    <row r="983" ht="13.5" customHeight="1">
      <c r="P983" s="6"/>
      <c r="AD983" s="6"/>
      <c r="AR983" s="6"/>
      <c r="BF983" s="6"/>
      <c r="BT983" s="6"/>
      <c r="CH983" s="6"/>
    </row>
    <row r="984" ht="13.5" customHeight="1">
      <c r="P984" s="6"/>
      <c r="AD984" s="6"/>
      <c r="AR984" s="6"/>
      <c r="BF984" s="6"/>
      <c r="BT984" s="6"/>
      <c r="CH984" s="6"/>
    </row>
    <row r="985" ht="13.5" customHeight="1">
      <c r="P985" s="6"/>
      <c r="AD985" s="6"/>
      <c r="AR985" s="6"/>
      <c r="BF985" s="6"/>
      <c r="BT985" s="6"/>
      <c r="CH985" s="6"/>
    </row>
    <row r="986" ht="13.5" customHeight="1">
      <c r="P986" s="6"/>
      <c r="AD986" s="6"/>
      <c r="AR986" s="6"/>
      <c r="BF986" s="6"/>
      <c r="BT986" s="6"/>
      <c r="CH986" s="6"/>
    </row>
    <row r="987" ht="13.5" customHeight="1">
      <c r="P987" s="6"/>
      <c r="AD987" s="6"/>
      <c r="AR987" s="6"/>
      <c r="BF987" s="6"/>
      <c r="BT987" s="6"/>
      <c r="CH987" s="6"/>
    </row>
    <row r="988" ht="13.5" customHeight="1">
      <c r="P988" s="6"/>
      <c r="AD988" s="6"/>
      <c r="AR988" s="6"/>
      <c r="BF988" s="6"/>
      <c r="BT988" s="6"/>
      <c r="CH988" s="6"/>
    </row>
    <row r="989" ht="13.5" customHeight="1">
      <c r="P989" s="6"/>
      <c r="AD989" s="6"/>
      <c r="AR989" s="6"/>
      <c r="BF989" s="6"/>
      <c r="BT989" s="6"/>
      <c r="CH989" s="6"/>
    </row>
    <row r="990" ht="13.5" customHeight="1">
      <c r="P990" s="6"/>
      <c r="AD990" s="6"/>
      <c r="AR990" s="6"/>
      <c r="BF990" s="6"/>
      <c r="BT990" s="6"/>
      <c r="CH990" s="6"/>
    </row>
    <row r="991" ht="13.5" customHeight="1">
      <c r="P991" s="6"/>
      <c r="AD991" s="6"/>
      <c r="AR991" s="6"/>
      <c r="BF991" s="6"/>
      <c r="BT991" s="6"/>
      <c r="CH991" s="6"/>
    </row>
    <row r="992" ht="13.5" customHeight="1">
      <c r="P992" s="6"/>
      <c r="AD992" s="6"/>
      <c r="AR992" s="6"/>
      <c r="BF992" s="6"/>
      <c r="BT992" s="6"/>
      <c r="CH992" s="6"/>
    </row>
    <row r="993" ht="13.5" customHeight="1">
      <c r="P993" s="6"/>
      <c r="AD993" s="6"/>
      <c r="AR993" s="6"/>
      <c r="BF993" s="6"/>
      <c r="BT993" s="6"/>
      <c r="CH993" s="6"/>
    </row>
    <row r="994" ht="13.5" customHeight="1">
      <c r="P994" s="6"/>
      <c r="AD994" s="6"/>
      <c r="AR994" s="6"/>
      <c r="BF994" s="6"/>
      <c r="BT994" s="6"/>
      <c r="CH994" s="6"/>
    </row>
    <row r="995" ht="13.5" customHeight="1">
      <c r="P995" s="6"/>
      <c r="AD995" s="6"/>
      <c r="AR995" s="6"/>
      <c r="BF995" s="6"/>
      <c r="BT995" s="6"/>
      <c r="CH995" s="6"/>
    </row>
    <row r="996" ht="13.5" customHeight="1">
      <c r="P996" s="6"/>
      <c r="AD996" s="6"/>
      <c r="AR996" s="6"/>
      <c r="BF996" s="6"/>
      <c r="BT996" s="6"/>
      <c r="CH996" s="6"/>
    </row>
    <row r="997" ht="13.5" customHeight="1">
      <c r="P997" s="6"/>
      <c r="AD997" s="6"/>
      <c r="AR997" s="6"/>
      <c r="BF997" s="6"/>
      <c r="BT997" s="6"/>
      <c r="CH997" s="6"/>
    </row>
    <row r="998" ht="13.5" customHeight="1">
      <c r="P998" s="6"/>
      <c r="AD998" s="6"/>
      <c r="AR998" s="6"/>
      <c r="BF998" s="6"/>
      <c r="BT998" s="6"/>
      <c r="CH998" s="6"/>
    </row>
    <row r="999" ht="13.5" customHeight="1">
      <c r="P999" s="6"/>
      <c r="AD999" s="6"/>
      <c r="AR999" s="6"/>
      <c r="BF999" s="6"/>
      <c r="BT999" s="6"/>
      <c r="CH999" s="6"/>
    </row>
    <row r="1000" ht="13.5" customHeight="1">
      <c r="P1000" s="6"/>
      <c r="AD1000" s="6"/>
      <c r="AR1000" s="6"/>
      <c r="BF1000" s="6"/>
      <c r="BT1000" s="6"/>
      <c r="CH1000" s="6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A49B"/>
    <pageSetUpPr/>
  </sheetPr>
  <sheetViews>
    <sheetView workbookViewId="0"/>
  </sheetViews>
  <sheetFormatPr customHeight="1" defaultColWidth="12.63" defaultRowHeight="15.0" outlineLevelCol="1"/>
  <cols>
    <col customWidth="1" min="1" max="1" width="8.63"/>
    <col customWidth="1" min="2" max="2" width="22.88"/>
    <col customWidth="1" min="3" max="3" width="18.63"/>
    <col customWidth="1" min="4" max="15" width="12.88" outlineLevel="1"/>
    <col customWidth="1" min="16" max="16" width="12.88"/>
    <col customWidth="1" min="17" max="17" width="1.63"/>
    <col customWidth="1" min="18" max="29" width="12.88" outlineLevel="1"/>
    <col customWidth="1" min="30" max="30" width="12.88"/>
    <col customWidth="1" min="31" max="31" width="1.13"/>
    <col customWidth="1" min="32" max="43" width="12.88" outlineLevel="1"/>
    <col customWidth="1" min="44" max="44" width="12.88"/>
    <col customWidth="1" min="45" max="45" width="1.13"/>
    <col customWidth="1" min="46" max="57" width="12.88" outlineLevel="1"/>
    <col customWidth="1" min="58" max="58" width="12.88"/>
    <col customWidth="1" min="59" max="59" width="1.13"/>
    <col customWidth="1" min="60" max="71" width="12.88" outlineLevel="1"/>
    <col customWidth="1" min="72" max="72" width="12.88"/>
    <col customWidth="1" min="73" max="73" width="1.5"/>
    <col customWidth="1" min="74" max="85" width="12.88" outlineLevel="1"/>
    <col customWidth="1" min="86" max="86" width="12.88"/>
    <col customWidth="1" min="87" max="87" width="1.13"/>
  </cols>
  <sheetData>
    <row r="1" ht="20.25" customHeight="1">
      <c r="B1" s="2" t="s">
        <v>0</v>
      </c>
      <c r="C1" s="2"/>
      <c r="D1" s="3" t="str">
        <f>+COMP</f>
        <v>ZHY</v>
      </c>
      <c r="E1" s="3" t="str">
        <f>+COMP</f>
        <v>ZHY</v>
      </c>
      <c r="F1" s="3" t="str">
        <f>+COMP</f>
        <v>ZHY</v>
      </c>
      <c r="G1" s="3" t="str">
        <f>+COMP</f>
        <v>ZHY</v>
      </c>
      <c r="H1" s="3" t="str">
        <f>+COMP</f>
        <v>ZHY</v>
      </c>
      <c r="I1" s="3" t="str">
        <f>+COMP</f>
        <v>ZHY</v>
      </c>
      <c r="J1" s="3" t="str">
        <f>+COMP</f>
        <v>ZHY</v>
      </c>
      <c r="K1" s="3" t="str">
        <f>+COMP</f>
        <v>ZHY</v>
      </c>
      <c r="L1" s="3" t="str">
        <f>+COMP</f>
        <v>ZHY</v>
      </c>
      <c r="M1" s="3" t="str">
        <f>+COMP</f>
        <v>ZHY</v>
      </c>
      <c r="N1" s="3" t="str">
        <f>+COMP</f>
        <v>ZHY</v>
      </c>
      <c r="O1" s="3" t="str">
        <f>+COMP</f>
        <v>ZHY</v>
      </c>
      <c r="P1" s="4" t="str">
        <f>+COMP</f>
        <v>ZHY</v>
      </c>
      <c r="R1" s="3" t="str">
        <f>+COMP</f>
        <v>ZHY</v>
      </c>
      <c r="S1" s="3" t="str">
        <f>+COMP</f>
        <v>ZHY</v>
      </c>
      <c r="T1" s="3" t="str">
        <f>+COMP</f>
        <v>ZHY</v>
      </c>
      <c r="U1" s="3" t="str">
        <f>+COMP</f>
        <v>ZHY</v>
      </c>
      <c r="V1" s="3" t="str">
        <f>+COMP</f>
        <v>ZHY</v>
      </c>
      <c r="W1" s="3" t="str">
        <f>+COMP</f>
        <v>ZHY</v>
      </c>
      <c r="X1" s="3" t="str">
        <f>+COMP</f>
        <v>ZHY</v>
      </c>
      <c r="Y1" s="3" t="str">
        <f>+COMP</f>
        <v>ZHY</v>
      </c>
      <c r="Z1" s="3" t="str">
        <f>+COMP</f>
        <v>ZHY</v>
      </c>
      <c r="AA1" s="3" t="str">
        <f>+COMP</f>
        <v>ZHY</v>
      </c>
      <c r="AB1" s="3" t="str">
        <f>+COMP</f>
        <v>ZHY</v>
      </c>
      <c r="AC1" s="3" t="str">
        <f>+COMP</f>
        <v>ZHY</v>
      </c>
      <c r="AD1" s="4" t="str">
        <f>+COMP</f>
        <v>ZHY</v>
      </c>
      <c r="AF1" s="3" t="str">
        <f>+COMP</f>
        <v>ZHY</v>
      </c>
      <c r="AG1" s="3" t="str">
        <f>+COMP</f>
        <v>ZHY</v>
      </c>
      <c r="AH1" s="3" t="str">
        <f>+COMP</f>
        <v>ZHY</v>
      </c>
      <c r="AI1" s="3" t="str">
        <f>+COMP</f>
        <v>ZHY</v>
      </c>
      <c r="AJ1" s="3" t="str">
        <f>+COMP</f>
        <v>ZHY</v>
      </c>
      <c r="AK1" s="3" t="str">
        <f>+COMP</f>
        <v>ZHY</v>
      </c>
      <c r="AL1" s="3" t="str">
        <f>+COMP</f>
        <v>ZHY</v>
      </c>
      <c r="AM1" s="3" t="str">
        <f>+COMP</f>
        <v>ZHY</v>
      </c>
      <c r="AN1" s="3" t="str">
        <f>+COMP</f>
        <v>ZHY</v>
      </c>
      <c r="AO1" s="3" t="str">
        <f>+COMP</f>
        <v>ZHY</v>
      </c>
      <c r="AP1" s="3" t="str">
        <f>+COMP</f>
        <v>ZHY</v>
      </c>
      <c r="AQ1" s="3" t="str">
        <f>+COMP</f>
        <v>ZHY</v>
      </c>
      <c r="AR1" s="4" t="str">
        <f>+COMP</f>
        <v>ZHY</v>
      </c>
      <c r="AT1" s="3" t="str">
        <f>+COMP</f>
        <v>ZHY</v>
      </c>
      <c r="AU1" s="3" t="str">
        <f>+COMP</f>
        <v>ZHY</v>
      </c>
      <c r="AV1" s="3" t="str">
        <f>+COMP</f>
        <v>ZHY</v>
      </c>
      <c r="AW1" s="3" t="str">
        <f>+COMP</f>
        <v>ZHY</v>
      </c>
      <c r="AX1" s="3" t="str">
        <f>+COMP</f>
        <v>ZHY</v>
      </c>
      <c r="AY1" s="3" t="str">
        <f>+COMP</f>
        <v>ZHY</v>
      </c>
      <c r="AZ1" s="3" t="str">
        <f>+COMP</f>
        <v>ZHY</v>
      </c>
      <c r="BA1" s="3" t="str">
        <f>+COMP</f>
        <v>ZHY</v>
      </c>
      <c r="BB1" s="3" t="str">
        <f>+COMP</f>
        <v>ZHY</v>
      </c>
      <c r="BC1" s="3" t="str">
        <f>+COMP</f>
        <v>ZHY</v>
      </c>
      <c r="BD1" s="3" t="str">
        <f>+COMP</f>
        <v>ZHY</v>
      </c>
      <c r="BE1" s="3" t="str">
        <f>+COMP</f>
        <v>ZHY</v>
      </c>
      <c r="BF1" s="4" t="str">
        <f>+COMP</f>
        <v>ZHY</v>
      </c>
      <c r="BH1" s="3" t="str">
        <f>+COMP</f>
        <v>ZHY</v>
      </c>
      <c r="BI1" s="3" t="str">
        <f>+COMP</f>
        <v>ZHY</v>
      </c>
      <c r="BJ1" s="3" t="str">
        <f>+COMP</f>
        <v>ZHY</v>
      </c>
      <c r="BK1" s="3" t="str">
        <f>+COMP</f>
        <v>ZHY</v>
      </c>
      <c r="BL1" s="3" t="str">
        <f>+COMP</f>
        <v>ZHY</v>
      </c>
      <c r="BM1" s="3" t="str">
        <f>+COMP</f>
        <v>ZHY</v>
      </c>
      <c r="BN1" s="3" t="str">
        <f>+COMP</f>
        <v>ZHY</v>
      </c>
      <c r="BO1" s="3" t="str">
        <f>+COMP</f>
        <v>ZHY</v>
      </c>
      <c r="BP1" s="3" t="str">
        <f>+COMP</f>
        <v>ZHY</v>
      </c>
      <c r="BQ1" s="3" t="str">
        <f>+COMP</f>
        <v>ZHY</v>
      </c>
      <c r="BR1" s="3" t="str">
        <f>+COMP</f>
        <v>ZHY</v>
      </c>
      <c r="BS1" s="3" t="str">
        <f>+COMP</f>
        <v>ZHY</v>
      </c>
      <c r="BT1" s="4" t="str">
        <f>+COMP</f>
        <v>ZHY</v>
      </c>
      <c r="BV1" s="3" t="str">
        <f>+COMP</f>
        <v>ZHY</v>
      </c>
      <c r="BW1" s="3" t="str">
        <f>+COMP</f>
        <v>ZHY</v>
      </c>
      <c r="BX1" s="3" t="str">
        <f>+COMP</f>
        <v>ZHY</v>
      </c>
      <c r="BY1" s="3" t="str">
        <f>+COMP</f>
        <v>ZHY</v>
      </c>
      <c r="BZ1" s="3" t="str">
        <f>+COMP</f>
        <v>ZHY</v>
      </c>
      <c r="CA1" s="3" t="str">
        <f>+COMP</f>
        <v>ZHY</v>
      </c>
      <c r="CB1" s="3" t="str">
        <f>+COMP</f>
        <v>ZHY</v>
      </c>
      <c r="CC1" s="3" t="str">
        <f>+COMP</f>
        <v>ZHY</v>
      </c>
      <c r="CD1" s="3" t="str">
        <f>+COMP</f>
        <v>ZHY</v>
      </c>
      <c r="CE1" s="3" t="str">
        <f>+COMP</f>
        <v>ZHY</v>
      </c>
      <c r="CF1" s="3" t="str">
        <f>+COMP</f>
        <v>ZHY</v>
      </c>
      <c r="CG1" s="3" t="str">
        <f>+COMP</f>
        <v>ZHY</v>
      </c>
      <c r="CH1" s="4" t="str">
        <f>+COMP</f>
        <v>ZHY</v>
      </c>
    </row>
    <row r="2" ht="20.25" customHeight="1">
      <c r="B2" s="2" t="s">
        <v>1</v>
      </c>
      <c r="C2" s="2"/>
      <c r="D2" s="3">
        <f>+YEAR</f>
        <v>2025</v>
      </c>
      <c r="E2" s="3">
        <f>+YEAR</f>
        <v>2025</v>
      </c>
      <c r="F2" s="3">
        <f>+YEAR</f>
        <v>2025</v>
      </c>
      <c r="G2" s="3">
        <f>+YEAR</f>
        <v>2025</v>
      </c>
      <c r="H2" s="3">
        <f>+YEAR</f>
        <v>2025</v>
      </c>
      <c r="I2" s="3">
        <f>+YEAR</f>
        <v>2025</v>
      </c>
      <c r="J2" s="3">
        <f>+YEAR</f>
        <v>2025</v>
      </c>
      <c r="K2" s="3">
        <f>+YEAR</f>
        <v>2025</v>
      </c>
      <c r="L2" s="3">
        <f>+YEAR</f>
        <v>2025</v>
      </c>
      <c r="M2" s="3">
        <f>+YEAR</f>
        <v>2025</v>
      </c>
      <c r="N2" s="3">
        <f>+YEAR</f>
        <v>2025</v>
      </c>
      <c r="O2" s="3">
        <f>+YEAR</f>
        <v>2025</v>
      </c>
      <c r="P2" s="4">
        <f>+YEAR</f>
        <v>2025</v>
      </c>
      <c r="R2" s="3">
        <f>+YEAR_1</f>
        <v>2026</v>
      </c>
      <c r="S2" s="3">
        <f>+YEAR_1</f>
        <v>2026</v>
      </c>
      <c r="T2" s="3">
        <f>+YEAR_1</f>
        <v>2026</v>
      </c>
      <c r="U2" s="3">
        <f>+YEAR_1</f>
        <v>2026</v>
      </c>
      <c r="V2" s="3">
        <f>+YEAR_1</f>
        <v>2026</v>
      </c>
      <c r="W2" s="3">
        <f>+YEAR_1</f>
        <v>2026</v>
      </c>
      <c r="X2" s="3">
        <f>+YEAR_1</f>
        <v>2026</v>
      </c>
      <c r="Y2" s="3">
        <f>+YEAR_1</f>
        <v>2026</v>
      </c>
      <c r="Z2" s="3">
        <f>+YEAR_1</f>
        <v>2026</v>
      </c>
      <c r="AA2" s="3">
        <f>+YEAR_1</f>
        <v>2026</v>
      </c>
      <c r="AB2" s="3">
        <f>+YEAR_1</f>
        <v>2026</v>
      </c>
      <c r="AC2" s="3">
        <f>+YEAR_1</f>
        <v>2026</v>
      </c>
      <c r="AD2" s="4">
        <f>+YEAR+1</f>
        <v>2026</v>
      </c>
      <c r="AF2" s="3">
        <f>+YEAR_2</f>
        <v>2027</v>
      </c>
      <c r="AG2" s="3">
        <f>+YEAR_2</f>
        <v>2027</v>
      </c>
      <c r="AH2" s="3">
        <f>+YEAR_2</f>
        <v>2027</v>
      </c>
      <c r="AI2" s="3">
        <f>+YEAR_2</f>
        <v>2027</v>
      </c>
      <c r="AJ2" s="3">
        <f>+YEAR_2</f>
        <v>2027</v>
      </c>
      <c r="AK2" s="3">
        <f>+YEAR_2</f>
        <v>2027</v>
      </c>
      <c r="AL2" s="3">
        <f>+YEAR_2</f>
        <v>2027</v>
      </c>
      <c r="AM2" s="3">
        <f>+YEAR_2</f>
        <v>2027</v>
      </c>
      <c r="AN2" s="3">
        <f>+YEAR_2</f>
        <v>2027</v>
      </c>
      <c r="AO2" s="3">
        <f>+YEAR_2</f>
        <v>2027</v>
      </c>
      <c r="AP2" s="3">
        <f>+YEAR_2</f>
        <v>2027</v>
      </c>
      <c r="AQ2" s="3">
        <f>+YEAR_2</f>
        <v>2027</v>
      </c>
      <c r="AR2" s="4">
        <f>+YEAR+2</f>
        <v>2027</v>
      </c>
      <c r="AT2" s="3">
        <f>+YEAR_3</f>
        <v>2028</v>
      </c>
      <c r="AU2" s="3">
        <f>+YEAR_3</f>
        <v>2028</v>
      </c>
      <c r="AV2" s="3">
        <f>+YEAR_3</f>
        <v>2028</v>
      </c>
      <c r="AW2" s="3">
        <f>+YEAR_3</f>
        <v>2028</v>
      </c>
      <c r="AX2" s="3">
        <f>+YEAR_3</f>
        <v>2028</v>
      </c>
      <c r="AY2" s="3">
        <f>+YEAR_3</f>
        <v>2028</v>
      </c>
      <c r="AZ2" s="3">
        <f>+YEAR_3</f>
        <v>2028</v>
      </c>
      <c r="BA2" s="3">
        <f>+YEAR_3</f>
        <v>2028</v>
      </c>
      <c r="BB2" s="3">
        <f>+YEAR_3</f>
        <v>2028</v>
      </c>
      <c r="BC2" s="3">
        <f>+YEAR_3</f>
        <v>2028</v>
      </c>
      <c r="BD2" s="3">
        <f>+YEAR_3</f>
        <v>2028</v>
      </c>
      <c r="BE2" s="3">
        <f>+YEAR_3</f>
        <v>2028</v>
      </c>
      <c r="BF2" s="4">
        <f>+YEAR+3</f>
        <v>2028</v>
      </c>
      <c r="BH2" s="3">
        <f>+YEAR_4</f>
        <v>2029</v>
      </c>
      <c r="BI2" s="3">
        <f>+YEAR_4</f>
        <v>2029</v>
      </c>
      <c r="BJ2" s="3">
        <f>+YEAR_4</f>
        <v>2029</v>
      </c>
      <c r="BK2" s="3">
        <f>+YEAR_4</f>
        <v>2029</v>
      </c>
      <c r="BL2" s="3">
        <f>+YEAR_4</f>
        <v>2029</v>
      </c>
      <c r="BM2" s="3">
        <f>+YEAR_4</f>
        <v>2029</v>
      </c>
      <c r="BN2" s="3">
        <f>+YEAR_4</f>
        <v>2029</v>
      </c>
      <c r="BO2" s="3">
        <f>+YEAR_4</f>
        <v>2029</v>
      </c>
      <c r="BP2" s="3">
        <f>+YEAR_4</f>
        <v>2029</v>
      </c>
      <c r="BQ2" s="3">
        <f>+YEAR_4</f>
        <v>2029</v>
      </c>
      <c r="BR2" s="3">
        <f>+YEAR_4</f>
        <v>2029</v>
      </c>
      <c r="BS2" s="3">
        <f>+YEAR_4</f>
        <v>2029</v>
      </c>
      <c r="BT2" s="4">
        <f>+YEAR+4</f>
        <v>2029</v>
      </c>
      <c r="BV2" s="3">
        <f>+YEAR_5</f>
        <v>2030</v>
      </c>
      <c r="BW2" s="3">
        <f>+YEAR_5</f>
        <v>2030</v>
      </c>
      <c r="BX2" s="3">
        <f>+YEAR_5</f>
        <v>2030</v>
      </c>
      <c r="BY2" s="3">
        <f>+YEAR_5</f>
        <v>2030</v>
      </c>
      <c r="BZ2" s="3">
        <f>+YEAR_5</f>
        <v>2030</v>
      </c>
      <c r="CA2" s="3">
        <f>+YEAR_5</f>
        <v>2030</v>
      </c>
      <c r="CB2" s="3">
        <f>+YEAR_5</f>
        <v>2030</v>
      </c>
      <c r="CC2" s="3">
        <f>+YEAR_5</f>
        <v>2030</v>
      </c>
      <c r="CD2" s="3">
        <f>+YEAR_5</f>
        <v>2030</v>
      </c>
      <c r="CE2" s="3">
        <f>+YEAR_5</f>
        <v>2030</v>
      </c>
      <c r="CF2" s="3">
        <f>+YEAR_5</f>
        <v>2030</v>
      </c>
      <c r="CG2" s="3">
        <f>+YEAR_5</f>
        <v>2030</v>
      </c>
      <c r="CH2" s="4">
        <f>+YEAR+5</f>
        <v>2030</v>
      </c>
    </row>
    <row r="3" ht="20.25" customHeight="1">
      <c r="B3" s="2" t="s">
        <v>2</v>
      </c>
      <c r="C3" s="2"/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4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4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4" t="s">
        <v>3</v>
      </c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4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4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4" t="s">
        <v>3</v>
      </c>
    </row>
    <row r="4" ht="20.25" customHeight="1">
      <c r="B4" s="2" t="s">
        <v>4</v>
      </c>
      <c r="C4" s="2"/>
      <c r="D4" s="3">
        <v>1.0</v>
      </c>
      <c r="E4" s="3">
        <f t="shared" ref="E4:O4" si="1">+D4+1</f>
        <v>2</v>
      </c>
      <c r="F4" s="3">
        <f t="shared" si="1"/>
        <v>3</v>
      </c>
      <c r="G4" s="3">
        <f t="shared" si="1"/>
        <v>4</v>
      </c>
      <c r="H4" s="3">
        <f t="shared" si="1"/>
        <v>5</v>
      </c>
      <c r="I4" s="3">
        <f t="shared" si="1"/>
        <v>6</v>
      </c>
      <c r="J4" s="3">
        <f t="shared" si="1"/>
        <v>7</v>
      </c>
      <c r="K4" s="3">
        <f t="shared" si="1"/>
        <v>8</v>
      </c>
      <c r="L4" s="3">
        <f t="shared" si="1"/>
        <v>9</v>
      </c>
      <c r="M4" s="3">
        <f t="shared" si="1"/>
        <v>10</v>
      </c>
      <c r="N4" s="3">
        <f t="shared" si="1"/>
        <v>11</v>
      </c>
      <c r="O4" s="3">
        <f t="shared" si="1"/>
        <v>12</v>
      </c>
      <c r="P4" s="4" t="s">
        <v>5</v>
      </c>
      <c r="R4" s="3">
        <v>1.0</v>
      </c>
      <c r="S4" s="3">
        <f t="shared" ref="S4:AC4" si="2">+R4+1</f>
        <v>2</v>
      </c>
      <c r="T4" s="3">
        <f t="shared" si="2"/>
        <v>3</v>
      </c>
      <c r="U4" s="3">
        <f t="shared" si="2"/>
        <v>4</v>
      </c>
      <c r="V4" s="3">
        <f t="shared" si="2"/>
        <v>5</v>
      </c>
      <c r="W4" s="3">
        <f t="shared" si="2"/>
        <v>6</v>
      </c>
      <c r="X4" s="3">
        <f t="shared" si="2"/>
        <v>7</v>
      </c>
      <c r="Y4" s="3">
        <f t="shared" si="2"/>
        <v>8</v>
      </c>
      <c r="Z4" s="3">
        <f t="shared" si="2"/>
        <v>9</v>
      </c>
      <c r="AA4" s="3">
        <f t="shared" si="2"/>
        <v>10</v>
      </c>
      <c r="AB4" s="3">
        <f t="shared" si="2"/>
        <v>11</v>
      </c>
      <c r="AC4" s="3">
        <f t="shared" si="2"/>
        <v>12</v>
      </c>
      <c r="AD4" s="4" t="s">
        <v>5</v>
      </c>
      <c r="AF4" s="3">
        <v>1.0</v>
      </c>
      <c r="AG4" s="3">
        <f t="shared" ref="AG4:AQ4" si="3">+AF4+1</f>
        <v>2</v>
      </c>
      <c r="AH4" s="3">
        <f t="shared" si="3"/>
        <v>3</v>
      </c>
      <c r="AI4" s="3">
        <f t="shared" si="3"/>
        <v>4</v>
      </c>
      <c r="AJ4" s="3">
        <f t="shared" si="3"/>
        <v>5</v>
      </c>
      <c r="AK4" s="3">
        <f t="shared" si="3"/>
        <v>6</v>
      </c>
      <c r="AL4" s="3">
        <f t="shared" si="3"/>
        <v>7</v>
      </c>
      <c r="AM4" s="3">
        <f t="shared" si="3"/>
        <v>8</v>
      </c>
      <c r="AN4" s="3">
        <f t="shared" si="3"/>
        <v>9</v>
      </c>
      <c r="AO4" s="3">
        <f t="shared" si="3"/>
        <v>10</v>
      </c>
      <c r="AP4" s="3">
        <f t="shared" si="3"/>
        <v>11</v>
      </c>
      <c r="AQ4" s="3">
        <f t="shared" si="3"/>
        <v>12</v>
      </c>
      <c r="AR4" s="4" t="s">
        <v>5</v>
      </c>
      <c r="AT4" s="3">
        <v>1.0</v>
      </c>
      <c r="AU4" s="3">
        <f t="shared" ref="AU4:BE4" si="4">+AT4+1</f>
        <v>2</v>
      </c>
      <c r="AV4" s="3">
        <f t="shared" si="4"/>
        <v>3</v>
      </c>
      <c r="AW4" s="3">
        <f t="shared" si="4"/>
        <v>4</v>
      </c>
      <c r="AX4" s="3">
        <f t="shared" si="4"/>
        <v>5</v>
      </c>
      <c r="AY4" s="3">
        <f t="shared" si="4"/>
        <v>6</v>
      </c>
      <c r="AZ4" s="3">
        <f t="shared" si="4"/>
        <v>7</v>
      </c>
      <c r="BA4" s="3">
        <f t="shared" si="4"/>
        <v>8</v>
      </c>
      <c r="BB4" s="3">
        <f t="shared" si="4"/>
        <v>9</v>
      </c>
      <c r="BC4" s="3">
        <f t="shared" si="4"/>
        <v>10</v>
      </c>
      <c r="BD4" s="3">
        <f t="shared" si="4"/>
        <v>11</v>
      </c>
      <c r="BE4" s="3">
        <f t="shared" si="4"/>
        <v>12</v>
      </c>
      <c r="BF4" s="4" t="s">
        <v>5</v>
      </c>
      <c r="BH4" s="3">
        <v>1.0</v>
      </c>
      <c r="BI4" s="3">
        <f t="shared" ref="BI4:BS4" si="5">+BH4+1</f>
        <v>2</v>
      </c>
      <c r="BJ4" s="3">
        <f t="shared" si="5"/>
        <v>3</v>
      </c>
      <c r="BK4" s="3">
        <f t="shared" si="5"/>
        <v>4</v>
      </c>
      <c r="BL4" s="3">
        <f t="shared" si="5"/>
        <v>5</v>
      </c>
      <c r="BM4" s="3">
        <f t="shared" si="5"/>
        <v>6</v>
      </c>
      <c r="BN4" s="3">
        <f t="shared" si="5"/>
        <v>7</v>
      </c>
      <c r="BO4" s="3">
        <f t="shared" si="5"/>
        <v>8</v>
      </c>
      <c r="BP4" s="3">
        <f t="shared" si="5"/>
        <v>9</v>
      </c>
      <c r="BQ4" s="3">
        <f t="shared" si="5"/>
        <v>10</v>
      </c>
      <c r="BR4" s="3">
        <f t="shared" si="5"/>
        <v>11</v>
      </c>
      <c r="BS4" s="3">
        <f t="shared" si="5"/>
        <v>12</v>
      </c>
      <c r="BT4" s="4" t="s">
        <v>5</v>
      </c>
      <c r="BV4" s="3">
        <v>1.0</v>
      </c>
      <c r="BW4" s="3">
        <f t="shared" ref="BW4:CF4" si="6">+BV4+1</f>
        <v>2</v>
      </c>
      <c r="BX4" s="3">
        <f t="shared" si="6"/>
        <v>3</v>
      </c>
      <c r="BY4" s="3">
        <f t="shared" si="6"/>
        <v>4</v>
      </c>
      <c r="BZ4" s="3">
        <f t="shared" si="6"/>
        <v>5</v>
      </c>
      <c r="CA4" s="3">
        <f t="shared" si="6"/>
        <v>6</v>
      </c>
      <c r="CB4" s="3">
        <f t="shared" si="6"/>
        <v>7</v>
      </c>
      <c r="CC4" s="3">
        <f t="shared" si="6"/>
        <v>8</v>
      </c>
      <c r="CD4" s="3">
        <f t="shared" si="6"/>
        <v>9</v>
      </c>
      <c r="CE4" s="3">
        <f t="shared" si="6"/>
        <v>10</v>
      </c>
      <c r="CF4" s="3">
        <f t="shared" si="6"/>
        <v>11</v>
      </c>
      <c r="CG4" s="3">
        <f>+CE4+1</f>
        <v>11</v>
      </c>
      <c r="CH4" s="4" t="s">
        <v>5</v>
      </c>
    </row>
    <row r="5" ht="20.25" customHeight="1">
      <c r="B5" s="2" t="s">
        <v>6</v>
      </c>
      <c r="C5" s="2"/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9</v>
      </c>
      <c r="K5" s="3" t="s">
        <v>9</v>
      </c>
      <c r="L5" s="3" t="s">
        <v>9</v>
      </c>
      <c r="M5" s="3" t="s">
        <v>10</v>
      </c>
      <c r="N5" s="3" t="s">
        <v>10</v>
      </c>
      <c r="O5" s="3" t="s">
        <v>10</v>
      </c>
      <c r="P5" s="4"/>
      <c r="R5" s="3" t="s">
        <v>7</v>
      </c>
      <c r="S5" s="3" t="s">
        <v>7</v>
      </c>
      <c r="T5" s="3" t="s">
        <v>7</v>
      </c>
      <c r="U5" s="3" t="s">
        <v>8</v>
      </c>
      <c r="V5" s="3" t="s">
        <v>8</v>
      </c>
      <c r="W5" s="3" t="s">
        <v>8</v>
      </c>
      <c r="X5" s="3" t="s">
        <v>9</v>
      </c>
      <c r="Y5" s="3" t="s">
        <v>9</v>
      </c>
      <c r="Z5" s="3" t="s">
        <v>9</v>
      </c>
      <c r="AA5" s="3" t="s">
        <v>10</v>
      </c>
      <c r="AB5" s="3" t="s">
        <v>10</v>
      </c>
      <c r="AC5" s="3" t="s">
        <v>10</v>
      </c>
      <c r="AD5" s="4"/>
      <c r="AF5" s="3" t="s">
        <v>7</v>
      </c>
      <c r="AG5" s="3" t="s">
        <v>7</v>
      </c>
      <c r="AH5" s="3" t="s">
        <v>7</v>
      </c>
      <c r="AI5" s="3" t="s">
        <v>8</v>
      </c>
      <c r="AJ5" s="3" t="s">
        <v>8</v>
      </c>
      <c r="AK5" s="3" t="s">
        <v>8</v>
      </c>
      <c r="AL5" s="3" t="s">
        <v>9</v>
      </c>
      <c r="AM5" s="3" t="s">
        <v>9</v>
      </c>
      <c r="AN5" s="3" t="s">
        <v>9</v>
      </c>
      <c r="AO5" s="3" t="s">
        <v>10</v>
      </c>
      <c r="AP5" s="3" t="s">
        <v>10</v>
      </c>
      <c r="AQ5" s="3" t="s">
        <v>10</v>
      </c>
      <c r="AR5" s="4"/>
      <c r="AT5" s="3" t="s">
        <v>7</v>
      </c>
      <c r="AU5" s="3" t="s">
        <v>7</v>
      </c>
      <c r="AV5" s="3" t="s">
        <v>7</v>
      </c>
      <c r="AW5" s="3" t="s">
        <v>8</v>
      </c>
      <c r="AX5" s="3" t="s">
        <v>8</v>
      </c>
      <c r="AY5" s="3" t="s">
        <v>8</v>
      </c>
      <c r="AZ5" s="3" t="s">
        <v>9</v>
      </c>
      <c r="BA5" s="3" t="s">
        <v>9</v>
      </c>
      <c r="BB5" s="3" t="s">
        <v>9</v>
      </c>
      <c r="BC5" s="3" t="s">
        <v>10</v>
      </c>
      <c r="BD5" s="3" t="s">
        <v>10</v>
      </c>
      <c r="BE5" s="3" t="s">
        <v>10</v>
      </c>
      <c r="BF5" s="4"/>
      <c r="BH5" s="3" t="s">
        <v>7</v>
      </c>
      <c r="BI5" s="3" t="s">
        <v>7</v>
      </c>
      <c r="BJ5" s="3" t="s">
        <v>7</v>
      </c>
      <c r="BK5" s="3" t="s">
        <v>8</v>
      </c>
      <c r="BL5" s="3" t="s">
        <v>8</v>
      </c>
      <c r="BM5" s="3" t="s">
        <v>8</v>
      </c>
      <c r="BN5" s="3" t="s">
        <v>9</v>
      </c>
      <c r="BO5" s="3" t="s">
        <v>9</v>
      </c>
      <c r="BP5" s="3" t="s">
        <v>9</v>
      </c>
      <c r="BQ5" s="3" t="s">
        <v>10</v>
      </c>
      <c r="BR5" s="3" t="s">
        <v>10</v>
      </c>
      <c r="BS5" s="3" t="s">
        <v>10</v>
      </c>
      <c r="BT5" s="4"/>
      <c r="BV5" s="3" t="s">
        <v>7</v>
      </c>
      <c r="BW5" s="3" t="s">
        <v>7</v>
      </c>
      <c r="BX5" s="3" t="s">
        <v>7</v>
      </c>
      <c r="BY5" s="3" t="s">
        <v>8</v>
      </c>
      <c r="BZ5" s="3" t="s">
        <v>8</v>
      </c>
      <c r="CA5" s="3" t="s">
        <v>8</v>
      </c>
      <c r="CB5" s="3" t="s">
        <v>9</v>
      </c>
      <c r="CC5" s="3" t="s">
        <v>9</v>
      </c>
      <c r="CD5" s="3" t="s">
        <v>9</v>
      </c>
      <c r="CE5" s="3" t="s">
        <v>10</v>
      </c>
      <c r="CF5" s="3" t="s">
        <v>10</v>
      </c>
      <c r="CG5" s="3" t="s">
        <v>10</v>
      </c>
      <c r="CH5" s="4"/>
    </row>
    <row r="6" ht="20.25" customHeight="1">
      <c r="B6" s="2" t="s">
        <v>11</v>
      </c>
      <c r="C6" s="2"/>
      <c r="D6" s="3">
        <f>+IF(D4&lt;=MONTH,1,0)</f>
        <v>1</v>
      </c>
      <c r="E6" s="3">
        <f>+IF(E4&lt;=MONTH,1,0)</f>
        <v>1</v>
      </c>
      <c r="F6" s="3">
        <f>+IF(F4&lt;=MONTH,1,0)</f>
        <v>1</v>
      </c>
      <c r="G6" s="3">
        <f>+IF(G4&lt;=MONTH,1,0)</f>
        <v>1</v>
      </c>
      <c r="H6" s="3">
        <f>+IF(H4&lt;=MONTH,1,0)</f>
        <v>1</v>
      </c>
      <c r="I6" s="3">
        <f>+IF(I4&lt;=MONTH,1,0)</f>
        <v>1</v>
      </c>
      <c r="J6" s="3">
        <f>+IF(J4&lt;=MONTH,1,0)</f>
        <v>1</v>
      </c>
      <c r="K6" s="3">
        <f>+IF(K4&lt;=MONTH,1,0)</f>
        <v>1</v>
      </c>
      <c r="L6" s="3">
        <f>+IF(L4&lt;=MONTH,1,0)</f>
        <v>1</v>
      </c>
      <c r="M6" s="3">
        <f>+IF(M4&lt;=MONTH,1,0)</f>
        <v>1</v>
      </c>
      <c r="N6" s="3">
        <f>+IF(N4&lt;=MONTH,1,0)</f>
        <v>1</v>
      </c>
      <c r="O6" s="3">
        <f>+IF(O4&lt;=MONTH,1,0)</f>
        <v>1</v>
      </c>
      <c r="P6" s="4"/>
      <c r="R6" s="3">
        <f>+IF(R4&lt;=MONTH,1,0)</f>
        <v>1</v>
      </c>
      <c r="S6" s="3">
        <f>+IF(S4&lt;=MONTH,1,0)</f>
        <v>1</v>
      </c>
      <c r="T6" s="3">
        <f>+IF(T4&lt;=MONTH,1,0)</f>
        <v>1</v>
      </c>
      <c r="U6" s="3">
        <f>+IF(U4&lt;=MONTH,1,0)</f>
        <v>1</v>
      </c>
      <c r="V6" s="3">
        <f>+IF(V4&lt;=MONTH,1,0)</f>
        <v>1</v>
      </c>
      <c r="W6" s="3">
        <f>+IF(W4&lt;=MONTH,1,0)</f>
        <v>1</v>
      </c>
      <c r="X6" s="3">
        <f>+IF(X4&lt;=MONTH,1,0)</f>
        <v>1</v>
      </c>
      <c r="Y6" s="3">
        <f>+IF(Y4&lt;=MONTH,1,0)</f>
        <v>1</v>
      </c>
      <c r="Z6" s="3">
        <f>+IF(Z4&lt;=MONTH,1,0)</f>
        <v>1</v>
      </c>
      <c r="AA6" s="3">
        <f>+IF(AA4&lt;=MONTH,1,0)</f>
        <v>1</v>
      </c>
      <c r="AB6" s="3">
        <f>+IF(AB4&lt;=MONTH,1,0)</f>
        <v>1</v>
      </c>
      <c r="AC6" s="3">
        <f>+IF(AC4&lt;=MONTH,1,0)</f>
        <v>1</v>
      </c>
      <c r="AD6" s="4"/>
      <c r="AF6" s="3">
        <f>+IF(AF4&lt;=MONTH,1,0)</f>
        <v>1</v>
      </c>
      <c r="AG6" s="3">
        <f>+IF(AG4&lt;=MONTH,1,0)</f>
        <v>1</v>
      </c>
      <c r="AH6" s="3">
        <f>+IF(AH4&lt;=MONTH,1,0)</f>
        <v>1</v>
      </c>
      <c r="AI6" s="3">
        <f>+IF(AI4&lt;=MONTH,1,0)</f>
        <v>1</v>
      </c>
      <c r="AJ6" s="3">
        <f>+IF(AJ4&lt;=MONTH,1,0)</f>
        <v>1</v>
      </c>
      <c r="AK6" s="3">
        <f>+IF(AK4&lt;=MONTH,1,0)</f>
        <v>1</v>
      </c>
      <c r="AL6" s="3">
        <f>+IF(AL4&lt;=MONTH,1,0)</f>
        <v>1</v>
      </c>
      <c r="AM6" s="3">
        <f>+IF(AM4&lt;=MONTH,1,0)</f>
        <v>1</v>
      </c>
      <c r="AN6" s="3">
        <f>+IF(AN4&lt;=MONTH,1,0)</f>
        <v>1</v>
      </c>
      <c r="AO6" s="3">
        <f>+IF(AO4&lt;=MONTH,1,0)</f>
        <v>1</v>
      </c>
      <c r="AP6" s="3">
        <f>+IF(AP4&lt;=MONTH,1,0)</f>
        <v>1</v>
      </c>
      <c r="AQ6" s="3">
        <f>+IF(AQ4&lt;=MONTH,1,0)</f>
        <v>1</v>
      </c>
      <c r="AR6" s="4"/>
      <c r="AT6" s="3">
        <f>+IF(AT4&lt;=MONTH,1,0)</f>
        <v>1</v>
      </c>
      <c r="AU6" s="3">
        <f>+IF(AU4&lt;=MONTH,1,0)</f>
        <v>1</v>
      </c>
      <c r="AV6" s="3">
        <f>+IF(AV4&lt;=MONTH,1,0)</f>
        <v>1</v>
      </c>
      <c r="AW6" s="3">
        <f>+IF(AW4&lt;=MONTH,1,0)</f>
        <v>1</v>
      </c>
      <c r="AX6" s="3">
        <f>+IF(AX4&lt;=MONTH,1,0)</f>
        <v>1</v>
      </c>
      <c r="AY6" s="3">
        <f>+IF(AY4&lt;=MONTH,1,0)</f>
        <v>1</v>
      </c>
      <c r="AZ6" s="3">
        <f>+IF(AZ4&lt;=MONTH,1,0)</f>
        <v>1</v>
      </c>
      <c r="BA6" s="3">
        <f>+IF(BA4&lt;=MONTH,1,0)</f>
        <v>1</v>
      </c>
      <c r="BB6" s="3">
        <f>+IF(BB4&lt;=MONTH,1,0)</f>
        <v>1</v>
      </c>
      <c r="BC6" s="3">
        <f>+IF(BC4&lt;=MONTH,1,0)</f>
        <v>1</v>
      </c>
      <c r="BD6" s="3">
        <f>+IF(BD4&lt;=MONTH,1,0)</f>
        <v>1</v>
      </c>
      <c r="BE6" s="3">
        <f>+IF(BE4&lt;=MONTH,1,0)</f>
        <v>1</v>
      </c>
      <c r="BF6" s="4"/>
      <c r="BH6" s="3">
        <f>+IF(BH4&lt;=MONTH,1,0)</f>
        <v>1</v>
      </c>
      <c r="BI6" s="3">
        <f>+IF(BI4&lt;=MONTH,1,0)</f>
        <v>1</v>
      </c>
      <c r="BJ6" s="3">
        <f>+IF(BJ4&lt;=MONTH,1,0)</f>
        <v>1</v>
      </c>
      <c r="BK6" s="3">
        <f>+IF(BK4&lt;=MONTH,1,0)</f>
        <v>1</v>
      </c>
      <c r="BL6" s="3">
        <f>+IF(BL4&lt;=MONTH,1,0)</f>
        <v>1</v>
      </c>
      <c r="BM6" s="3">
        <f>+IF(BM4&lt;=MONTH,1,0)</f>
        <v>1</v>
      </c>
      <c r="BN6" s="3">
        <f>+IF(BN4&lt;=MONTH,1,0)</f>
        <v>1</v>
      </c>
      <c r="BO6" s="3">
        <f>+IF(BO4&lt;=MONTH,1,0)</f>
        <v>1</v>
      </c>
      <c r="BP6" s="3">
        <f>+IF(BP4&lt;=MONTH,1,0)</f>
        <v>1</v>
      </c>
      <c r="BQ6" s="3">
        <f>+IF(BQ4&lt;=MONTH,1,0)</f>
        <v>1</v>
      </c>
      <c r="BR6" s="3">
        <f>+IF(BR4&lt;=MONTH,1,0)</f>
        <v>1</v>
      </c>
      <c r="BS6" s="3">
        <f>+IF(BS4&lt;=MONTH,1,0)</f>
        <v>1</v>
      </c>
      <c r="BT6" s="4"/>
      <c r="BV6" s="3">
        <f>+IF(BV4&lt;=MONTH,1,0)</f>
        <v>1</v>
      </c>
      <c r="BW6" s="3">
        <f>+IF(BW4&lt;=MONTH,1,0)</f>
        <v>1</v>
      </c>
      <c r="BX6" s="3">
        <f>+IF(BX4&lt;=MONTH,1,0)</f>
        <v>1</v>
      </c>
      <c r="BY6" s="3">
        <f>+IF(BY4&lt;=MONTH,1,0)</f>
        <v>1</v>
      </c>
      <c r="BZ6" s="3">
        <f>+IF(BZ4&lt;=MONTH,1,0)</f>
        <v>1</v>
      </c>
      <c r="CA6" s="3">
        <f>+IF(CA4&lt;=MONTH,1,0)</f>
        <v>1</v>
      </c>
      <c r="CB6" s="3">
        <f>+IF(CB4&lt;=MONTH,1,0)</f>
        <v>1</v>
      </c>
      <c r="CC6" s="3">
        <f>+IF(CC4&lt;=MONTH,1,0)</f>
        <v>1</v>
      </c>
      <c r="CD6" s="3">
        <f>+IF(CD4&lt;=MONTH,1,0)</f>
        <v>1</v>
      </c>
      <c r="CE6" s="3">
        <f>+IF(CE4&lt;=MONTH,1,0)</f>
        <v>1</v>
      </c>
      <c r="CF6" s="3">
        <f>+IF(CF4&lt;=MONTH,1,0)</f>
        <v>1</v>
      </c>
      <c r="CG6" s="3">
        <f>+IF(CG4&lt;=MONTH,1,0)</f>
        <v>1</v>
      </c>
      <c r="CH6" s="4"/>
    </row>
    <row r="7" ht="31.5" customHeight="1">
      <c r="P7" s="6"/>
      <c r="R7" s="65">
        <f>IND_YEAR_1</f>
        <v>0.056</v>
      </c>
      <c r="S7" s="65" t="s">
        <v>65</v>
      </c>
      <c r="AD7" s="6"/>
      <c r="AF7" s="65">
        <f>IND_YEAR_2</f>
        <v>0.051</v>
      </c>
      <c r="AG7" s="65" t="s">
        <v>65</v>
      </c>
      <c r="AR7" s="6"/>
      <c r="AT7" s="65">
        <f>IND_YEAR_3</f>
        <v>0.036</v>
      </c>
      <c r="AU7" s="65" t="s">
        <v>65</v>
      </c>
      <c r="BF7" s="6"/>
      <c r="BH7" s="65">
        <f>IND_YEAR_4</f>
        <v>0.035</v>
      </c>
      <c r="BI7" s="65" t="s">
        <v>65</v>
      </c>
      <c r="BT7" s="6"/>
      <c r="BV7" s="65">
        <f>IND_YEAR_4</f>
        <v>0.035</v>
      </c>
      <c r="BW7" s="65" t="s">
        <v>65</v>
      </c>
      <c r="CH7" s="6"/>
    </row>
    <row r="8" ht="13.5" customHeight="1">
      <c r="A8" s="62"/>
      <c r="B8" s="20" t="str">
        <f>+"Staff "&amp;COMP</f>
        <v>Staff ZHY</v>
      </c>
      <c r="C8" s="20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9"/>
      <c r="Q8" s="66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9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9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9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9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9"/>
      <c r="CI8" s="62"/>
    </row>
    <row r="9" ht="13.5" customHeight="1">
      <c r="P9" s="6"/>
      <c r="AD9" s="6"/>
      <c r="AR9" s="6"/>
      <c r="BF9" s="6"/>
      <c r="BT9" s="6"/>
      <c r="CH9" s="6"/>
    </row>
    <row r="10" ht="21.75" customHeight="1">
      <c r="A10" s="68"/>
      <c r="B10" s="68"/>
      <c r="C10" s="68"/>
      <c r="D10" s="22">
        <f t="shared" ref="D10:P10" si="7">+D2</f>
        <v>2025</v>
      </c>
      <c r="E10" s="22">
        <f t="shared" si="7"/>
        <v>2025</v>
      </c>
      <c r="F10" s="22">
        <f t="shared" si="7"/>
        <v>2025</v>
      </c>
      <c r="G10" s="22">
        <f t="shared" si="7"/>
        <v>2025</v>
      </c>
      <c r="H10" s="22">
        <f t="shared" si="7"/>
        <v>2025</v>
      </c>
      <c r="I10" s="22">
        <f t="shared" si="7"/>
        <v>2025</v>
      </c>
      <c r="J10" s="22">
        <f t="shared" si="7"/>
        <v>2025</v>
      </c>
      <c r="K10" s="22">
        <f t="shared" si="7"/>
        <v>2025</v>
      </c>
      <c r="L10" s="22">
        <f t="shared" si="7"/>
        <v>2025</v>
      </c>
      <c r="M10" s="22">
        <f t="shared" si="7"/>
        <v>2025</v>
      </c>
      <c r="N10" s="22">
        <f t="shared" si="7"/>
        <v>2025</v>
      </c>
      <c r="O10" s="22">
        <f t="shared" si="7"/>
        <v>2025</v>
      </c>
      <c r="P10" s="21">
        <f t="shared" si="7"/>
        <v>2025</v>
      </c>
      <c r="Q10" s="68"/>
      <c r="R10" s="22">
        <f t="shared" ref="R10:AD10" si="8">+R2</f>
        <v>2026</v>
      </c>
      <c r="S10" s="22">
        <f t="shared" si="8"/>
        <v>2026</v>
      </c>
      <c r="T10" s="22">
        <f t="shared" si="8"/>
        <v>2026</v>
      </c>
      <c r="U10" s="22">
        <f t="shared" si="8"/>
        <v>2026</v>
      </c>
      <c r="V10" s="22">
        <f t="shared" si="8"/>
        <v>2026</v>
      </c>
      <c r="W10" s="22">
        <f t="shared" si="8"/>
        <v>2026</v>
      </c>
      <c r="X10" s="22">
        <f t="shared" si="8"/>
        <v>2026</v>
      </c>
      <c r="Y10" s="22">
        <f t="shared" si="8"/>
        <v>2026</v>
      </c>
      <c r="Z10" s="22">
        <f t="shared" si="8"/>
        <v>2026</v>
      </c>
      <c r="AA10" s="22">
        <f t="shared" si="8"/>
        <v>2026</v>
      </c>
      <c r="AB10" s="22">
        <f t="shared" si="8"/>
        <v>2026</v>
      </c>
      <c r="AC10" s="22">
        <f t="shared" si="8"/>
        <v>2026</v>
      </c>
      <c r="AD10" s="21">
        <f t="shared" si="8"/>
        <v>2026</v>
      </c>
      <c r="AE10" s="68"/>
      <c r="AF10" s="22">
        <f t="shared" ref="AF10:AR10" si="9">+AF2</f>
        <v>2027</v>
      </c>
      <c r="AG10" s="22">
        <f t="shared" si="9"/>
        <v>2027</v>
      </c>
      <c r="AH10" s="22">
        <f t="shared" si="9"/>
        <v>2027</v>
      </c>
      <c r="AI10" s="22">
        <f t="shared" si="9"/>
        <v>2027</v>
      </c>
      <c r="AJ10" s="22">
        <f t="shared" si="9"/>
        <v>2027</v>
      </c>
      <c r="AK10" s="22">
        <f t="shared" si="9"/>
        <v>2027</v>
      </c>
      <c r="AL10" s="22">
        <f t="shared" si="9"/>
        <v>2027</v>
      </c>
      <c r="AM10" s="22">
        <f t="shared" si="9"/>
        <v>2027</v>
      </c>
      <c r="AN10" s="22">
        <f t="shared" si="9"/>
        <v>2027</v>
      </c>
      <c r="AO10" s="22">
        <f t="shared" si="9"/>
        <v>2027</v>
      </c>
      <c r="AP10" s="22">
        <f t="shared" si="9"/>
        <v>2027</v>
      </c>
      <c r="AQ10" s="22">
        <f t="shared" si="9"/>
        <v>2027</v>
      </c>
      <c r="AR10" s="21">
        <f t="shared" si="9"/>
        <v>2027</v>
      </c>
      <c r="AS10" s="68"/>
      <c r="AT10" s="22">
        <f t="shared" ref="AT10:BF10" si="10">+AT2</f>
        <v>2028</v>
      </c>
      <c r="AU10" s="22">
        <f t="shared" si="10"/>
        <v>2028</v>
      </c>
      <c r="AV10" s="22">
        <f t="shared" si="10"/>
        <v>2028</v>
      </c>
      <c r="AW10" s="22">
        <f t="shared" si="10"/>
        <v>2028</v>
      </c>
      <c r="AX10" s="22">
        <f t="shared" si="10"/>
        <v>2028</v>
      </c>
      <c r="AY10" s="22">
        <f t="shared" si="10"/>
        <v>2028</v>
      </c>
      <c r="AZ10" s="22">
        <f t="shared" si="10"/>
        <v>2028</v>
      </c>
      <c r="BA10" s="22">
        <f t="shared" si="10"/>
        <v>2028</v>
      </c>
      <c r="BB10" s="22">
        <f t="shared" si="10"/>
        <v>2028</v>
      </c>
      <c r="BC10" s="22">
        <f t="shared" si="10"/>
        <v>2028</v>
      </c>
      <c r="BD10" s="22">
        <f t="shared" si="10"/>
        <v>2028</v>
      </c>
      <c r="BE10" s="22">
        <f t="shared" si="10"/>
        <v>2028</v>
      </c>
      <c r="BF10" s="21">
        <f t="shared" si="10"/>
        <v>2028</v>
      </c>
      <c r="BG10" s="68"/>
      <c r="BH10" s="22">
        <f t="shared" ref="BH10:BT10" si="11">+BH2</f>
        <v>2029</v>
      </c>
      <c r="BI10" s="22">
        <f t="shared" si="11"/>
        <v>2029</v>
      </c>
      <c r="BJ10" s="22">
        <f t="shared" si="11"/>
        <v>2029</v>
      </c>
      <c r="BK10" s="22">
        <f t="shared" si="11"/>
        <v>2029</v>
      </c>
      <c r="BL10" s="22">
        <f t="shared" si="11"/>
        <v>2029</v>
      </c>
      <c r="BM10" s="22">
        <f t="shared" si="11"/>
        <v>2029</v>
      </c>
      <c r="BN10" s="22">
        <f t="shared" si="11"/>
        <v>2029</v>
      </c>
      <c r="BO10" s="22">
        <f t="shared" si="11"/>
        <v>2029</v>
      </c>
      <c r="BP10" s="22">
        <f t="shared" si="11"/>
        <v>2029</v>
      </c>
      <c r="BQ10" s="22">
        <f t="shared" si="11"/>
        <v>2029</v>
      </c>
      <c r="BR10" s="22">
        <f t="shared" si="11"/>
        <v>2029</v>
      </c>
      <c r="BS10" s="22">
        <f t="shared" si="11"/>
        <v>2029</v>
      </c>
      <c r="BT10" s="21">
        <f t="shared" si="11"/>
        <v>2029</v>
      </c>
      <c r="BU10" s="68"/>
      <c r="BV10" s="22">
        <f t="shared" ref="BV10:CH10" si="12">+BV2</f>
        <v>2030</v>
      </c>
      <c r="BW10" s="22">
        <f t="shared" si="12"/>
        <v>2030</v>
      </c>
      <c r="BX10" s="22">
        <f t="shared" si="12"/>
        <v>2030</v>
      </c>
      <c r="BY10" s="22">
        <f t="shared" si="12"/>
        <v>2030</v>
      </c>
      <c r="BZ10" s="22">
        <f t="shared" si="12"/>
        <v>2030</v>
      </c>
      <c r="CA10" s="22">
        <f t="shared" si="12"/>
        <v>2030</v>
      </c>
      <c r="CB10" s="22">
        <f t="shared" si="12"/>
        <v>2030</v>
      </c>
      <c r="CC10" s="22">
        <f t="shared" si="12"/>
        <v>2030</v>
      </c>
      <c r="CD10" s="22">
        <f t="shared" si="12"/>
        <v>2030</v>
      </c>
      <c r="CE10" s="22">
        <f t="shared" si="12"/>
        <v>2030</v>
      </c>
      <c r="CF10" s="22">
        <f t="shared" si="12"/>
        <v>2030</v>
      </c>
      <c r="CG10" s="22">
        <f t="shared" si="12"/>
        <v>2030</v>
      </c>
      <c r="CH10" s="21">
        <f t="shared" si="12"/>
        <v>2030</v>
      </c>
      <c r="CI10" s="68"/>
    </row>
    <row r="11" ht="21.75" customHeight="1">
      <c r="A11" s="68"/>
      <c r="B11" s="68"/>
      <c r="C11" s="68"/>
      <c r="D11" s="22" t="s">
        <v>14</v>
      </c>
      <c r="E11" s="22" t="s">
        <v>15</v>
      </c>
      <c r="F11" s="22" t="s">
        <v>16</v>
      </c>
      <c r="G11" s="22" t="s">
        <v>17</v>
      </c>
      <c r="H11" s="22" t="s">
        <v>18</v>
      </c>
      <c r="I11" s="22" t="s">
        <v>19</v>
      </c>
      <c r="J11" s="22" t="s">
        <v>20</v>
      </c>
      <c r="K11" s="22" t="s">
        <v>21</v>
      </c>
      <c r="L11" s="22" t="s">
        <v>22</v>
      </c>
      <c r="M11" s="22" t="s">
        <v>23</v>
      </c>
      <c r="N11" s="22" t="s">
        <v>24</v>
      </c>
      <c r="O11" s="22" t="s">
        <v>25</v>
      </c>
      <c r="P11" s="21" t="s">
        <v>5</v>
      </c>
      <c r="Q11" s="68"/>
      <c r="R11" s="22" t="s">
        <v>14</v>
      </c>
      <c r="S11" s="22" t="s">
        <v>15</v>
      </c>
      <c r="T11" s="22" t="s">
        <v>16</v>
      </c>
      <c r="U11" s="22" t="s">
        <v>17</v>
      </c>
      <c r="V11" s="22" t="s">
        <v>18</v>
      </c>
      <c r="W11" s="22" t="s">
        <v>19</v>
      </c>
      <c r="X11" s="22" t="s">
        <v>20</v>
      </c>
      <c r="Y11" s="22" t="s">
        <v>21</v>
      </c>
      <c r="Z11" s="22" t="s">
        <v>22</v>
      </c>
      <c r="AA11" s="22" t="s">
        <v>23</v>
      </c>
      <c r="AB11" s="22" t="s">
        <v>24</v>
      </c>
      <c r="AC11" s="22" t="s">
        <v>25</v>
      </c>
      <c r="AD11" s="21" t="s">
        <v>5</v>
      </c>
      <c r="AE11" s="68"/>
      <c r="AF11" s="22" t="s">
        <v>14</v>
      </c>
      <c r="AG11" s="22" t="s">
        <v>15</v>
      </c>
      <c r="AH11" s="22" t="s">
        <v>16</v>
      </c>
      <c r="AI11" s="22" t="s">
        <v>17</v>
      </c>
      <c r="AJ11" s="22" t="s">
        <v>18</v>
      </c>
      <c r="AK11" s="22" t="s">
        <v>19</v>
      </c>
      <c r="AL11" s="22" t="s">
        <v>20</v>
      </c>
      <c r="AM11" s="22" t="s">
        <v>21</v>
      </c>
      <c r="AN11" s="22" t="s">
        <v>22</v>
      </c>
      <c r="AO11" s="22" t="s">
        <v>23</v>
      </c>
      <c r="AP11" s="22" t="s">
        <v>24</v>
      </c>
      <c r="AQ11" s="22" t="s">
        <v>25</v>
      </c>
      <c r="AR11" s="21" t="s">
        <v>5</v>
      </c>
      <c r="AS11" s="68"/>
      <c r="AT11" s="22" t="s">
        <v>14</v>
      </c>
      <c r="AU11" s="22" t="s">
        <v>15</v>
      </c>
      <c r="AV11" s="22" t="s">
        <v>16</v>
      </c>
      <c r="AW11" s="22" t="s">
        <v>17</v>
      </c>
      <c r="AX11" s="22" t="s">
        <v>18</v>
      </c>
      <c r="AY11" s="22" t="s">
        <v>19</v>
      </c>
      <c r="AZ11" s="22" t="s">
        <v>20</v>
      </c>
      <c r="BA11" s="22" t="s">
        <v>21</v>
      </c>
      <c r="BB11" s="22" t="s">
        <v>22</v>
      </c>
      <c r="BC11" s="22" t="s">
        <v>23</v>
      </c>
      <c r="BD11" s="22" t="s">
        <v>24</v>
      </c>
      <c r="BE11" s="22" t="s">
        <v>25</v>
      </c>
      <c r="BF11" s="21" t="s">
        <v>5</v>
      </c>
      <c r="BG11" s="68"/>
      <c r="BH11" s="22" t="s">
        <v>14</v>
      </c>
      <c r="BI11" s="22" t="s">
        <v>15</v>
      </c>
      <c r="BJ11" s="22" t="s">
        <v>16</v>
      </c>
      <c r="BK11" s="22" t="s">
        <v>17</v>
      </c>
      <c r="BL11" s="22" t="s">
        <v>18</v>
      </c>
      <c r="BM11" s="22" t="s">
        <v>19</v>
      </c>
      <c r="BN11" s="22" t="s">
        <v>20</v>
      </c>
      <c r="BO11" s="22" t="s">
        <v>21</v>
      </c>
      <c r="BP11" s="22" t="s">
        <v>22</v>
      </c>
      <c r="BQ11" s="22" t="s">
        <v>23</v>
      </c>
      <c r="BR11" s="22" t="s">
        <v>24</v>
      </c>
      <c r="BS11" s="22" t="s">
        <v>25</v>
      </c>
      <c r="BT11" s="21" t="s">
        <v>5</v>
      </c>
      <c r="BU11" s="68"/>
      <c r="BV11" s="22" t="s">
        <v>14</v>
      </c>
      <c r="BW11" s="22" t="s">
        <v>15</v>
      </c>
      <c r="BX11" s="22" t="s">
        <v>16</v>
      </c>
      <c r="BY11" s="22" t="s">
        <v>17</v>
      </c>
      <c r="BZ11" s="22" t="s">
        <v>18</v>
      </c>
      <c r="CA11" s="22" t="s">
        <v>19</v>
      </c>
      <c r="CB11" s="22" t="s">
        <v>20</v>
      </c>
      <c r="CC11" s="22" t="s">
        <v>21</v>
      </c>
      <c r="CD11" s="22" t="s">
        <v>22</v>
      </c>
      <c r="CE11" s="22" t="s">
        <v>23</v>
      </c>
      <c r="CF11" s="22" t="s">
        <v>24</v>
      </c>
      <c r="CG11" s="22" t="s">
        <v>25</v>
      </c>
      <c r="CH11" s="21" t="s">
        <v>5</v>
      </c>
      <c r="CI11" s="68"/>
    </row>
    <row r="12" ht="19.5" customHeight="1">
      <c r="A12" s="68"/>
      <c r="B12" s="68" t="s">
        <v>81</v>
      </c>
      <c r="C12" s="72" t="s">
        <v>82</v>
      </c>
      <c r="D12" s="72">
        <v>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2">
        <f>' Staff'!L16*-1</f>
        <v>-4922.064</v>
      </c>
      <c r="K12" s="72">
        <f>' Staff'!M16*-1</f>
        <v>-4922.064</v>
      </c>
      <c r="L12" s="72">
        <f>' Staff'!N16*-1</f>
        <v>-4922.064</v>
      </c>
      <c r="M12" s="72">
        <f>' Staff'!O16*-1</f>
        <v>-4922.064</v>
      </c>
      <c r="N12" s="72">
        <f>' Staff'!P16*-1</f>
        <v>-7383.096</v>
      </c>
      <c r="O12" s="72">
        <f>' Staff'!Q16*-1</f>
        <v>-7383.096</v>
      </c>
      <c r="P12" s="71">
        <f t="shared" ref="P12:P14" si="19">SUM(D12:O12)</f>
        <v>-34454.448</v>
      </c>
      <c r="Q12" s="68"/>
      <c r="R12" s="72">
        <f t="shared" ref="R12:R14" si="20">J12*(1+$R$7)</f>
        <v>-5197.699584</v>
      </c>
      <c r="S12" s="72">
        <f t="shared" ref="S12:W12" si="13">R12</f>
        <v>-5197.699584</v>
      </c>
      <c r="T12" s="72">
        <f t="shared" si="13"/>
        <v>-5197.699584</v>
      </c>
      <c r="U12" s="72">
        <f t="shared" si="13"/>
        <v>-5197.699584</v>
      </c>
      <c r="V12" s="72">
        <f t="shared" si="13"/>
        <v>-5197.699584</v>
      </c>
      <c r="W12" s="72">
        <f t="shared" si="13"/>
        <v>-5197.699584</v>
      </c>
      <c r="X12" s="72">
        <f t="shared" ref="X12:AC12" si="14">J12*(1+$R$7)</f>
        <v>-5197.699584</v>
      </c>
      <c r="Y12" s="72">
        <f t="shared" si="14"/>
        <v>-5197.699584</v>
      </c>
      <c r="Z12" s="72">
        <f t="shared" si="14"/>
        <v>-5197.699584</v>
      </c>
      <c r="AA12" s="72">
        <f t="shared" si="14"/>
        <v>-5197.699584</v>
      </c>
      <c r="AB12" s="72">
        <f t="shared" si="14"/>
        <v>-7796.549376</v>
      </c>
      <c r="AC12" s="72">
        <f t="shared" si="14"/>
        <v>-7796.549376</v>
      </c>
      <c r="AD12" s="71">
        <f t="shared" ref="AD12:AD14" si="23">SUM(R12:AC12)</f>
        <v>-67570.09459</v>
      </c>
      <c r="AE12" s="68"/>
      <c r="AF12" s="72">
        <f t="shared" ref="AF12:AQ12" si="15">R12*(1+$AF$7)</f>
        <v>-5462.782263</v>
      </c>
      <c r="AG12" s="72">
        <f t="shared" si="15"/>
        <v>-5462.782263</v>
      </c>
      <c r="AH12" s="72">
        <f t="shared" si="15"/>
        <v>-5462.782263</v>
      </c>
      <c r="AI12" s="72">
        <f t="shared" si="15"/>
        <v>-5462.782263</v>
      </c>
      <c r="AJ12" s="72">
        <f t="shared" si="15"/>
        <v>-5462.782263</v>
      </c>
      <c r="AK12" s="72">
        <f t="shared" si="15"/>
        <v>-5462.782263</v>
      </c>
      <c r="AL12" s="72">
        <f t="shared" si="15"/>
        <v>-5462.782263</v>
      </c>
      <c r="AM12" s="72">
        <f t="shared" si="15"/>
        <v>-5462.782263</v>
      </c>
      <c r="AN12" s="72">
        <f t="shared" si="15"/>
        <v>-5462.782263</v>
      </c>
      <c r="AO12" s="72">
        <f t="shared" si="15"/>
        <v>-5462.782263</v>
      </c>
      <c r="AP12" s="72">
        <f t="shared" si="15"/>
        <v>-8194.173394</v>
      </c>
      <c r="AQ12" s="72">
        <f t="shared" si="15"/>
        <v>-8194.173394</v>
      </c>
      <c r="AR12" s="71">
        <f t="shared" ref="AR12:AR14" si="25">SUM(AF12:AQ12)</f>
        <v>-71016.16942</v>
      </c>
      <c r="AS12" s="73"/>
      <c r="AT12" s="72">
        <f t="shared" ref="AT12:BE12" si="16">AF12*(1+$AF$7)</f>
        <v>-5741.384158</v>
      </c>
      <c r="AU12" s="72">
        <f t="shared" si="16"/>
        <v>-5741.384158</v>
      </c>
      <c r="AV12" s="72">
        <f t="shared" si="16"/>
        <v>-5741.384158</v>
      </c>
      <c r="AW12" s="72">
        <f t="shared" si="16"/>
        <v>-5741.384158</v>
      </c>
      <c r="AX12" s="72">
        <f t="shared" si="16"/>
        <v>-5741.384158</v>
      </c>
      <c r="AY12" s="72">
        <f t="shared" si="16"/>
        <v>-5741.384158</v>
      </c>
      <c r="AZ12" s="72">
        <f t="shared" si="16"/>
        <v>-5741.384158</v>
      </c>
      <c r="BA12" s="72">
        <f t="shared" si="16"/>
        <v>-5741.384158</v>
      </c>
      <c r="BB12" s="72">
        <f t="shared" si="16"/>
        <v>-5741.384158</v>
      </c>
      <c r="BC12" s="72">
        <f t="shared" si="16"/>
        <v>-5741.384158</v>
      </c>
      <c r="BD12" s="72">
        <f t="shared" si="16"/>
        <v>-8612.076237</v>
      </c>
      <c r="BE12" s="72">
        <f t="shared" si="16"/>
        <v>-8612.076237</v>
      </c>
      <c r="BF12" s="71">
        <f t="shared" ref="BF12:BF14" si="27">SUM(AT12:BE12)</f>
        <v>-74637.99406</v>
      </c>
      <c r="BG12" s="73"/>
      <c r="BH12" s="72">
        <f t="shared" ref="BH12:BS12" si="17">AT12*(1+$AF$7)</f>
        <v>-6034.19475</v>
      </c>
      <c r="BI12" s="72">
        <f t="shared" si="17"/>
        <v>-6034.19475</v>
      </c>
      <c r="BJ12" s="72">
        <f t="shared" si="17"/>
        <v>-6034.19475</v>
      </c>
      <c r="BK12" s="72">
        <f t="shared" si="17"/>
        <v>-6034.19475</v>
      </c>
      <c r="BL12" s="72">
        <f t="shared" si="17"/>
        <v>-6034.19475</v>
      </c>
      <c r="BM12" s="72">
        <f t="shared" si="17"/>
        <v>-6034.19475</v>
      </c>
      <c r="BN12" s="72">
        <f t="shared" si="17"/>
        <v>-6034.19475</v>
      </c>
      <c r="BO12" s="72">
        <f t="shared" si="17"/>
        <v>-6034.19475</v>
      </c>
      <c r="BP12" s="72">
        <f t="shared" si="17"/>
        <v>-6034.19475</v>
      </c>
      <c r="BQ12" s="72">
        <f t="shared" si="17"/>
        <v>-6034.19475</v>
      </c>
      <c r="BR12" s="72">
        <f t="shared" si="17"/>
        <v>-9051.292125</v>
      </c>
      <c r="BS12" s="72">
        <f t="shared" si="17"/>
        <v>-9051.292125</v>
      </c>
      <c r="BT12" s="71">
        <f t="shared" ref="BT12:BT14" si="29">SUM(BH12:BS12)</f>
        <v>-78444.53175</v>
      </c>
      <c r="BU12" s="73"/>
      <c r="BV12" s="72">
        <f t="shared" ref="BV12:CG12" si="18">BH12*(1+$AF$7)</f>
        <v>-6341.938683</v>
      </c>
      <c r="BW12" s="72">
        <f t="shared" si="18"/>
        <v>-6341.938683</v>
      </c>
      <c r="BX12" s="72">
        <f t="shared" si="18"/>
        <v>-6341.938683</v>
      </c>
      <c r="BY12" s="72">
        <f t="shared" si="18"/>
        <v>-6341.938683</v>
      </c>
      <c r="BZ12" s="72">
        <f t="shared" si="18"/>
        <v>-6341.938683</v>
      </c>
      <c r="CA12" s="72">
        <f t="shared" si="18"/>
        <v>-6341.938683</v>
      </c>
      <c r="CB12" s="72">
        <f t="shared" si="18"/>
        <v>-6341.938683</v>
      </c>
      <c r="CC12" s="72">
        <f t="shared" si="18"/>
        <v>-6341.938683</v>
      </c>
      <c r="CD12" s="72">
        <f t="shared" si="18"/>
        <v>-6341.938683</v>
      </c>
      <c r="CE12" s="72">
        <f t="shared" si="18"/>
        <v>-6341.938683</v>
      </c>
      <c r="CF12" s="72">
        <f t="shared" si="18"/>
        <v>-9512.908024</v>
      </c>
      <c r="CG12" s="72">
        <f t="shared" si="18"/>
        <v>-9512.908024</v>
      </c>
      <c r="CH12" s="71">
        <f t="shared" ref="CH12:CH14" si="31">SUM(BV12:CG12)</f>
        <v>-82445.20287</v>
      </c>
      <c r="CI12" s="73"/>
    </row>
    <row r="13" ht="19.5" customHeight="1">
      <c r="A13" s="68"/>
      <c r="B13" s="68" t="s">
        <v>83</v>
      </c>
      <c r="C13" s="72" t="s">
        <v>84</v>
      </c>
      <c r="D13" s="72">
        <v>0.0</v>
      </c>
      <c r="E13" s="72">
        <v>0.0</v>
      </c>
      <c r="F13" s="72">
        <v>0.0</v>
      </c>
      <c r="G13" s="72">
        <v>0.0</v>
      </c>
      <c r="H13" s="72">
        <v>0.0</v>
      </c>
      <c r="I13" s="72">
        <v>0.0</v>
      </c>
      <c r="J13" s="72">
        <f>' Staff'!L31*-1</f>
        <v>-2250.0864</v>
      </c>
      <c r="K13" s="72">
        <f>' Staff'!M31*-1</f>
        <v>-2250.0864</v>
      </c>
      <c r="L13" s="72">
        <f>' Staff'!N31*-1</f>
        <v>-2250.0864</v>
      </c>
      <c r="M13" s="72">
        <f>' Staff'!O31*-1</f>
        <v>-2250.0864</v>
      </c>
      <c r="N13" s="72">
        <f>' Staff'!P31*-1</f>
        <v>-3375.1296</v>
      </c>
      <c r="O13" s="72">
        <f>' Staff'!Q31*-1</f>
        <v>-3375.1296</v>
      </c>
      <c r="P13" s="71">
        <f t="shared" si="19"/>
        <v>-15750.6048</v>
      </c>
      <c r="Q13" s="68"/>
      <c r="R13" s="72">
        <f t="shared" si="20"/>
        <v>-2376.091238</v>
      </c>
      <c r="S13" s="72">
        <f t="shared" ref="S13:W13" si="21">R13</f>
        <v>-2376.091238</v>
      </c>
      <c r="T13" s="72">
        <f t="shared" si="21"/>
        <v>-2376.091238</v>
      </c>
      <c r="U13" s="72">
        <f t="shared" si="21"/>
        <v>-2376.091238</v>
      </c>
      <c r="V13" s="72">
        <f t="shared" si="21"/>
        <v>-2376.091238</v>
      </c>
      <c r="W13" s="72">
        <f t="shared" si="21"/>
        <v>-2376.091238</v>
      </c>
      <c r="X13" s="72">
        <f t="shared" ref="X13:AC13" si="22">J13*(1+$R$7)</f>
        <v>-2376.091238</v>
      </c>
      <c r="Y13" s="72">
        <f t="shared" si="22"/>
        <v>-2376.091238</v>
      </c>
      <c r="Z13" s="72">
        <f t="shared" si="22"/>
        <v>-2376.091238</v>
      </c>
      <c r="AA13" s="72">
        <f t="shared" si="22"/>
        <v>-2376.091238</v>
      </c>
      <c r="AB13" s="72">
        <f t="shared" si="22"/>
        <v>-3564.136858</v>
      </c>
      <c r="AC13" s="72">
        <f t="shared" si="22"/>
        <v>-3564.136858</v>
      </c>
      <c r="AD13" s="71">
        <f t="shared" si="23"/>
        <v>-30889.1861</v>
      </c>
      <c r="AE13" s="68"/>
      <c r="AF13" s="72">
        <f t="shared" ref="AF13:AQ13" si="24">R13*(1+$AF$7)</f>
        <v>-2497.271892</v>
      </c>
      <c r="AG13" s="72">
        <f t="shared" si="24"/>
        <v>-2497.271892</v>
      </c>
      <c r="AH13" s="72">
        <f t="shared" si="24"/>
        <v>-2497.271892</v>
      </c>
      <c r="AI13" s="72">
        <f t="shared" si="24"/>
        <v>-2497.271892</v>
      </c>
      <c r="AJ13" s="72">
        <f t="shared" si="24"/>
        <v>-2497.271892</v>
      </c>
      <c r="AK13" s="72">
        <f t="shared" si="24"/>
        <v>-2497.271892</v>
      </c>
      <c r="AL13" s="72">
        <f t="shared" si="24"/>
        <v>-2497.271892</v>
      </c>
      <c r="AM13" s="72">
        <f t="shared" si="24"/>
        <v>-2497.271892</v>
      </c>
      <c r="AN13" s="72">
        <f t="shared" si="24"/>
        <v>-2497.271892</v>
      </c>
      <c r="AO13" s="72">
        <f t="shared" si="24"/>
        <v>-2497.271892</v>
      </c>
      <c r="AP13" s="72">
        <f t="shared" si="24"/>
        <v>-3745.907837</v>
      </c>
      <c r="AQ13" s="72">
        <f t="shared" si="24"/>
        <v>-3745.907837</v>
      </c>
      <c r="AR13" s="71">
        <f t="shared" si="25"/>
        <v>-32464.53459</v>
      </c>
      <c r="AS13" s="73"/>
      <c r="AT13" s="72">
        <f t="shared" ref="AT13:BE13" si="26">AF13*(1+$AF$7)</f>
        <v>-2624.632758</v>
      </c>
      <c r="AU13" s="72">
        <f t="shared" si="26"/>
        <v>-2624.632758</v>
      </c>
      <c r="AV13" s="72">
        <f t="shared" si="26"/>
        <v>-2624.632758</v>
      </c>
      <c r="AW13" s="72">
        <f t="shared" si="26"/>
        <v>-2624.632758</v>
      </c>
      <c r="AX13" s="72">
        <f t="shared" si="26"/>
        <v>-2624.632758</v>
      </c>
      <c r="AY13" s="72">
        <f t="shared" si="26"/>
        <v>-2624.632758</v>
      </c>
      <c r="AZ13" s="72">
        <f t="shared" si="26"/>
        <v>-2624.632758</v>
      </c>
      <c r="BA13" s="72">
        <f t="shared" si="26"/>
        <v>-2624.632758</v>
      </c>
      <c r="BB13" s="72">
        <f t="shared" si="26"/>
        <v>-2624.632758</v>
      </c>
      <c r="BC13" s="72">
        <f t="shared" si="26"/>
        <v>-2624.632758</v>
      </c>
      <c r="BD13" s="72">
        <f t="shared" si="26"/>
        <v>-3936.949137</v>
      </c>
      <c r="BE13" s="72">
        <f t="shared" si="26"/>
        <v>-3936.949137</v>
      </c>
      <c r="BF13" s="71">
        <f t="shared" si="27"/>
        <v>-34120.22585</v>
      </c>
      <c r="BG13" s="73"/>
      <c r="BH13" s="72">
        <f t="shared" ref="BH13:BS13" si="28">AT13*(1+$AF$7)</f>
        <v>-2758.489029</v>
      </c>
      <c r="BI13" s="72">
        <f t="shared" si="28"/>
        <v>-2758.489029</v>
      </c>
      <c r="BJ13" s="72">
        <f t="shared" si="28"/>
        <v>-2758.489029</v>
      </c>
      <c r="BK13" s="72">
        <f t="shared" si="28"/>
        <v>-2758.489029</v>
      </c>
      <c r="BL13" s="72">
        <f t="shared" si="28"/>
        <v>-2758.489029</v>
      </c>
      <c r="BM13" s="72">
        <f t="shared" si="28"/>
        <v>-2758.489029</v>
      </c>
      <c r="BN13" s="72">
        <f t="shared" si="28"/>
        <v>-2758.489029</v>
      </c>
      <c r="BO13" s="72">
        <f t="shared" si="28"/>
        <v>-2758.489029</v>
      </c>
      <c r="BP13" s="72">
        <f t="shared" si="28"/>
        <v>-2758.489029</v>
      </c>
      <c r="BQ13" s="72">
        <f t="shared" si="28"/>
        <v>-2758.489029</v>
      </c>
      <c r="BR13" s="72">
        <f t="shared" si="28"/>
        <v>-4137.733543</v>
      </c>
      <c r="BS13" s="72">
        <f t="shared" si="28"/>
        <v>-4137.733543</v>
      </c>
      <c r="BT13" s="71">
        <f t="shared" si="29"/>
        <v>-35860.35737</v>
      </c>
      <c r="BU13" s="73"/>
      <c r="BV13" s="72">
        <f t="shared" ref="BV13:CG13" si="30">BH13*(1+$AF$7)</f>
        <v>-2899.171969</v>
      </c>
      <c r="BW13" s="72">
        <f t="shared" si="30"/>
        <v>-2899.171969</v>
      </c>
      <c r="BX13" s="72">
        <f t="shared" si="30"/>
        <v>-2899.171969</v>
      </c>
      <c r="BY13" s="72">
        <f t="shared" si="30"/>
        <v>-2899.171969</v>
      </c>
      <c r="BZ13" s="72">
        <f t="shared" si="30"/>
        <v>-2899.171969</v>
      </c>
      <c r="CA13" s="72">
        <f t="shared" si="30"/>
        <v>-2899.171969</v>
      </c>
      <c r="CB13" s="72">
        <f t="shared" si="30"/>
        <v>-2899.171969</v>
      </c>
      <c r="CC13" s="72">
        <f t="shared" si="30"/>
        <v>-2899.171969</v>
      </c>
      <c r="CD13" s="72">
        <f t="shared" si="30"/>
        <v>-2899.171969</v>
      </c>
      <c r="CE13" s="72">
        <f t="shared" si="30"/>
        <v>-2899.171969</v>
      </c>
      <c r="CF13" s="72">
        <f t="shared" si="30"/>
        <v>-4348.757954</v>
      </c>
      <c r="CG13" s="72">
        <f t="shared" si="30"/>
        <v>-4348.757954</v>
      </c>
      <c r="CH13" s="71">
        <f t="shared" si="31"/>
        <v>-37689.2356</v>
      </c>
      <c r="CI13" s="73"/>
    </row>
    <row r="14" ht="19.5" customHeight="1">
      <c r="A14" s="68"/>
      <c r="B14" s="68" t="s">
        <v>85</v>
      </c>
      <c r="C14" s="72" t="s">
        <v>86</v>
      </c>
      <c r="D14" s="72">
        <v>0.0</v>
      </c>
      <c r="E14" s="72">
        <v>0.0</v>
      </c>
      <c r="F14" s="72">
        <v>0.0</v>
      </c>
      <c r="G14" s="72">
        <v>0.0</v>
      </c>
      <c r="H14" s="72">
        <v>0.0</v>
      </c>
      <c r="I14" s="72">
        <v>0.0</v>
      </c>
      <c r="J14" s="72">
        <f>' Staff'!L46*-1</f>
        <v>-914.0976</v>
      </c>
      <c r="K14" s="72">
        <f>' Staff'!M46*-1</f>
        <v>-914.0976</v>
      </c>
      <c r="L14" s="72">
        <f>' Staff'!N46*-1</f>
        <v>-914.0976</v>
      </c>
      <c r="M14" s="72">
        <f>' Staff'!O46*-1</f>
        <v>-914.0976</v>
      </c>
      <c r="N14" s="72">
        <f>' Staff'!P46*-1</f>
        <v>-1371.1464</v>
      </c>
      <c r="O14" s="72">
        <f>' Staff'!Q46*-1</f>
        <v>-1371.1464</v>
      </c>
      <c r="P14" s="71">
        <f t="shared" si="19"/>
        <v>-6398.6832</v>
      </c>
      <c r="Q14" s="68"/>
      <c r="R14" s="72">
        <f t="shared" si="20"/>
        <v>-965.2870656</v>
      </c>
      <c r="S14" s="72">
        <f t="shared" ref="S14:W14" si="32">R14</f>
        <v>-965.2870656</v>
      </c>
      <c r="T14" s="72">
        <f t="shared" si="32"/>
        <v>-965.2870656</v>
      </c>
      <c r="U14" s="72">
        <f t="shared" si="32"/>
        <v>-965.2870656</v>
      </c>
      <c r="V14" s="72">
        <f t="shared" si="32"/>
        <v>-965.2870656</v>
      </c>
      <c r="W14" s="72">
        <f t="shared" si="32"/>
        <v>-965.2870656</v>
      </c>
      <c r="X14" s="72">
        <f t="shared" ref="X14:AC14" si="33">J14*(1+$R$7)</f>
        <v>-965.2870656</v>
      </c>
      <c r="Y14" s="72">
        <f t="shared" si="33"/>
        <v>-965.2870656</v>
      </c>
      <c r="Z14" s="72">
        <f t="shared" si="33"/>
        <v>-965.2870656</v>
      </c>
      <c r="AA14" s="72">
        <f t="shared" si="33"/>
        <v>-965.2870656</v>
      </c>
      <c r="AB14" s="72">
        <f t="shared" si="33"/>
        <v>-1447.930598</v>
      </c>
      <c r="AC14" s="72">
        <f t="shared" si="33"/>
        <v>-1447.930598</v>
      </c>
      <c r="AD14" s="71">
        <f t="shared" si="23"/>
        <v>-12548.73185</v>
      </c>
      <c r="AE14" s="68"/>
      <c r="AF14" s="72">
        <f t="shared" ref="AF14:AQ14" si="34">R14*(1+$AF$7)</f>
        <v>-1014.516706</v>
      </c>
      <c r="AG14" s="72">
        <f t="shared" si="34"/>
        <v>-1014.516706</v>
      </c>
      <c r="AH14" s="72">
        <f t="shared" si="34"/>
        <v>-1014.516706</v>
      </c>
      <c r="AI14" s="72">
        <f t="shared" si="34"/>
        <v>-1014.516706</v>
      </c>
      <c r="AJ14" s="72">
        <f t="shared" si="34"/>
        <v>-1014.516706</v>
      </c>
      <c r="AK14" s="72">
        <f t="shared" si="34"/>
        <v>-1014.516706</v>
      </c>
      <c r="AL14" s="72">
        <f t="shared" si="34"/>
        <v>-1014.516706</v>
      </c>
      <c r="AM14" s="72">
        <f t="shared" si="34"/>
        <v>-1014.516706</v>
      </c>
      <c r="AN14" s="72">
        <f t="shared" si="34"/>
        <v>-1014.516706</v>
      </c>
      <c r="AO14" s="72">
        <f t="shared" si="34"/>
        <v>-1014.516706</v>
      </c>
      <c r="AP14" s="72">
        <f t="shared" si="34"/>
        <v>-1521.775059</v>
      </c>
      <c r="AQ14" s="72">
        <f t="shared" si="34"/>
        <v>-1521.775059</v>
      </c>
      <c r="AR14" s="71">
        <f t="shared" si="25"/>
        <v>-13188.71718</v>
      </c>
      <c r="AS14" s="73"/>
      <c r="AT14" s="72">
        <f t="shared" ref="AT14:BE14" si="35">AF14*(1+$AF$7)</f>
        <v>-1066.257058</v>
      </c>
      <c r="AU14" s="72">
        <f t="shared" si="35"/>
        <v>-1066.257058</v>
      </c>
      <c r="AV14" s="72">
        <f t="shared" si="35"/>
        <v>-1066.257058</v>
      </c>
      <c r="AW14" s="72">
        <f t="shared" si="35"/>
        <v>-1066.257058</v>
      </c>
      <c r="AX14" s="72">
        <f t="shared" si="35"/>
        <v>-1066.257058</v>
      </c>
      <c r="AY14" s="72">
        <f t="shared" si="35"/>
        <v>-1066.257058</v>
      </c>
      <c r="AZ14" s="72">
        <f t="shared" si="35"/>
        <v>-1066.257058</v>
      </c>
      <c r="BA14" s="72">
        <f t="shared" si="35"/>
        <v>-1066.257058</v>
      </c>
      <c r="BB14" s="72">
        <f t="shared" si="35"/>
        <v>-1066.257058</v>
      </c>
      <c r="BC14" s="72">
        <f t="shared" si="35"/>
        <v>-1066.257058</v>
      </c>
      <c r="BD14" s="72">
        <f t="shared" si="35"/>
        <v>-1599.385587</v>
      </c>
      <c r="BE14" s="72">
        <f t="shared" si="35"/>
        <v>-1599.385587</v>
      </c>
      <c r="BF14" s="71">
        <f t="shared" si="27"/>
        <v>-13861.34175</v>
      </c>
      <c r="BG14" s="73"/>
      <c r="BH14" s="72">
        <f t="shared" ref="BH14:BS14" si="36">AT14*(1+$AF$7)</f>
        <v>-1120.636168</v>
      </c>
      <c r="BI14" s="72">
        <f t="shared" si="36"/>
        <v>-1120.636168</v>
      </c>
      <c r="BJ14" s="72">
        <f t="shared" si="36"/>
        <v>-1120.636168</v>
      </c>
      <c r="BK14" s="72">
        <f t="shared" si="36"/>
        <v>-1120.636168</v>
      </c>
      <c r="BL14" s="72">
        <f t="shared" si="36"/>
        <v>-1120.636168</v>
      </c>
      <c r="BM14" s="72">
        <f t="shared" si="36"/>
        <v>-1120.636168</v>
      </c>
      <c r="BN14" s="72">
        <f t="shared" si="36"/>
        <v>-1120.636168</v>
      </c>
      <c r="BO14" s="72">
        <f t="shared" si="36"/>
        <v>-1120.636168</v>
      </c>
      <c r="BP14" s="72">
        <f t="shared" si="36"/>
        <v>-1120.636168</v>
      </c>
      <c r="BQ14" s="72">
        <f t="shared" si="36"/>
        <v>-1120.636168</v>
      </c>
      <c r="BR14" s="72">
        <f t="shared" si="36"/>
        <v>-1680.954252</v>
      </c>
      <c r="BS14" s="72">
        <f t="shared" si="36"/>
        <v>-1680.954252</v>
      </c>
      <c r="BT14" s="71">
        <f t="shared" si="29"/>
        <v>-14568.27018</v>
      </c>
      <c r="BU14" s="73"/>
      <c r="BV14" s="72">
        <f t="shared" ref="BV14:CG14" si="37">BH14*(1+$AF$7)</f>
        <v>-1177.788612</v>
      </c>
      <c r="BW14" s="72">
        <f t="shared" si="37"/>
        <v>-1177.788612</v>
      </c>
      <c r="BX14" s="72">
        <f t="shared" si="37"/>
        <v>-1177.788612</v>
      </c>
      <c r="BY14" s="72">
        <f t="shared" si="37"/>
        <v>-1177.788612</v>
      </c>
      <c r="BZ14" s="72">
        <f t="shared" si="37"/>
        <v>-1177.788612</v>
      </c>
      <c r="CA14" s="72">
        <f t="shared" si="37"/>
        <v>-1177.788612</v>
      </c>
      <c r="CB14" s="72">
        <f t="shared" si="37"/>
        <v>-1177.788612</v>
      </c>
      <c r="CC14" s="72">
        <f t="shared" si="37"/>
        <v>-1177.788612</v>
      </c>
      <c r="CD14" s="72">
        <f t="shared" si="37"/>
        <v>-1177.788612</v>
      </c>
      <c r="CE14" s="72">
        <f t="shared" si="37"/>
        <v>-1177.788612</v>
      </c>
      <c r="CF14" s="72">
        <f t="shared" si="37"/>
        <v>-1766.682919</v>
      </c>
      <c r="CG14" s="72">
        <f t="shared" si="37"/>
        <v>-1766.682919</v>
      </c>
      <c r="CH14" s="71">
        <f t="shared" si="31"/>
        <v>-15311.25196</v>
      </c>
      <c r="CI14" s="73"/>
    </row>
    <row r="15" ht="19.5" hidden="1" customHeight="1">
      <c r="A15" s="68"/>
      <c r="B15" s="68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1"/>
      <c r="Q15" s="68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1"/>
      <c r="AE15" s="68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1"/>
      <c r="AS15" s="73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1"/>
      <c r="BG15" s="73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1"/>
      <c r="BU15" s="73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1"/>
      <c r="CI15" s="73"/>
    </row>
    <row r="16" ht="19.5" customHeight="1">
      <c r="A16" s="68"/>
      <c r="B16" s="74" t="s">
        <v>87</v>
      </c>
      <c r="C16" s="72" t="s">
        <v>88</v>
      </c>
      <c r="D16" s="72">
        <v>0.0</v>
      </c>
      <c r="E16" s="72">
        <v>0.0</v>
      </c>
      <c r="F16" s="72">
        <v>0.0</v>
      </c>
      <c r="G16" s="72">
        <v>0.0</v>
      </c>
      <c r="H16" s="72">
        <v>0.0</v>
      </c>
      <c r="I16" s="72">
        <v>0.0</v>
      </c>
      <c r="J16" s="72">
        <f>' Staff'!L61*-1</f>
        <v>-815.65632</v>
      </c>
      <c r="K16" s="72">
        <f>' Staff'!M61*-1</f>
        <v>-815.65632</v>
      </c>
      <c r="L16" s="72">
        <f>' Staff'!N61*-1</f>
        <v>-815.65632</v>
      </c>
      <c r="M16" s="72">
        <f>' Staff'!O61*-1</f>
        <v>-815.65632</v>
      </c>
      <c r="N16" s="72">
        <f>' Staff'!P61*-1</f>
        <v>-1223.48448</v>
      </c>
      <c r="O16" s="72">
        <f>' Staff'!Q61*-1</f>
        <v>-1223.48448</v>
      </c>
      <c r="P16" s="71">
        <f t="shared" ref="P16:P20" si="44">SUM(D16:O16)</f>
        <v>-5709.59424</v>
      </c>
      <c r="Q16" s="68"/>
      <c r="R16" s="72">
        <f t="shared" ref="R16:R18" si="45">J16*(1+$R$7)</f>
        <v>-861.3330739</v>
      </c>
      <c r="S16" s="72">
        <f t="shared" ref="S16:W16" si="38">R16</f>
        <v>-861.3330739</v>
      </c>
      <c r="T16" s="72">
        <f t="shared" si="38"/>
        <v>-861.3330739</v>
      </c>
      <c r="U16" s="72">
        <f t="shared" si="38"/>
        <v>-861.3330739</v>
      </c>
      <c r="V16" s="72">
        <f t="shared" si="38"/>
        <v>-861.3330739</v>
      </c>
      <c r="W16" s="72">
        <f t="shared" si="38"/>
        <v>-861.3330739</v>
      </c>
      <c r="X16" s="72">
        <f t="shared" ref="X16:AC16" si="39">J16*(1+$R$7)</f>
        <v>-861.3330739</v>
      </c>
      <c r="Y16" s="72">
        <f t="shared" si="39"/>
        <v>-861.3330739</v>
      </c>
      <c r="Z16" s="72">
        <f t="shared" si="39"/>
        <v>-861.3330739</v>
      </c>
      <c r="AA16" s="72">
        <f t="shared" si="39"/>
        <v>-861.3330739</v>
      </c>
      <c r="AB16" s="72">
        <f t="shared" si="39"/>
        <v>-1291.999611</v>
      </c>
      <c r="AC16" s="72">
        <f t="shared" si="39"/>
        <v>-1291.999611</v>
      </c>
      <c r="AD16" s="71">
        <f t="shared" ref="AD16:AD22" si="48">SUM(R16:AC16)</f>
        <v>-11197.32996</v>
      </c>
      <c r="AE16" s="68"/>
      <c r="AF16" s="72">
        <f t="shared" ref="AF16:AQ16" si="40">R16*(1+$AF$7)</f>
        <v>-905.2610607</v>
      </c>
      <c r="AG16" s="72">
        <f t="shared" si="40"/>
        <v>-905.2610607</v>
      </c>
      <c r="AH16" s="72">
        <f t="shared" si="40"/>
        <v>-905.2610607</v>
      </c>
      <c r="AI16" s="72">
        <f t="shared" si="40"/>
        <v>-905.2610607</v>
      </c>
      <c r="AJ16" s="72">
        <f t="shared" si="40"/>
        <v>-905.2610607</v>
      </c>
      <c r="AK16" s="72">
        <f t="shared" si="40"/>
        <v>-905.2610607</v>
      </c>
      <c r="AL16" s="72">
        <f t="shared" si="40"/>
        <v>-905.2610607</v>
      </c>
      <c r="AM16" s="72">
        <f t="shared" si="40"/>
        <v>-905.2610607</v>
      </c>
      <c r="AN16" s="72">
        <f t="shared" si="40"/>
        <v>-905.2610607</v>
      </c>
      <c r="AO16" s="72">
        <f t="shared" si="40"/>
        <v>-905.2610607</v>
      </c>
      <c r="AP16" s="72">
        <f t="shared" si="40"/>
        <v>-1357.891591</v>
      </c>
      <c r="AQ16" s="72">
        <f t="shared" si="40"/>
        <v>-1357.891591</v>
      </c>
      <c r="AR16" s="71">
        <f t="shared" ref="AR16:AR18" si="50">SUM(AF16:AQ16)</f>
        <v>-11768.39379</v>
      </c>
      <c r="AS16" s="73"/>
      <c r="AT16" s="72">
        <f t="shared" ref="AT16:BE16" si="41">AF16*(1+$AF$7)</f>
        <v>-951.4293748</v>
      </c>
      <c r="AU16" s="72">
        <f t="shared" si="41"/>
        <v>-951.4293748</v>
      </c>
      <c r="AV16" s="72">
        <f t="shared" si="41"/>
        <v>-951.4293748</v>
      </c>
      <c r="AW16" s="72">
        <f t="shared" si="41"/>
        <v>-951.4293748</v>
      </c>
      <c r="AX16" s="72">
        <f t="shared" si="41"/>
        <v>-951.4293748</v>
      </c>
      <c r="AY16" s="72">
        <f t="shared" si="41"/>
        <v>-951.4293748</v>
      </c>
      <c r="AZ16" s="72">
        <f t="shared" si="41"/>
        <v>-951.4293748</v>
      </c>
      <c r="BA16" s="72">
        <f t="shared" si="41"/>
        <v>-951.4293748</v>
      </c>
      <c r="BB16" s="72">
        <f t="shared" si="41"/>
        <v>-951.4293748</v>
      </c>
      <c r="BC16" s="72">
        <f t="shared" si="41"/>
        <v>-951.4293748</v>
      </c>
      <c r="BD16" s="72">
        <f t="shared" si="41"/>
        <v>-1427.144062</v>
      </c>
      <c r="BE16" s="72">
        <f t="shared" si="41"/>
        <v>-1427.144062</v>
      </c>
      <c r="BF16" s="71">
        <f t="shared" ref="BF16:BF18" si="52">SUM(AT16:BE16)</f>
        <v>-12368.58187</v>
      </c>
      <c r="BG16" s="73"/>
      <c r="BH16" s="72">
        <f t="shared" ref="BH16:BS16" si="42">AT16*(1+$AF$7)</f>
        <v>-999.9522729</v>
      </c>
      <c r="BI16" s="72">
        <f t="shared" si="42"/>
        <v>-999.9522729</v>
      </c>
      <c r="BJ16" s="72">
        <f t="shared" si="42"/>
        <v>-999.9522729</v>
      </c>
      <c r="BK16" s="72">
        <f t="shared" si="42"/>
        <v>-999.9522729</v>
      </c>
      <c r="BL16" s="72">
        <f t="shared" si="42"/>
        <v>-999.9522729</v>
      </c>
      <c r="BM16" s="72">
        <f t="shared" si="42"/>
        <v>-999.9522729</v>
      </c>
      <c r="BN16" s="72">
        <f t="shared" si="42"/>
        <v>-999.9522729</v>
      </c>
      <c r="BO16" s="72">
        <f t="shared" si="42"/>
        <v>-999.9522729</v>
      </c>
      <c r="BP16" s="72">
        <f t="shared" si="42"/>
        <v>-999.9522729</v>
      </c>
      <c r="BQ16" s="72">
        <f t="shared" si="42"/>
        <v>-999.9522729</v>
      </c>
      <c r="BR16" s="72">
        <f t="shared" si="42"/>
        <v>-1499.928409</v>
      </c>
      <c r="BS16" s="72">
        <f t="shared" si="42"/>
        <v>-1499.928409</v>
      </c>
      <c r="BT16" s="71">
        <f t="shared" ref="BT16:BT18" si="54">SUM(BH16:BS16)</f>
        <v>-12999.37955</v>
      </c>
      <c r="BU16" s="73"/>
      <c r="BV16" s="72">
        <f t="shared" ref="BV16:CG16" si="43">BH16*(1+$AF$7)</f>
        <v>-1050.949839</v>
      </c>
      <c r="BW16" s="72">
        <f t="shared" si="43"/>
        <v>-1050.949839</v>
      </c>
      <c r="BX16" s="72">
        <f t="shared" si="43"/>
        <v>-1050.949839</v>
      </c>
      <c r="BY16" s="72">
        <f t="shared" si="43"/>
        <v>-1050.949839</v>
      </c>
      <c r="BZ16" s="72">
        <f t="shared" si="43"/>
        <v>-1050.949839</v>
      </c>
      <c r="CA16" s="72">
        <f t="shared" si="43"/>
        <v>-1050.949839</v>
      </c>
      <c r="CB16" s="72">
        <f t="shared" si="43"/>
        <v>-1050.949839</v>
      </c>
      <c r="CC16" s="72">
        <f t="shared" si="43"/>
        <v>-1050.949839</v>
      </c>
      <c r="CD16" s="72">
        <f t="shared" si="43"/>
        <v>-1050.949839</v>
      </c>
      <c r="CE16" s="72">
        <f t="shared" si="43"/>
        <v>-1050.949839</v>
      </c>
      <c r="CF16" s="72">
        <f t="shared" si="43"/>
        <v>-1576.424758</v>
      </c>
      <c r="CG16" s="72">
        <f t="shared" si="43"/>
        <v>-1576.424758</v>
      </c>
      <c r="CH16" s="71">
        <f t="shared" ref="CH16:CH18" si="56">SUM(BV16:CG16)</f>
        <v>-13662.3479</v>
      </c>
      <c r="CI16" s="73"/>
    </row>
    <row r="17" ht="19.5" customHeight="1">
      <c r="A17" s="68"/>
      <c r="B17" s="74" t="s">
        <v>87</v>
      </c>
      <c r="C17" s="72" t="s">
        <v>88</v>
      </c>
      <c r="D17" s="72">
        <v>0.0</v>
      </c>
      <c r="E17" s="72">
        <v>0.0</v>
      </c>
      <c r="F17" s="72">
        <v>0.0</v>
      </c>
      <c r="G17" s="72">
        <v>0.0</v>
      </c>
      <c r="H17" s="72">
        <v>0.0</v>
      </c>
      <c r="I17" s="72">
        <v>0.0</v>
      </c>
      <c r="J17" s="72">
        <f>' Staff'!L61*-1</f>
        <v>-815.65632</v>
      </c>
      <c r="K17" s="72">
        <f>' Staff'!M61*-1</f>
        <v>-815.65632</v>
      </c>
      <c r="L17" s="72">
        <f>' Staff'!N61*-1</f>
        <v>-815.65632</v>
      </c>
      <c r="M17" s="72">
        <f>' Staff'!O61*-1</f>
        <v>-815.65632</v>
      </c>
      <c r="N17" s="72">
        <f>' Staff'!P61*-1</f>
        <v>-1223.48448</v>
      </c>
      <c r="O17" s="72">
        <f>' Staff'!Q61*-1</f>
        <v>-1223.48448</v>
      </c>
      <c r="P17" s="71">
        <f t="shared" si="44"/>
        <v>-5709.59424</v>
      </c>
      <c r="Q17" s="68"/>
      <c r="R17" s="72">
        <f t="shared" si="45"/>
        <v>-861.3330739</v>
      </c>
      <c r="S17" s="72">
        <f t="shared" ref="S17:W17" si="46">R17</f>
        <v>-861.3330739</v>
      </c>
      <c r="T17" s="72">
        <f t="shared" si="46"/>
        <v>-861.3330739</v>
      </c>
      <c r="U17" s="72">
        <f t="shared" si="46"/>
        <v>-861.3330739</v>
      </c>
      <c r="V17" s="72">
        <f t="shared" si="46"/>
        <v>-861.3330739</v>
      </c>
      <c r="W17" s="72">
        <f t="shared" si="46"/>
        <v>-861.3330739</v>
      </c>
      <c r="X17" s="72">
        <f t="shared" ref="X17:AC17" si="47">J17*(1+$R$7)</f>
        <v>-861.3330739</v>
      </c>
      <c r="Y17" s="72">
        <f t="shared" si="47"/>
        <v>-861.3330739</v>
      </c>
      <c r="Z17" s="72">
        <f t="shared" si="47"/>
        <v>-861.3330739</v>
      </c>
      <c r="AA17" s="72">
        <f t="shared" si="47"/>
        <v>-861.3330739</v>
      </c>
      <c r="AB17" s="72">
        <f t="shared" si="47"/>
        <v>-1291.999611</v>
      </c>
      <c r="AC17" s="72">
        <f t="shared" si="47"/>
        <v>-1291.999611</v>
      </c>
      <c r="AD17" s="71">
        <f t="shared" si="48"/>
        <v>-11197.32996</v>
      </c>
      <c r="AE17" s="68"/>
      <c r="AF17" s="72">
        <f t="shared" ref="AF17:AQ17" si="49">R17*(1+$AF$7)</f>
        <v>-905.2610607</v>
      </c>
      <c r="AG17" s="72">
        <f t="shared" si="49"/>
        <v>-905.2610607</v>
      </c>
      <c r="AH17" s="72">
        <f t="shared" si="49"/>
        <v>-905.2610607</v>
      </c>
      <c r="AI17" s="72">
        <f t="shared" si="49"/>
        <v>-905.2610607</v>
      </c>
      <c r="AJ17" s="72">
        <f t="shared" si="49"/>
        <v>-905.2610607</v>
      </c>
      <c r="AK17" s="72">
        <f t="shared" si="49"/>
        <v>-905.2610607</v>
      </c>
      <c r="AL17" s="72">
        <f t="shared" si="49"/>
        <v>-905.2610607</v>
      </c>
      <c r="AM17" s="72">
        <f t="shared" si="49"/>
        <v>-905.2610607</v>
      </c>
      <c r="AN17" s="72">
        <f t="shared" si="49"/>
        <v>-905.2610607</v>
      </c>
      <c r="AO17" s="72">
        <f t="shared" si="49"/>
        <v>-905.2610607</v>
      </c>
      <c r="AP17" s="72">
        <f t="shared" si="49"/>
        <v>-1357.891591</v>
      </c>
      <c r="AQ17" s="72">
        <f t="shared" si="49"/>
        <v>-1357.891591</v>
      </c>
      <c r="AR17" s="71">
        <f t="shared" si="50"/>
        <v>-11768.39379</v>
      </c>
      <c r="AS17" s="73"/>
      <c r="AT17" s="72">
        <f t="shared" ref="AT17:BE17" si="51">AF17*(1+$AF$7)</f>
        <v>-951.4293748</v>
      </c>
      <c r="AU17" s="72">
        <f t="shared" si="51"/>
        <v>-951.4293748</v>
      </c>
      <c r="AV17" s="72">
        <f t="shared" si="51"/>
        <v>-951.4293748</v>
      </c>
      <c r="AW17" s="72">
        <f t="shared" si="51"/>
        <v>-951.4293748</v>
      </c>
      <c r="AX17" s="72">
        <f t="shared" si="51"/>
        <v>-951.4293748</v>
      </c>
      <c r="AY17" s="72">
        <f t="shared" si="51"/>
        <v>-951.4293748</v>
      </c>
      <c r="AZ17" s="72">
        <f t="shared" si="51"/>
        <v>-951.4293748</v>
      </c>
      <c r="BA17" s="72">
        <f t="shared" si="51"/>
        <v>-951.4293748</v>
      </c>
      <c r="BB17" s="72">
        <f t="shared" si="51"/>
        <v>-951.4293748</v>
      </c>
      <c r="BC17" s="72">
        <f t="shared" si="51"/>
        <v>-951.4293748</v>
      </c>
      <c r="BD17" s="72">
        <f t="shared" si="51"/>
        <v>-1427.144062</v>
      </c>
      <c r="BE17" s="72">
        <f t="shared" si="51"/>
        <v>-1427.144062</v>
      </c>
      <c r="BF17" s="71">
        <f t="shared" si="52"/>
        <v>-12368.58187</v>
      </c>
      <c r="BG17" s="73">
        <f t="shared" ref="BG17:BG18" si="61">SUM(AT17:BE17)</f>
        <v>-12368.58187</v>
      </c>
      <c r="BH17" s="72">
        <f t="shared" ref="BH17:BS17" si="53">AT17*(1+$AF$7)</f>
        <v>-999.9522729</v>
      </c>
      <c r="BI17" s="72">
        <f t="shared" si="53"/>
        <v>-999.9522729</v>
      </c>
      <c r="BJ17" s="72">
        <f t="shared" si="53"/>
        <v>-999.9522729</v>
      </c>
      <c r="BK17" s="72">
        <f t="shared" si="53"/>
        <v>-999.9522729</v>
      </c>
      <c r="BL17" s="72">
        <f t="shared" si="53"/>
        <v>-999.9522729</v>
      </c>
      <c r="BM17" s="72">
        <f t="shared" si="53"/>
        <v>-999.9522729</v>
      </c>
      <c r="BN17" s="72">
        <f t="shared" si="53"/>
        <v>-999.9522729</v>
      </c>
      <c r="BO17" s="72">
        <f t="shared" si="53"/>
        <v>-999.9522729</v>
      </c>
      <c r="BP17" s="72">
        <f t="shared" si="53"/>
        <v>-999.9522729</v>
      </c>
      <c r="BQ17" s="72">
        <f t="shared" si="53"/>
        <v>-999.9522729</v>
      </c>
      <c r="BR17" s="72">
        <f t="shared" si="53"/>
        <v>-1499.928409</v>
      </c>
      <c r="BS17" s="72">
        <f t="shared" si="53"/>
        <v>-1499.928409</v>
      </c>
      <c r="BT17" s="71">
        <f t="shared" si="54"/>
        <v>-12999.37955</v>
      </c>
      <c r="BU17" s="73"/>
      <c r="BV17" s="72">
        <f t="shared" ref="BV17:CG17" si="55">BH17*(1+$AF$7)</f>
        <v>-1050.949839</v>
      </c>
      <c r="BW17" s="72">
        <f t="shared" si="55"/>
        <v>-1050.949839</v>
      </c>
      <c r="BX17" s="72">
        <f t="shared" si="55"/>
        <v>-1050.949839</v>
      </c>
      <c r="BY17" s="72">
        <f t="shared" si="55"/>
        <v>-1050.949839</v>
      </c>
      <c r="BZ17" s="72">
        <f t="shared" si="55"/>
        <v>-1050.949839</v>
      </c>
      <c r="CA17" s="72">
        <f t="shared" si="55"/>
        <v>-1050.949839</v>
      </c>
      <c r="CB17" s="72">
        <f t="shared" si="55"/>
        <v>-1050.949839</v>
      </c>
      <c r="CC17" s="72">
        <f t="shared" si="55"/>
        <v>-1050.949839</v>
      </c>
      <c r="CD17" s="72">
        <f t="shared" si="55"/>
        <v>-1050.949839</v>
      </c>
      <c r="CE17" s="72">
        <f t="shared" si="55"/>
        <v>-1050.949839</v>
      </c>
      <c r="CF17" s="72">
        <f t="shared" si="55"/>
        <v>-1576.424758</v>
      </c>
      <c r="CG17" s="72">
        <f t="shared" si="55"/>
        <v>-1576.424758</v>
      </c>
      <c r="CH17" s="71">
        <f t="shared" si="56"/>
        <v>-13662.3479</v>
      </c>
      <c r="CI17" s="73"/>
    </row>
    <row r="18" ht="19.5" customHeight="1">
      <c r="B18" s="68" t="s">
        <v>89</v>
      </c>
      <c r="C18" s="72" t="s">
        <v>90</v>
      </c>
      <c r="D18" s="72">
        <v>0.0</v>
      </c>
      <c r="E18" s="72">
        <v>0.0</v>
      </c>
      <c r="F18" s="72">
        <v>0.0</v>
      </c>
      <c r="G18" s="72">
        <v>0.0</v>
      </c>
      <c r="H18" s="72">
        <v>0.0</v>
      </c>
      <c r="I18" s="72">
        <v>0.0</v>
      </c>
      <c r="J18" s="72">
        <f>' Staff'!L76*-1</f>
        <v>-893.00304</v>
      </c>
      <c r="K18" s="72">
        <f>' Staff'!M76*-1</f>
        <v>-893.00304</v>
      </c>
      <c r="L18" s="72">
        <f>' Staff'!N76*-1</f>
        <v>-893.00304</v>
      </c>
      <c r="M18" s="72">
        <f>' Staff'!O76*-1</f>
        <v>-893.00304</v>
      </c>
      <c r="N18" s="72">
        <f>' Staff'!P76*-1</f>
        <v>-1339.50456</v>
      </c>
      <c r="O18" s="72">
        <f>' Staff'!Q76*-1</f>
        <v>-1339.50456</v>
      </c>
      <c r="P18" s="71">
        <f t="shared" si="44"/>
        <v>-6251.02128</v>
      </c>
      <c r="R18" s="72">
        <f t="shared" si="45"/>
        <v>-943.0112102</v>
      </c>
      <c r="S18" s="72">
        <f t="shared" ref="S18:W18" si="57">R18</f>
        <v>-943.0112102</v>
      </c>
      <c r="T18" s="72">
        <f t="shared" si="57"/>
        <v>-943.0112102</v>
      </c>
      <c r="U18" s="72">
        <f t="shared" si="57"/>
        <v>-943.0112102</v>
      </c>
      <c r="V18" s="72">
        <f t="shared" si="57"/>
        <v>-943.0112102</v>
      </c>
      <c r="W18" s="72">
        <f t="shared" si="57"/>
        <v>-943.0112102</v>
      </c>
      <c r="X18" s="72">
        <f t="shared" ref="X18:AC18" si="58">J18*(1+$R$7)</f>
        <v>-943.0112102</v>
      </c>
      <c r="Y18" s="72">
        <f t="shared" si="58"/>
        <v>-943.0112102</v>
      </c>
      <c r="Z18" s="72">
        <f t="shared" si="58"/>
        <v>-943.0112102</v>
      </c>
      <c r="AA18" s="72">
        <f t="shared" si="58"/>
        <v>-943.0112102</v>
      </c>
      <c r="AB18" s="72">
        <f t="shared" si="58"/>
        <v>-1414.516815</v>
      </c>
      <c r="AC18" s="72">
        <f t="shared" si="58"/>
        <v>-1414.516815</v>
      </c>
      <c r="AD18" s="71">
        <f t="shared" si="48"/>
        <v>-12259.14573</v>
      </c>
      <c r="AF18" s="72">
        <f t="shared" ref="AF18:AQ18" si="59">R18*(1+$AF$7)</f>
        <v>-991.104782</v>
      </c>
      <c r="AG18" s="72">
        <f t="shared" si="59"/>
        <v>-991.104782</v>
      </c>
      <c r="AH18" s="72">
        <f t="shared" si="59"/>
        <v>-991.104782</v>
      </c>
      <c r="AI18" s="72">
        <f t="shared" si="59"/>
        <v>-991.104782</v>
      </c>
      <c r="AJ18" s="72">
        <f t="shared" si="59"/>
        <v>-991.104782</v>
      </c>
      <c r="AK18" s="72">
        <f t="shared" si="59"/>
        <v>-991.104782</v>
      </c>
      <c r="AL18" s="72">
        <f t="shared" si="59"/>
        <v>-991.104782</v>
      </c>
      <c r="AM18" s="72">
        <f t="shared" si="59"/>
        <v>-991.104782</v>
      </c>
      <c r="AN18" s="72">
        <f t="shared" si="59"/>
        <v>-991.104782</v>
      </c>
      <c r="AO18" s="72">
        <f t="shared" si="59"/>
        <v>-991.104782</v>
      </c>
      <c r="AP18" s="72">
        <f t="shared" si="59"/>
        <v>-1486.657173</v>
      </c>
      <c r="AQ18" s="72">
        <f t="shared" si="59"/>
        <v>-1486.657173</v>
      </c>
      <c r="AR18" s="71">
        <f t="shared" si="50"/>
        <v>-12884.36217</v>
      </c>
      <c r="AS18" s="73"/>
      <c r="AT18" s="72">
        <f t="shared" ref="AT18:BE18" si="60">AF18*(1+$AF$7)</f>
        <v>-1041.651126</v>
      </c>
      <c r="AU18" s="72">
        <f t="shared" si="60"/>
        <v>-1041.651126</v>
      </c>
      <c r="AV18" s="72">
        <f t="shared" si="60"/>
        <v>-1041.651126</v>
      </c>
      <c r="AW18" s="72">
        <f t="shared" si="60"/>
        <v>-1041.651126</v>
      </c>
      <c r="AX18" s="72">
        <f t="shared" si="60"/>
        <v>-1041.651126</v>
      </c>
      <c r="AY18" s="72">
        <f t="shared" si="60"/>
        <v>-1041.651126</v>
      </c>
      <c r="AZ18" s="72">
        <f t="shared" si="60"/>
        <v>-1041.651126</v>
      </c>
      <c r="BA18" s="72">
        <f t="shared" si="60"/>
        <v>-1041.651126</v>
      </c>
      <c r="BB18" s="72">
        <f t="shared" si="60"/>
        <v>-1041.651126</v>
      </c>
      <c r="BC18" s="72">
        <f t="shared" si="60"/>
        <v>-1041.651126</v>
      </c>
      <c r="BD18" s="72">
        <f t="shared" si="60"/>
        <v>-1562.476689</v>
      </c>
      <c r="BE18" s="72">
        <f t="shared" si="60"/>
        <v>-1562.476689</v>
      </c>
      <c r="BF18" s="71">
        <f t="shared" si="52"/>
        <v>-13541.46464</v>
      </c>
      <c r="BG18" s="73">
        <f t="shared" si="61"/>
        <v>-13541.46464</v>
      </c>
      <c r="BH18" s="72">
        <f t="shared" ref="BH18:BS18" si="62">AT18*(1+$AF$7)</f>
        <v>-1094.775333</v>
      </c>
      <c r="BI18" s="72">
        <f t="shared" si="62"/>
        <v>-1094.775333</v>
      </c>
      <c r="BJ18" s="72">
        <f t="shared" si="62"/>
        <v>-1094.775333</v>
      </c>
      <c r="BK18" s="72">
        <f t="shared" si="62"/>
        <v>-1094.775333</v>
      </c>
      <c r="BL18" s="72">
        <f t="shared" si="62"/>
        <v>-1094.775333</v>
      </c>
      <c r="BM18" s="72">
        <f t="shared" si="62"/>
        <v>-1094.775333</v>
      </c>
      <c r="BN18" s="72">
        <f t="shared" si="62"/>
        <v>-1094.775333</v>
      </c>
      <c r="BO18" s="72">
        <f t="shared" si="62"/>
        <v>-1094.775333</v>
      </c>
      <c r="BP18" s="72">
        <f t="shared" si="62"/>
        <v>-1094.775333</v>
      </c>
      <c r="BQ18" s="72">
        <f t="shared" si="62"/>
        <v>-1094.775333</v>
      </c>
      <c r="BR18" s="72">
        <f t="shared" si="62"/>
        <v>-1642.163</v>
      </c>
      <c r="BS18" s="72">
        <f t="shared" si="62"/>
        <v>-1642.163</v>
      </c>
      <c r="BT18" s="71">
        <f t="shared" si="54"/>
        <v>-14232.07933</v>
      </c>
      <c r="BU18" s="73"/>
      <c r="BV18" s="72">
        <f t="shared" ref="BV18:CG18" si="63">BH18*(1+$AF$7)</f>
        <v>-1150.608875</v>
      </c>
      <c r="BW18" s="72">
        <f t="shared" si="63"/>
        <v>-1150.608875</v>
      </c>
      <c r="BX18" s="72">
        <f t="shared" si="63"/>
        <v>-1150.608875</v>
      </c>
      <c r="BY18" s="72">
        <f t="shared" si="63"/>
        <v>-1150.608875</v>
      </c>
      <c r="BZ18" s="72">
        <f t="shared" si="63"/>
        <v>-1150.608875</v>
      </c>
      <c r="CA18" s="72">
        <f t="shared" si="63"/>
        <v>-1150.608875</v>
      </c>
      <c r="CB18" s="72">
        <f t="shared" si="63"/>
        <v>-1150.608875</v>
      </c>
      <c r="CC18" s="72">
        <f t="shared" si="63"/>
        <v>-1150.608875</v>
      </c>
      <c r="CD18" s="72">
        <f t="shared" si="63"/>
        <v>-1150.608875</v>
      </c>
      <c r="CE18" s="72">
        <f t="shared" si="63"/>
        <v>-1150.608875</v>
      </c>
      <c r="CF18" s="72">
        <f t="shared" si="63"/>
        <v>-1725.913313</v>
      </c>
      <c r="CG18" s="72">
        <f t="shared" si="63"/>
        <v>-1725.913313</v>
      </c>
      <c r="CH18" s="71">
        <f t="shared" si="56"/>
        <v>-14957.91538</v>
      </c>
    </row>
    <row r="19" ht="19.5" customHeight="1">
      <c r="B19" s="74" t="str">
        <f>' Staff'!C78</f>
        <v>Order - Distribution</v>
      </c>
      <c r="C19" s="75" t="str">
        <f>' Staff'!B78</f>
        <v>P6</v>
      </c>
      <c r="D19" s="75">
        <v>0.0</v>
      </c>
      <c r="E19" s="75">
        <v>0.0</v>
      </c>
      <c r="F19" s="75">
        <v>0.0</v>
      </c>
      <c r="G19" s="75">
        <v>0.0</v>
      </c>
      <c r="H19" s="75">
        <v>0.0</v>
      </c>
      <c r="I19" s="75">
        <v>0.0</v>
      </c>
      <c r="J19" s="75">
        <v>0.0</v>
      </c>
      <c r="K19" s="75">
        <f>' Staff'!M91*-1</f>
        <v>-893.00304</v>
      </c>
      <c r="L19" s="75">
        <f>' Staff'!N91*-1</f>
        <v>-893.00304</v>
      </c>
      <c r="M19" s="75">
        <f>' Staff'!O91*-1</f>
        <v>-893.00304</v>
      </c>
      <c r="N19" s="75">
        <f>' Staff'!P91*-1</f>
        <v>-1339.50456</v>
      </c>
      <c r="O19" s="75">
        <f>' Staff'!Q91*-1</f>
        <v>-1339.50456</v>
      </c>
      <c r="P19" s="71">
        <f t="shared" si="44"/>
        <v>-5358.01824</v>
      </c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1">
        <f t="shared" si="48"/>
        <v>0</v>
      </c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1"/>
      <c r="AS19" s="73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1"/>
      <c r="BG19" s="73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1"/>
      <c r="BU19" s="73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1"/>
    </row>
    <row r="20" ht="19.5" customHeight="1">
      <c r="B20" s="76" t="str">
        <f>' Staff'!C93</f>
        <v>Security</v>
      </c>
      <c r="C20" s="75" t="s">
        <v>91</v>
      </c>
      <c r="D20" s="76">
        <v>0.0</v>
      </c>
      <c r="E20" s="76">
        <v>0.0</v>
      </c>
      <c r="F20" s="76">
        <v>0.0</v>
      </c>
      <c r="G20" s="76">
        <v>0.0</v>
      </c>
      <c r="H20" s="76">
        <v>0.0</v>
      </c>
      <c r="I20" s="76">
        <v>0.0</v>
      </c>
      <c r="J20" s="76">
        <v>0.0</v>
      </c>
      <c r="K20" s="76">
        <v>0.0</v>
      </c>
      <c r="L20" s="77">
        <f>' Staff'!N106*-1</f>
        <v>-893.00304</v>
      </c>
      <c r="M20" s="77">
        <f>' Staff'!O106*-1</f>
        <v>-893.00304</v>
      </c>
      <c r="N20" s="77">
        <f>' Staff'!P106*-1</f>
        <v>-1339.50456</v>
      </c>
      <c r="O20" s="77">
        <f>' Staff'!Q106*-1</f>
        <v>-1339.50456</v>
      </c>
      <c r="P20" s="71">
        <f t="shared" si="44"/>
        <v>-4465.0152</v>
      </c>
      <c r="R20" s="69">
        <f>' Staff'!F106*-1</f>
        <v>-893.00304</v>
      </c>
      <c r="S20" s="69">
        <f>' Staff'!G106*-1</f>
        <v>-893.00304</v>
      </c>
      <c r="T20" s="69">
        <f>' Staff'!H106*-1</f>
        <v>-893.00304</v>
      </c>
      <c r="U20" s="69">
        <f>' Staff'!I106*-1</f>
        <v>-893.00304</v>
      </c>
      <c r="V20" s="69">
        <f>' Staff'!J106*-1</f>
        <v>-893.00304</v>
      </c>
      <c r="W20" s="69">
        <f>' Staff'!K106*-1</f>
        <v>-893.00304</v>
      </c>
      <c r="X20" s="69">
        <f>' Staff'!L106*-1</f>
        <v>-893.00304</v>
      </c>
      <c r="Y20" s="69">
        <f>' Staff'!M106*-1</f>
        <v>-893.00304</v>
      </c>
      <c r="Z20" s="69">
        <f>' Staff'!N106*-1</f>
        <v>-893.00304</v>
      </c>
      <c r="AA20" s="69">
        <f>' Staff'!O106*-1</f>
        <v>-893.00304</v>
      </c>
      <c r="AB20" s="69">
        <f>' Staff'!P106*-1</f>
        <v>-1339.50456</v>
      </c>
      <c r="AC20" s="69">
        <f>' Staff'!Q106*-1</f>
        <v>-1339.50456</v>
      </c>
      <c r="AD20" s="71">
        <f t="shared" si="48"/>
        <v>-11609.03952</v>
      </c>
      <c r="AR20" s="6"/>
      <c r="BF20" s="6"/>
      <c r="BT20" s="6"/>
      <c r="CH20" s="6"/>
    </row>
    <row r="21" ht="19.5" customHeight="1">
      <c r="B21" s="74" t="s">
        <v>87</v>
      </c>
      <c r="C21" s="72" t="s">
        <v>88</v>
      </c>
      <c r="D21" s="76">
        <v>0.0</v>
      </c>
      <c r="E21" s="76">
        <v>0.0</v>
      </c>
      <c r="F21" s="76">
        <v>0.0</v>
      </c>
      <c r="G21" s="76">
        <v>0.0</v>
      </c>
      <c r="H21" s="76">
        <v>0.0</v>
      </c>
      <c r="I21" s="76">
        <v>0.0</v>
      </c>
      <c r="J21" s="76">
        <v>0.0</v>
      </c>
      <c r="K21" s="76">
        <v>0.0</v>
      </c>
      <c r="L21" s="76">
        <v>0.0</v>
      </c>
      <c r="M21" s="76">
        <v>0.0</v>
      </c>
      <c r="N21" s="76">
        <v>0.0</v>
      </c>
      <c r="O21" s="76">
        <v>0.0</v>
      </c>
      <c r="P21" s="6"/>
      <c r="R21" s="76">
        <v>0.0</v>
      </c>
      <c r="S21" s="76">
        <v>0.0</v>
      </c>
      <c r="T21" s="76">
        <v>0.0</v>
      </c>
      <c r="U21" s="76">
        <v>0.0</v>
      </c>
      <c r="V21" s="76">
        <v>0.0</v>
      </c>
      <c r="W21" s="76">
        <v>0.0</v>
      </c>
      <c r="X21" s="78">
        <f t="shared" ref="X21:AC21" si="64">X16</f>
        <v>-861.3330739</v>
      </c>
      <c r="Y21" s="78">
        <f t="shared" si="64"/>
        <v>-861.3330739</v>
      </c>
      <c r="Z21" s="78">
        <f t="shared" si="64"/>
        <v>-861.3330739</v>
      </c>
      <c r="AA21" s="78">
        <f t="shared" si="64"/>
        <v>-861.3330739</v>
      </c>
      <c r="AB21" s="78">
        <f t="shared" si="64"/>
        <v>-1291.999611</v>
      </c>
      <c r="AC21" s="78">
        <f t="shared" si="64"/>
        <v>-1291.999611</v>
      </c>
      <c r="AD21" s="71">
        <f t="shared" si="48"/>
        <v>-6029.331517</v>
      </c>
      <c r="AR21" s="6"/>
      <c r="BF21" s="6"/>
      <c r="BT21" s="6"/>
      <c r="CH21" s="6"/>
    </row>
    <row r="22" ht="19.5" customHeight="1">
      <c r="B22" s="74" t="s">
        <v>87</v>
      </c>
      <c r="C22" s="72" t="s">
        <v>88</v>
      </c>
      <c r="P22" s="6"/>
      <c r="X22" s="78">
        <f t="shared" ref="X22:AC22" si="65">X21</f>
        <v>-861.3330739</v>
      </c>
      <c r="Y22" s="78">
        <f t="shared" si="65"/>
        <v>-861.3330739</v>
      </c>
      <c r="Z22" s="78">
        <f t="shared" si="65"/>
        <v>-861.3330739</v>
      </c>
      <c r="AA22" s="78">
        <f t="shared" si="65"/>
        <v>-861.3330739</v>
      </c>
      <c r="AB22" s="78">
        <f t="shared" si="65"/>
        <v>-1291.999611</v>
      </c>
      <c r="AC22" s="78">
        <f t="shared" si="65"/>
        <v>-1291.999611</v>
      </c>
      <c r="AD22" s="71">
        <f t="shared" si="48"/>
        <v>-6029.331517</v>
      </c>
      <c r="AF22" s="23"/>
      <c r="AJ22" s="23"/>
      <c r="AR22" s="6"/>
      <c r="BF22" s="6"/>
      <c r="BT22" s="6"/>
      <c r="CH22" s="6"/>
    </row>
    <row r="23" ht="19.5" customHeight="1">
      <c r="B23" s="68" t="s">
        <v>89</v>
      </c>
      <c r="C23" s="72" t="s">
        <v>90</v>
      </c>
      <c r="P23" s="6"/>
      <c r="AD23" s="6"/>
      <c r="AF23" s="69">
        <f>' Staff'!F76*-1</f>
        <v>-893.00304</v>
      </c>
      <c r="AG23" s="69">
        <f>' Staff'!G76*-1</f>
        <v>-893.00304</v>
      </c>
      <c r="AH23" s="69">
        <f>' Staff'!H76*-1</f>
        <v>-893.00304</v>
      </c>
      <c r="AI23" s="69">
        <f>' Staff'!I76*-1</f>
        <v>-893.00304</v>
      </c>
      <c r="AJ23" s="69">
        <f>' Staff'!J76*-1</f>
        <v>-893.00304</v>
      </c>
      <c r="AK23" s="69">
        <f>' Staff'!K76*-1</f>
        <v>-893.00304</v>
      </c>
      <c r="AL23" s="69">
        <f>' Staff'!L76*-1</f>
        <v>-893.00304</v>
      </c>
      <c r="AM23" s="69">
        <f>' Staff'!M76*-1</f>
        <v>-893.00304</v>
      </c>
      <c r="AN23" s="69">
        <f>' Staff'!N76*-1</f>
        <v>-893.00304</v>
      </c>
      <c r="AO23" s="69">
        <f>' Staff'!O76*-1</f>
        <v>-893.00304</v>
      </c>
      <c r="AP23" s="69">
        <f>' Staff'!P76*-1</f>
        <v>-1339.50456</v>
      </c>
      <c r="AQ23" s="69">
        <f>' Staff'!Q76*-1</f>
        <v>-1339.50456</v>
      </c>
      <c r="AR23" s="6"/>
      <c r="BF23" s="6"/>
      <c r="BT23" s="6"/>
      <c r="CH23" s="6"/>
    </row>
    <row r="24" ht="19.5" customHeight="1">
      <c r="P24" s="6"/>
      <c r="AD24" s="6"/>
      <c r="AR24" s="6"/>
      <c r="BF24" s="6"/>
      <c r="BT24" s="6"/>
      <c r="CH24" s="6"/>
    </row>
    <row r="25" ht="19.5" customHeight="1">
      <c r="P25" s="6"/>
      <c r="AD25" s="6"/>
      <c r="AR25" s="6"/>
      <c r="BF25" s="6"/>
      <c r="BT25" s="6"/>
      <c r="CH25" s="6"/>
    </row>
    <row r="26" ht="19.5" customHeight="1">
      <c r="P26" s="6"/>
      <c r="AD26" s="6"/>
      <c r="AR26" s="6"/>
      <c r="BF26" s="6"/>
      <c r="BT26" s="6"/>
      <c r="CH26" s="6"/>
    </row>
    <row r="27" ht="19.5" customHeight="1">
      <c r="P27" s="6"/>
      <c r="AD27" s="6"/>
      <c r="AR27" s="6"/>
      <c r="BF27" s="6"/>
      <c r="BT27" s="6"/>
      <c r="CH27" s="6"/>
    </row>
    <row r="28" ht="19.5" customHeight="1">
      <c r="P28" s="6"/>
      <c r="AD28" s="6"/>
      <c r="AR28" s="6"/>
      <c r="BF28" s="6"/>
      <c r="BT28" s="6"/>
      <c r="CH28" s="6"/>
    </row>
    <row r="29" ht="19.5" customHeight="1">
      <c r="P29" s="6"/>
      <c r="AD29" s="6"/>
      <c r="AR29" s="6"/>
      <c r="BF29" s="6"/>
      <c r="BT29" s="6"/>
      <c r="CH29" s="6"/>
    </row>
    <row r="30" ht="19.5" customHeight="1">
      <c r="P30" s="6"/>
      <c r="AD30" s="6"/>
      <c r="AR30" s="6"/>
      <c r="BF30" s="6"/>
      <c r="BT30" s="6"/>
      <c r="CH30" s="6"/>
    </row>
    <row r="31" ht="19.5" customHeight="1">
      <c r="P31" s="6"/>
      <c r="AD31" s="6"/>
      <c r="AR31" s="6"/>
      <c r="BF31" s="6"/>
      <c r="BT31" s="6"/>
      <c r="CH31" s="6"/>
    </row>
    <row r="32" ht="19.5" customHeight="1">
      <c r="P32" s="6"/>
      <c r="AD32" s="6"/>
      <c r="AR32" s="6"/>
      <c r="BF32" s="6"/>
      <c r="BT32" s="6"/>
      <c r="CH32" s="6"/>
    </row>
    <row r="33" ht="19.5" customHeight="1">
      <c r="P33" s="6"/>
      <c r="AD33" s="6"/>
      <c r="AR33" s="6"/>
      <c r="BF33" s="6"/>
      <c r="BT33" s="6"/>
      <c r="CH33" s="6"/>
    </row>
    <row r="34" ht="19.5" customHeight="1">
      <c r="P34" s="6"/>
      <c r="AD34" s="6"/>
      <c r="AR34" s="6"/>
      <c r="BF34" s="6"/>
      <c r="BT34" s="6"/>
      <c r="CH34" s="6"/>
    </row>
    <row r="35" ht="19.5" customHeight="1">
      <c r="P35" s="6"/>
      <c r="AD35" s="6"/>
      <c r="AR35" s="6"/>
      <c r="BF35" s="6"/>
      <c r="BT35" s="6"/>
      <c r="CH35" s="6"/>
    </row>
    <row r="36" ht="19.5" customHeight="1">
      <c r="P36" s="6"/>
      <c r="AD36" s="6"/>
      <c r="AR36" s="6"/>
      <c r="BF36" s="6"/>
      <c r="BT36" s="6"/>
      <c r="CH36" s="6"/>
    </row>
    <row r="37" ht="19.5" customHeight="1">
      <c r="P37" s="6"/>
      <c r="AD37" s="6"/>
      <c r="AR37" s="6"/>
      <c r="BF37" s="6"/>
      <c r="BT37" s="6"/>
      <c r="CH37" s="6"/>
    </row>
    <row r="38" ht="19.5" customHeight="1">
      <c r="P38" s="6"/>
      <c r="AD38" s="6"/>
      <c r="AR38" s="6"/>
      <c r="BF38" s="6"/>
      <c r="BT38" s="6"/>
      <c r="CH38" s="6"/>
    </row>
    <row r="39" ht="19.5" customHeight="1">
      <c r="P39" s="6"/>
      <c r="AD39" s="6"/>
      <c r="AR39" s="6"/>
      <c r="BF39" s="6"/>
      <c r="BT39" s="6"/>
      <c r="CH39" s="6"/>
    </row>
    <row r="40" ht="19.5" customHeight="1">
      <c r="P40" s="6"/>
      <c r="AD40" s="6"/>
      <c r="AR40" s="6"/>
      <c r="BF40" s="6"/>
      <c r="BT40" s="6"/>
      <c r="CH40" s="6"/>
    </row>
    <row r="41" ht="19.5" customHeight="1">
      <c r="P41" s="6"/>
      <c r="AD41" s="6"/>
      <c r="AR41" s="6"/>
      <c r="BF41" s="6"/>
      <c r="BT41" s="6"/>
      <c r="CH41" s="6"/>
    </row>
    <row r="42" ht="19.5" customHeight="1">
      <c r="P42" s="6"/>
      <c r="AD42" s="6"/>
      <c r="AR42" s="6"/>
      <c r="BF42" s="6"/>
      <c r="BT42" s="6"/>
      <c r="CH42" s="6"/>
    </row>
    <row r="43" ht="19.5" customHeight="1">
      <c r="P43" s="6"/>
      <c r="AD43" s="6"/>
      <c r="AR43" s="6"/>
      <c r="BF43" s="6"/>
      <c r="BT43" s="6"/>
      <c r="CH43" s="6"/>
    </row>
    <row r="44" ht="19.5" customHeight="1">
      <c r="P44" s="6"/>
      <c r="AD44" s="6"/>
      <c r="AR44" s="6"/>
      <c r="BF44" s="6"/>
      <c r="BT44" s="6"/>
      <c r="CH44" s="6"/>
    </row>
    <row r="45" ht="19.5" customHeight="1">
      <c r="P45" s="6"/>
      <c r="AD45" s="6"/>
      <c r="AR45" s="6"/>
      <c r="BF45" s="6"/>
      <c r="BT45" s="6"/>
      <c r="CH45" s="6"/>
    </row>
    <row r="46" ht="19.5" customHeight="1">
      <c r="P46" s="6"/>
      <c r="AD46" s="6"/>
      <c r="AR46" s="6"/>
      <c r="BF46" s="6"/>
      <c r="BT46" s="6"/>
      <c r="CH46" s="6"/>
    </row>
    <row r="47" ht="19.5" customHeight="1">
      <c r="P47" s="6"/>
      <c r="AD47" s="6"/>
      <c r="AR47" s="6"/>
      <c r="BF47" s="6"/>
      <c r="BT47" s="6"/>
      <c r="CH47" s="6"/>
    </row>
    <row r="48" ht="19.5" customHeight="1">
      <c r="P48" s="6"/>
      <c r="AD48" s="6"/>
      <c r="AR48" s="6"/>
      <c r="BF48" s="6"/>
      <c r="BT48" s="6"/>
      <c r="CH48" s="6"/>
    </row>
    <row r="49" ht="19.5" customHeight="1">
      <c r="P49" s="6"/>
      <c r="AD49" s="6"/>
      <c r="AR49" s="6"/>
      <c r="BF49" s="6"/>
      <c r="BT49" s="6"/>
      <c r="CH49" s="6"/>
    </row>
    <row r="50" ht="19.5" customHeight="1">
      <c r="P50" s="6"/>
      <c r="AD50" s="6"/>
      <c r="AR50" s="6"/>
      <c r="BF50" s="6"/>
      <c r="BT50" s="6"/>
      <c r="CH50" s="6"/>
    </row>
    <row r="51" ht="19.5" customHeight="1">
      <c r="P51" s="6"/>
      <c r="AD51" s="6"/>
      <c r="AR51" s="6"/>
      <c r="BF51" s="6"/>
      <c r="BT51" s="6"/>
      <c r="CH51" s="6"/>
    </row>
    <row r="52" ht="19.5" customHeight="1">
      <c r="P52" s="6"/>
      <c r="AD52" s="6"/>
      <c r="AR52" s="6"/>
      <c r="BF52" s="6"/>
      <c r="BT52" s="6"/>
      <c r="CH52" s="6"/>
    </row>
    <row r="53" ht="19.5" customHeight="1">
      <c r="P53" s="6"/>
      <c r="AD53" s="6"/>
      <c r="AR53" s="6"/>
      <c r="BF53" s="6"/>
      <c r="BT53" s="6"/>
      <c r="CH53" s="6"/>
    </row>
    <row r="54" ht="19.5" customHeight="1">
      <c r="P54" s="6"/>
      <c r="AD54" s="6"/>
      <c r="AR54" s="6"/>
      <c r="BF54" s="6"/>
      <c r="BT54" s="6"/>
      <c r="CH54" s="6"/>
    </row>
    <row r="55" ht="19.5" customHeight="1">
      <c r="P55" s="6"/>
      <c r="AD55" s="6"/>
      <c r="AR55" s="6"/>
      <c r="BF55" s="6"/>
      <c r="BT55" s="6"/>
      <c r="CH55" s="6"/>
    </row>
    <row r="56" ht="19.5" customHeight="1">
      <c r="P56" s="6"/>
      <c r="AD56" s="6"/>
      <c r="AR56" s="6"/>
      <c r="BF56" s="6"/>
      <c r="BT56" s="6"/>
      <c r="CH56" s="6"/>
    </row>
    <row r="57" ht="19.5" customHeight="1">
      <c r="P57" s="6"/>
      <c r="AD57" s="6"/>
      <c r="AR57" s="6"/>
      <c r="BF57" s="6"/>
      <c r="BT57" s="6"/>
      <c r="CH57" s="6"/>
    </row>
    <row r="58" ht="19.5" customHeight="1">
      <c r="P58" s="6"/>
      <c r="AD58" s="6"/>
      <c r="AR58" s="6"/>
      <c r="BF58" s="6"/>
      <c r="BT58" s="6"/>
      <c r="CH58" s="6"/>
    </row>
    <row r="59" ht="19.5" customHeight="1">
      <c r="P59" s="6"/>
      <c r="AD59" s="6"/>
      <c r="AR59" s="6"/>
      <c r="BF59" s="6"/>
      <c r="BT59" s="6"/>
      <c r="CH59" s="6"/>
    </row>
    <row r="60" ht="19.5" customHeight="1">
      <c r="P60" s="6"/>
      <c r="AD60" s="6"/>
      <c r="AR60" s="6"/>
      <c r="BF60" s="6"/>
      <c r="BT60" s="6"/>
      <c r="CH60" s="6"/>
    </row>
    <row r="61" ht="19.5" customHeight="1">
      <c r="P61" s="6"/>
      <c r="AD61" s="6"/>
      <c r="AR61" s="6"/>
      <c r="BF61" s="6"/>
      <c r="BT61" s="6"/>
      <c r="CH61" s="6"/>
    </row>
    <row r="62" ht="19.5" customHeight="1">
      <c r="P62" s="6"/>
      <c r="AD62" s="6"/>
      <c r="AR62" s="6"/>
      <c r="BF62" s="6"/>
      <c r="BT62" s="6"/>
      <c r="CH62" s="6"/>
    </row>
    <row r="63" ht="19.5" customHeight="1">
      <c r="P63" s="6"/>
      <c r="AD63" s="6"/>
      <c r="AR63" s="6"/>
      <c r="BF63" s="6"/>
      <c r="BT63" s="6"/>
      <c r="CH63" s="6"/>
    </row>
    <row r="64" ht="19.5" customHeight="1">
      <c r="P64" s="6"/>
      <c r="AD64" s="6"/>
      <c r="AR64" s="6"/>
      <c r="BF64" s="6"/>
      <c r="BT64" s="6"/>
      <c r="CH64" s="6"/>
    </row>
    <row r="65" ht="19.5" customHeight="1">
      <c r="P65" s="6"/>
      <c r="AD65" s="6"/>
      <c r="AR65" s="6"/>
      <c r="BF65" s="6"/>
      <c r="BT65" s="6"/>
      <c r="CH65" s="6"/>
    </row>
    <row r="66" ht="19.5" customHeight="1">
      <c r="P66" s="6"/>
      <c r="AD66" s="6"/>
      <c r="AR66" s="6"/>
      <c r="BF66" s="6"/>
      <c r="BT66" s="6"/>
      <c r="CH66" s="6"/>
    </row>
    <row r="67" ht="19.5" customHeight="1">
      <c r="P67" s="6"/>
      <c r="AD67" s="6"/>
      <c r="AR67" s="6"/>
      <c r="BF67" s="6"/>
      <c r="BT67" s="6"/>
      <c r="CH67" s="6"/>
    </row>
    <row r="68" ht="19.5" customHeight="1">
      <c r="P68" s="6"/>
      <c r="AD68" s="6"/>
      <c r="AR68" s="6"/>
      <c r="BF68" s="6"/>
      <c r="BT68" s="6"/>
      <c r="CH68" s="6"/>
    </row>
    <row r="69" ht="13.5" customHeight="1">
      <c r="P69" s="6"/>
      <c r="AD69" s="6"/>
      <c r="AR69" s="6"/>
      <c r="BF69" s="6"/>
      <c r="BT69" s="6"/>
      <c r="CH69" s="6"/>
    </row>
    <row r="70" ht="13.5" customHeight="1">
      <c r="P70" s="6"/>
      <c r="AD70" s="6"/>
      <c r="AR70" s="6"/>
      <c r="BF70" s="6"/>
      <c r="BT70" s="6"/>
      <c r="CH70" s="6"/>
    </row>
    <row r="71" ht="13.5" customHeight="1">
      <c r="P71" s="6"/>
      <c r="AD71" s="6"/>
      <c r="AR71" s="6"/>
      <c r="BF71" s="6"/>
      <c r="BT71" s="6"/>
      <c r="CH71" s="6"/>
    </row>
    <row r="72" ht="13.5" customHeight="1">
      <c r="P72" s="6"/>
      <c r="AD72" s="6"/>
      <c r="AR72" s="6"/>
      <c r="BF72" s="6"/>
      <c r="BT72" s="6"/>
      <c r="CH72" s="6"/>
    </row>
    <row r="73" ht="13.5" customHeight="1">
      <c r="P73" s="6"/>
      <c r="AD73" s="6"/>
      <c r="AR73" s="6"/>
      <c r="BF73" s="6"/>
      <c r="BT73" s="6"/>
      <c r="CH73" s="6"/>
    </row>
    <row r="74" ht="13.5" customHeight="1">
      <c r="P74" s="6"/>
      <c r="AD74" s="6"/>
      <c r="AR74" s="6"/>
      <c r="BF74" s="6"/>
      <c r="BT74" s="6"/>
      <c r="CH74" s="6"/>
    </row>
    <row r="75" ht="13.5" customHeight="1">
      <c r="P75" s="6"/>
      <c r="AD75" s="6"/>
      <c r="AR75" s="6"/>
      <c r="BF75" s="6"/>
      <c r="BT75" s="6"/>
      <c r="CH75" s="6"/>
    </row>
    <row r="76" ht="13.5" customHeight="1">
      <c r="P76" s="6"/>
      <c r="AD76" s="6"/>
      <c r="AR76" s="6"/>
      <c r="BF76" s="6"/>
      <c r="BT76" s="6"/>
      <c r="CH76" s="6"/>
    </row>
    <row r="77" ht="13.5" customHeight="1">
      <c r="P77" s="6"/>
      <c r="AD77" s="6"/>
      <c r="AR77" s="6"/>
      <c r="BF77" s="6"/>
      <c r="BT77" s="6"/>
      <c r="CH77" s="6"/>
    </row>
    <row r="78" ht="13.5" customHeight="1">
      <c r="P78" s="6"/>
      <c r="AD78" s="6"/>
      <c r="AR78" s="6"/>
      <c r="BF78" s="6"/>
      <c r="BT78" s="6"/>
      <c r="CH78" s="6"/>
    </row>
    <row r="79" ht="13.5" customHeight="1">
      <c r="P79" s="6"/>
      <c r="AD79" s="6"/>
      <c r="AR79" s="6"/>
      <c r="BF79" s="6"/>
      <c r="BT79" s="6"/>
      <c r="CH79" s="6"/>
    </row>
    <row r="80" ht="13.5" customHeight="1">
      <c r="P80" s="6"/>
      <c r="AD80" s="6"/>
      <c r="AR80" s="6"/>
      <c r="BF80" s="6"/>
      <c r="BT80" s="6"/>
      <c r="CH80" s="6"/>
    </row>
    <row r="81" ht="13.5" customHeight="1">
      <c r="P81" s="6"/>
      <c r="AD81" s="6"/>
      <c r="AR81" s="6"/>
      <c r="BF81" s="6"/>
      <c r="BT81" s="6"/>
      <c r="CH81" s="6"/>
    </row>
    <row r="82" ht="13.5" customHeight="1">
      <c r="P82" s="6"/>
      <c r="AD82" s="6"/>
      <c r="AR82" s="6"/>
      <c r="BF82" s="6"/>
      <c r="BT82" s="6"/>
      <c r="CH82" s="6"/>
    </row>
    <row r="83" ht="13.5" customHeight="1">
      <c r="P83" s="6"/>
      <c r="AD83" s="6"/>
      <c r="AR83" s="6"/>
      <c r="BF83" s="6"/>
      <c r="BT83" s="6"/>
      <c r="CH83" s="6"/>
    </row>
    <row r="84" ht="13.5" customHeight="1">
      <c r="P84" s="6"/>
      <c r="AD84" s="6"/>
      <c r="AR84" s="6"/>
      <c r="BF84" s="6"/>
      <c r="BT84" s="6"/>
      <c r="CH84" s="6"/>
    </row>
    <row r="85" ht="13.5" customHeight="1">
      <c r="P85" s="6"/>
      <c r="AD85" s="6"/>
      <c r="AR85" s="6"/>
      <c r="BF85" s="6"/>
      <c r="BT85" s="6"/>
      <c r="CH85" s="6"/>
    </row>
    <row r="86" ht="13.5" customHeight="1">
      <c r="P86" s="6"/>
      <c r="AD86" s="6"/>
      <c r="AR86" s="6"/>
      <c r="BF86" s="6"/>
      <c r="BT86" s="6"/>
      <c r="CH86" s="6"/>
    </row>
    <row r="87" ht="13.5" customHeight="1">
      <c r="P87" s="6"/>
      <c r="AD87" s="6"/>
      <c r="AR87" s="6"/>
      <c r="BF87" s="6"/>
      <c r="BT87" s="6"/>
      <c r="CH87" s="6"/>
    </row>
    <row r="88" ht="13.5" customHeight="1">
      <c r="P88" s="6"/>
      <c r="AD88" s="6"/>
      <c r="AR88" s="6"/>
      <c r="BF88" s="6"/>
      <c r="BT88" s="6"/>
      <c r="CH88" s="6"/>
    </row>
    <row r="89" ht="13.5" customHeight="1">
      <c r="P89" s="6"/>
      <c r="AD89" s="6"/>
      <c r="AR89" s="6"/>
      <c r="BF89" s="6"/>
      <c r="BT89" s="6"/>
      <c r="CH89" s="6"/>
    </row>
    <row r="90" ht="13.5" customHeight="1">
      <c r="P90" s="6"/>
      <c r="AD90" s="6"/>
      <c r="AR90" s="6"/>
      <c r="BF90" s="6"/>
      <c r="BT90" s="6"/>
      <c r="CH90" s="6"/>
    </row>
    <row r="91" ht="13.5" customHeight="1">
      <c r="P91" s="6"/>
      <c r="AD91" s="6"/>
      <c r="AR91" s="6"/>
      <c r="BF91" s="6"/>
      <c r="BT91" s="6"/>
      <c r="CH91" s="6"/>
    </row>
    <row r="92" ht="13.5" customHeight="1">
      <c r="P92" s="6"/>
      <c r="AD92" s="6"/>
      <c r="AR92" s="6"/>
      <c r="BF92" s="6"/>
      <c r="BT92" s="6"/>
      <c r="CH92" s="6"/>
    </row>
    <row r="93" ht="13.5" customHeight="1">
      <c r="P93" s="6"/>
      <c r="AD93" s="6"/>
      <c r="AR93" s="6"/>
      <c r="BF93" s="6"/>
      <c r="BT93" s="6"/>
      <c r="CH93" s="6"/>
    </row>
    <row r="94" ht="13.5" customHeight="1">
      <c r="P94" s="6"/>
      <c r="AD94" s="6"/>
      <c r="AR94" s="6"/>
      <c r="BF94" s="6"/>
      <c r="BT94" s="6"/>
      <c r="CH94" s="6"/>
    </row>
    <row r="95" ht="13.5" customHeight="1">
      <c r="P95" s="6"/>
      <c r="AD95" s="6"/>
      <c r="AR95" s="6"/>
      <c r="BF95" s="6"/>
      <c r="BT95" s="6"/>
      <c r="CH95" s="6"/>
    </row>
    <row r="96" ht="13.5" customHeight="1">
      <c r="P96" s="6"/>
      <c r="AD96" s="6"/>
      <c r="AR96" s="6"/>
      <c r="BF96" s="6"/>
      <c r="BT96" s="6"/>
      <c r="CH96" s="6"/>
    </row>
    <row r="97" ht="13.5" customHeight="1">
      <c r="P97" s="6"/>
      <c r="AD97" s="6"/>
      <c r="AR97" s="6"/>
      <c r="BF97" s="6"/>
      <c r="BT97" s="6"/>
      <c r="CH97" s="6"/>
    </row>
    <row r="98" ht="13.5" customHeight="1">
      <c r="P98" s="6"/>
      <c r="AD98" s="6"/>
      <c r="AR98" s="6"/>
      <c r="BF98" s="6"/>
      <c r="BT98" s="6"/>
      <c r="CH98" s="6"/>
    </row>
    <row r="99" ht="13.5" customHeight="1">
      <c r="P99" s="6"/>
      <c r="AD99" s="6"/>
      <c r="AR99" s="6"/>
      <c r="BF99" s="6"/>
      <c r="BT99" s="6"/>
      <c r="CH99" s="6"/>
    </row>
    <row r="100" ht="13.5" customHeight="1">
      <c r="P100" s="6"/>
      <c r="AD100" s="6"/>
      <c r="AR100" s="6"/>
      <c r="BF100" s="6"/>
      <c r="BT100" s="6"/>
      <c r="CH100" s="6"/>
    </row>
    <row r="101" ht="13.5" customHeight="1">
      <c r="P101" s="6"/>
      <c r="AD101" s="6"/>
      <c r="AR101" s="6"/>
      <c r="BF101" s="6"/>
      <c r="BT101" s="6"/>
      <c r="CH101" s="6"/>
    </row>
    <row r="102" ht="13.5" customHeight="1">
      <c r="P102" s="6"/>
      <c r="AD102" s="6"/>
      <c r="AR102" s="6"/>
      <c r="BF102" s="6"/>
      <c r="BT102" s="6"/>
      <c r="CH102" s="6"/>
    </row>
    <row r="103" ht="13.5" customHeight="1">
      <c r="P103" s="6"/>
      <c r="AD103" s="6"/>
      <c r="AR103" s="6"/>
      <c r="BF103" s="6"/>
      <c r="BT103" s="6"/>
      <c r="CH103" s="6"/>
    </row>
    <row r="104" ht="13.5" customHeight="1">
      <c r="P104" s="6"/>
      <c r="AD104" s="6"/>
      <c r="AR104" s="6"/>
      <c r="BF104" s="6"/>
      <c r="BT104" s="6"/>
      <c r="CH104" s="6"/>
    </row>
    <row r="105" ht="13.5" customHeight="1">
      <c r="P105" s="6"/>
      <c r="AD105" s="6"/>
      <c r="AR105" s="6"/>
      <c r="BF105" s="6"/>
      <c r="BT105" s="6"/>
      <c r="CH105" s="6"/>
    </row>
    <row r="106" ht="13.5" customHeight="1">
      <c r="P106" s="6"/>
      <c r="AD106" s="6"/>
      <c r="AR106" s="6"/>
      <c r="BF106" s="6"/>
      <c r="BT106" s="6"/>
      <c r="CH106" s="6"/>
    </row>
    <row r="107" ht="13.5" customHeight="1">
      <c r="P107" s="6"/>
      <c r="AD107" s="6"/>
      <c r="AR107" s="6"/>
      <c r="BF107" s="6"/>
      <c r="BT107" s="6"/>
      <c r="CH107" s="6"/>
    </row>
    <row r="108" ht="13.5" customHeight="1">
      <c r="P108" s="6"/>
      <c r="AD108" s="6"/>
      <c r="AR108" s="6"/>
      <c r="BF108" s="6"/>
      <c r="BT108" s="6"/>
      <c r="CH108" s="6"/>
    </row>
    <row r="109" ht="13.5" customHeight="1">
      <c r="P109" s="6"/>
      <c r="AD109" s="6"/>
      <c r="AR109" s="6"/>
      <c r="BF109" s="6"/>
      <c r="BT109" s="6"/>
      <c r="CH109" s="6"/>
    </row>
    <row r="110" ht="13.5" customHeight="1">
      <c r="P110" s="6"/>
      <c r="AD110" s="6"/>
      <c r="AR110" s="6"/>
      <c r="BF110" s="6"/>
      <c r="BT110" s="6"/>
      <c r="CH110" s="6"/>
    </row>
    <row r="111" ht="13.5" customHeight="1">
      <c r="P111" s="6"/>
      <c r="AD111" s="6"/>
      <c r="AR111" s="6"/>
      <c r="BF111" s="6"/>
      <c r="BT111" s="6"/>
      <c r="CH111" s="6"/>
    </row>
    <row r="112" ht="13.5" customHeight="1">
      <c r="P112" s="6"/>
      <c r="AD112" s="6"/>
      <c r="AR112" s="6"/>
      <c r="BF112" s="6"/>
      <c r="BT112" s="6"/>
      <c r="CH112" s="6"/>
    </row>
    <row r="113" ht="13.5" customHeight="1">
      <c r="P113" s="6"/>
      <c r="AD113" s="6"/>
      <c r="AR113" s="6"/>
      <c r="BF113" s="6"/>
      <c r="BT113" s="6"/>
      <c r="CH113" s="6"/>
    </row>
    <row r="114" ht="13.5" customHeight="1">
      <c r="P114" s="6"/>
      <c r="AD114" s="6"/>
      <c r="AR114" s="6"/>
      <c r="BF114" s="6"/>
      <c r="BT114" s="6"/>
      <c r="CH114" s="6"/>
    </row>
    <row r="115" ht="13.5" customHeight="1">
      <c r="P115" s="6"/>
      <c r="AD115" s="6"/>
      <c r="AR115" s="6"/>
      <c r="BF115" s="6"/>
      <c r="BT115" s="6"/>
      <c r="CH115" s="6"/>
    </row>
    <row r="116" ht="13.5" customHeight="1">
      <c r="P116" s="6"/>
      <c r="AD116" s="6"/>
      <c r="AR116" s="6"/>
      <c r="BF116" s="6"/>
      <c r="BT116" s="6"/>
      <c r="CH116" s="6"/>
    </row>
    <row r="117" ht="13.5" customHeight="1">
      <c r="P117" s="6"/>
      <c r="AD117" s="6"/>
      <c r="AR117" s="6"/>
      <c r="BF117" s="6"/>
      <c r="BT117" s="6"/>
      <c r="CH117" s="6"/>
    </row>
    <row r="118" ht="13.5" customHeight="1">
      <c r="P118" s="6"/>
      <c r="AD118" s="6"/>
      <c r="AR118" s="6"/>
      <c r="BF118" s="6"/>
      <c r="BT118" s="6"/>
      <c r="CH118" s="6"/>
    </row>
    <row r="119" ht="13.5" customHeight="1">
      <c r="P119" s="6"/>
      <c r="AD119" s="6"/>
      <c r="AR119" s="6"/>
      <c r="BF119" s="6"/>
      <c r="BT119" s="6"/>
      <c r="CH119" s="6"/>
    </row>
    <row r="120" ht="13.5" customHeight="1">
      <c r="P120" s="6"/>
      <c r="AD120" s="6"/>
      <c r="AR120" s="6"/>
      <c r="BF120" s="6"/>
      <c r="BT120" s="6"/>
      <c r="CH120" s="6"/>
    </row>
    <row r="121" ht="13.5" customHeight="1">
      <c r="P121" s="6"/>
      <c r="AD121" s="6"/>
      <c r="AR121" s="6"/>
      <c r="BF121" s="6"/>
      <c r="BT121" s="6"/>
      <c r="CH121" s="6"/>
    </row>
    <row r="122" ht="13.5" customHeight="1">
      <c r="P122" s="6"/>
      <c r="AD122" s="6"/>
      <c r="AR122" s="6"/>
      <c r="BF122" s="6"/>
      <c r="BT122" s="6"/>
      <c r="CH122" s="6"/>
    </row>
    <row r="123" ht="13.5" customHeight="1">
      <c r="P123" s="6"/>
      <c r="AD123" s="6"/>
      <c r="AR123" s="6"/>
      <c r="BF123" s="6"/>
      <c r="BT123" s="6"/>
      <c r="CH123" s="6"/>
    </row>
    <row r="124" ht="13.5" customHeight="1">
      <c r="P124" s="6"/>
      <c r="AD124" s="6"/>
      <c r="AR124" s="6"/>
      <c r="BF124" s="6"/>
      <c r="BT124" s="6"/>
      <c r="CH124" s="6"/>
    </row>
    <row r="125" ht="13.5" customHeight="1">
      <c r="P125" s="6"/>
      <c r="AD125" s="6"/>
      <c r="AR125" s="6"/>
      <c r="BF125" s="6"/>
      <c r="BT125" s="6"/>
      <c r="CH125" s="6"/>
    </row>
    <row r="126" ht="13.5" customHeight="1">
      <c r="P126" s="6"/>
      <c r="AD126" s="6"/>
      <c r="AR126" s="6"/>
      <c r="BF126" s="6"/>
      <c r="BT126" s="6"/>
      <c r="CH126" s="6"/>
    </row>
    <row r="127" ht="13.5" customHeight="1">
      <c r="P127" s="6"/>
      <c r="AD127" s="6"/>
      <c r="AR127" s="6"/>
      <c r="BF127" s="6"/>
      <c r="BT127" s="6"/>
      <c r="CH127" s="6"/>
    </row>
    <row r="128" ht="13.5" customHeight="1">
      <c r="P128" s="6"/>
      <c r="AD128" s="6"/>
      <c r="AR128" s="6"/>
      <c r="BF128" s="6"/>
      <c r="BT128" s="6"/>
      <c r="CH128" s="6"/>
    </row>
    <row r="129" ht="13.5" customHeight="1">
      <c r="P129" s="6"/>
      <c r="AD129" s="6"/>
      <c r="AR129" s="6"/>
      <c r="BF129" s="6"/>
      <c r="BT129" s="6"/>
      <c r="CH129" s="6"/>
    </row>
    <row r="130" ht="13.5" customHeight="1">
      <c r="P130" s="6"/>
      <c r="AD130" s="6"/>
      <c r="AR130" s="6"/>
      <c r="BF130" s="6"/>
      <c r="BT130" s="6"/>
      <c r="CH130" s="6"/>
    </row>
    <row r="131" ht="13.5" customHeight="1">
      <c r="P131" s="6"/>
      <c r="AD131" s="6"/>
      <c r="AR131" s="6"/>
      <c r="BF131" s="6"/>
      <c r="BT131" s="6"/>
      <c r="CH131" s="6"/>
    </row>
    <row r="132" ht="13.5" customHeight="1">
      <c r="P132" s="6"/>
      <c r="AD132" s="6"/>
      <c r="AR132" s="6"/>
      <c r="BF132" s="6"/>
      <c r="BT132" s="6"/>
      <c r="CH132" s="6"/>
    </row>
    <row r="133" ht="13.5" customHeight="1">
      <c r="P133" s="6"/>
      <c r="AD133" s="6"/>
      <c r="AR133" s="6"/>
      <c r="BF133" s="6"/>
      <c r="BT133" s="6"/>
      <c r="CH133" s="6"/>
    </row>
    <row r="134" ht="13.5" customHeight="1">
      <c r="P134" s="6"/>
      <c r="AD134" s="6"/>
      <c r="AR134" s="6"/>
      <c r="BF134" s="6"/>
      <c r="BT134" s="6"/>
      <c r="CH134" s="6"/>
    </row>
    <row r="135" ht="13.5" customHeight="1">
      <c r="P135" s="6"/>
      <c r="AD135" s="6"/>
      <c r="AR135" s="6"/>
      <c r="BF135" s="6"/>
      <c r="BT135" s="6"/>
      <c r="CH135" s="6"/>
    </row>
    <row r="136" ht="13.5" customHeight="1">
      <c r="P136" s="6"/>
      <c r="AD136" s="6"/>
      <c r="AR136" s="6"/>
      <c r="BF136" s="6"/>
      <c r="BT136" s="6"/>
      <c r="CH136" s="6"/>
    </row>
    <row r="137" ht="13.5" customHeight="1">
      <c r="P137" s="6"/>
      <c r="AD137" s="6"/>
      <c r="AR137" s="6"/>
      <c r="BF137" s="6"/>
      <c r="BT137" s="6"/>
      <c r="CH137" s="6"/>
    </row>
    <row r="138" ht="13.5" customHeight="1">
      <c r="P138" s="6"/>
      <c r="AD138" s="6"/>
      <c r="AR138" s="6"/>
      <c r="BF138" s="6"/>
      <c r="BT138" s="6"/>
      <c r="CH138" s="6"/>
    </row>
    <row r="139" ht="13.5" customHeight="1">
      <c r="P139" s="6"/>
      <c r="AD139" s="6"/>
      <c r="AR139" s="6"/>
      <c r="BF139" s="6"/>
      <c r="BT139" s="6"/>
      <c r="CH139" s="6"/>
    </row>
    <row r="140" ht="13.5" customHeight="1">
      <c r="P140" s="6"/>
      <c r="AD140" s="6"/>
      <c r="AR140" s="6"/>
      <c r="BF140" s="6"/>
      <c r="BT140" s="6"/>
      <c r="CH140" s="6"/>
    </row>
    <row r="141" ht="13.5" customHeight="1">
      <c r="P141" s="6"/>
      <c r="AD141" s="6"/>
      <c r="AR141" s="6"/>
      <c r="BF141" s="6"/>
      <c r="BT141" s="6"/>
      <c r="CH141" s="6"/>
    </row>
    <row r="142" ht="13.5" customHeight="1">
      <c r="P142" s="6"/>
      <c r="AD142" s="6"/>
      <c r="AR142" s="6"/>
      <c r="BF142" s="6"/>
      <c r="BT142" s="6"/>
      <c r="CH142" s="6"/>
    </row>
    <row r="143" ht="13.5" customHeight="1">
      <c r="P143" s="6"/>
      <c r="AD143" s="6"/>
      <c r="AR143" s="6"/>
      <c r="BF143" s="6"/>
      <c r="BT143" s="6"/>
      <c r="CH143" s="6"/>
    </row>
    <row r="144" ht="13.5" customHeight="1">
      <c r="P144" s="6"/>
      <c r="AD144" s="6"/>
      <c r="AR144" s="6"/>
      <c r="BF144" s="6"/>
      <c r="BT144" s="6"/>
      <c r="CH144" s="6"/>
    </row>
    <row r="145" ht="13.5" customHeight="1">
      <c r="P145" s="6"/>
      <c r="AD145" s="6"/>
      <c r="AR145" s="6"/>
      <c r="BF145" s="6"/>
      <c r="BT145" s="6"/>
      <c r="CH145" s="6"/>
    </row>
    <row r="146" ht="13.5" customHeight="1">
      <c r="P146" s="6"/>
      <c r="AD146" s="6"/>
      <c r="AR146" s="6"/>
      <c r="BF146" s="6"/>
      <c r="BT146" s="6"/>
      <c r="CH146" s="6"/>
    </row>
    <row r="147" ht="13.5" customHeight="1">
      <c r="P147" s="6"/>
      <c r="AD147" s="6"/>
      <c r="AR147" s="6"/>
      <c r="BF147" s="6"/>
      <c r="BT147" s="6"/>
      <c r="CH147" s="6"/>
    </row>
    <row r="148" ht="13.5" customHeight="1">
      <c r="P148" s="6"/>
      <c r="AD148" s="6"/>
      <c r="AR148" s="6"/>
      <c r="BF148" s="6"/>
      <c r="BT148" s="6"/>
      <c r="CH148" s="6"/>
    </row>
    <row r="149" ht="13.5" customHeight="1">
      <c r="P149" s="6"/>
      <c r="AD149" s="6"/>
      <c r="AR149" s="6"/>
      <c r="BF149" s="6"/>
      <c r="BT149" s="6"/>
      <c r="CH149" s="6"/>
    </row>
    <row r="150" ht="13.5" customHeight="1">
      <c r="P150" s="6"/>
      <c r="AD150" s="6"/>
      <c r="AR150" s="6"/>
      <c r="BF150" s="6"/>
      <c r="BT150" s="6"/>
      <c r="CH150" s="6"/>
    </row>
    <row r="151" ht="13.5" customHeight="1">
      <c r="P151" s="6"/>
      <c r="AD151" s="6"/>
      <c r="AR151" s="6"/>
      <c r="BF151" s="6"/>
      <c r="BT151" s="6"/>
      <c r="CH151" s="6"/>
    </row>
    <row r="152" ht="13.5" customHeight="1">
      <c r="P152" s="6"/>
      <c r="AD152" s="6"/>
      <c r="AR152" s="6"/>
      <c r="BF152" s="6"/>
      <c r="BT152" s="6"/>
      <c r="CH152" s="6"/>
    </row>
    <row r="153" ht="13.5" customHeight="1">
      <c r="P153" s="6"/>
      <c r="AD153" s="6"/>
      <c r="AR153" s="6"/>
      <c r="BF153" s="6"/>
      <c r="BT153" s="6"/>
      <c r="CH153" s="6"/>
    </row>
    <row r="154" ht="13.5" customHeight="1">
      <c r="P154" s="6"/>
      <c r="AD154" s="6"/>
      <c r="AR154" s="6"/>
      <c r="BF154" s="6"/>
      <c r="BT154" s="6"/>
      <c r="CH154" s="6"/>
    </row>
    <row r="155" ht="13.5" customHeight="1">
      <c r="P155" s="6"/>
      <c r="AD155" s="6"/>
      <c r="AR155" s="6"/>
      <c r="BF155" s="6"/>
      <c r="BT155" s="6"/>
      <c r="CH155" s="6"/>
    </row>
    <row r="156" ht="13.5" customHeight="1">
      <c r="P156" s="6"/>
      <c r="AD156" s="6"/>
      <c r="AR156" s="6"/>
      <c r="BF156" s="6"/>
      <c r="BT156" s="6"/>
      <c r="CH156" s="6"/>
    </row>
    <row r="157" ht="13.5" customHeight="1">
      <c r="P157" s="6"/>
      <c r="AD157" s="6"/>
      <c r="AR157" s="6"/>
      <c r="BF157" s="6"/>
      <c r="BT157" s="6"/>
      <c r="CH157" s="6"/>
    </row>
    <row r="158" ht="13.5" customHeight="1">
      <c r="P158" s="6"/>
      <c r="AD158" s="6"/>
      <c r="AR158" s="6"/>
      <c r="BF158" s="6"/>
      <c r="BT158" s="6"/>
      <c r="CH158" s="6"/>
    </row>
    <row r="159" ht="13.5" customHeight="1">
      <c r="P159" s="6"/>
      <c r="AD159" s="6"/>
      <c r="AR159" s="6"/>
      <c r="BF159" s="6"/>
      <c r="BT159" s="6"/>
      <c r="CH159" s="6"/>
    </row>
    <row r="160" ht="13.5" customHeight="1">
      <c r="P160" s="6"/>
      <c r="AD160" s="6"/>
      <c r="AR160" s="6"/>
      <c r="BF160" s="6"/>
      <c r="BT160" s="6"/>
      <c r="CH160" s="6"/>
    </row>
    <row r="161" ht="13.5" customHeight="1">
      <c r="P161" s="6"/>
      <c r="AD161" s="6"/>
      <c r="AR161" s="6"/>
      <c r="BF161" s="6"/>
      <c r="BT161" s="6"/>
      <c r="CH161" s="6"/>
    </row>
    <row r="162" ht="13.5" customHeight="1">
      <c r="P162" s="6"/>
      <c r="AD162" s="6"/>
      <c r="AR162" s="6"/>
      <c r="BF162" s="6"/>
      <c r="BT162" s="6"/>
      <c r="CH162" s="6"/>
    </row>
    <row r="163" ht="13.5" customHeight="1">
      <c r="P163" s="6"/>
      <c r="AD163" s="6"/>
      <c r="AR163" s="6"/>
      <c r="BF163" s="6"/>
      <c r="BT163" s="6"/>
      <c r="CH163" s="6"/>
    </row>
    <row r="164" ht="13.5" customHeight="1">
      <c r="P164" s="6"/>
      <c r="AD164" s="6"/>
      <c r="AR164" s="6"/>
      <c r="BF164" s="6"/>
      <c r="BT164" s="6"/>
      <c r="CH164" s="6"/>
    </row>
    <row r="165" ht="13.5" customHeight="1">
      <c r="P165" s="6"/>
      <c r="AD165" s="6"/>
      <c r="AR165" s="6"/>
      <c r="BF165" s="6"/>
      <c r="BT165" s="6"/>
      <c r="CH165" s="6"/>
    </row>
    <row r="166" ht="13.5" customHeight="1">
      <c r="P166" s="6"/>
      <c r="AD166" s="6"/>
      <c r="AR166" s="6"/>
      <c r="BF166" s="6"/>
      <c r="BT166" s="6"/>
      <c r="CH166" s="6"/>
    </row>
    <row r="167" ht="13.5" customHeight="1">
      <c r="P167" s="6"/>
      <c r="AD167" s="6"/>
      <c r="AR167" s="6"/>
      <c r="BF167" s="6"/>
      <c r="BT167" s="6"/>
      <c r="CH167" s="6"/>
    </row>
    <row r="168" ht="13.5" customHeight="1">
      <c r="P168" s="6"/>
      <c r="AD168" s="6"/>
      <c r="AR168" s="6"/>
      <c r="BF168" s="6"/>
      <c r="BT168" s="6"/>
      <c r="CH168" s="6"/>
    </row>
    <row r="169" ht="13.5" customHeight="1">
      <c r="P169" s="6"/>
      <c r="AD169" s="6"/>
      <c r="AR169" s="6"/>
      <c r="BF169" s="6"/>
      <c r="BT169" s="6"/>
      <c r="CH169" s="6"/>
    </row>
    <row r="170" ht="13.5" customHeight="1">
      <c r="P170" s="6"/>
      <c r="AD170" s="6"/>
      <c r="AR170" s="6"/>
      <c r="BF170" s="6"/>
      <c r="BT170" s="6"/>
      <c r="CH170" s="6"/>
    </row>
    <row r="171" ht="13.5" customHeight="1">
      <c r="P171" s="6"/>
      <c r="AD171" s="6"/>
      <c r="AR171" s="6"/>
      <c r="BF171" s="6"/>
      <c r="BT171" s="6"/>
      <c r="CH171" s="6"/>
    </row>
    <row r="172" ht="13.5" customHeight="1">
      <c r="P172" s="6"/>
      <c r="AD172" s="6"/>
      <c r="AR172" s="6"/>
      <c r="BF172" s="6"/>
      <c r="BT172" s="6"/>
      <c r="CH172" s="6"/>
    </row>
    <row r="173" ht="13.5" customHeight="1">
      <c r="P173" s="6"/>
      <c r="AD173" s="6"/>
      <c r="AR173" s="6"/>
      <c r="BF173" s="6"/>
      <c r="BT173" s="6"/>
      <c r="CH173" s="6"/>
    </row>
    <row r="174" ht="13.5" customHeight="1">
      <c r="P174" s="6"/>
      <c r="AD174" s="6"/>
      <c r="AR174" s="6"/>
      <c r="BF174" s="6"/>
      <c r="BT174" s="6"/>
      <c r="CH174" s="6"/>
    </row>
    <row r="175" ht="13.5" customHeight="1">
      <c r="P175" s="6"/>
      <c r="AD175" s="6"/>
      <c r="AR175" s="6"/>
      <c r="BF175" s="6"/>
      <c r="BT175" s="6"/>
      <c r="CH175" s="6"/>
    </row>
    <row r="176" ht="13.5" customHeight="1">
      <c r="P176" s="6"/>
      <c r="AD176" s="6"/>
      <c r="AR176" s="6"/>
      <c r="BF176" s="6"/>
      <c r="BT176" s="6"/>
      <c r="CH176" s="6"/>
    </row>
    <row r="177" ht="13.5" customHeight="1">
      <c r="P177" s="6"/>
      <c r="AD177" s="6"/>
      <c r="AR177" s="6"/>
      <c r="BF177" s="6"/>
      <c r="BT177" s="6"/>
      <c r="CH177" s="6"/>
    </row>
    <row r="178" ht="13.5" customHeight="1">
      <c r="P178" s="6"/>
      <c r="AD178" s="6"/>
      <c r="AR178" s="6"/>
      <c r="BF178" s="6"/>
      <c r="BT178" s="6"/>
      <c r="CH178" s="6"/>
    </row>
    <row r="179" ht="13.5" customHeight="1">
      <c r="P179" s="6"/>
      <c r="AD179" s="6"/>
      <c r="AR179" s="6"/>
      <c r="BF179" s="6"/>
      <c r="BT179" s="6"/>
      <c r="CH179" s="6"/>
    </row>
    <row r="180" ht="13.5" customHeight="1">
      <c r="P180" s="6"/>
      <c r="AD180" s="6"/>
      <c r="AR180" s="6"/>
      <c r="BF180" s="6"/>
      <c r="BT180" s="6"/>
      <c r="CH180" s="6"/>
    </row>
    <row r="181" ht="13.5" customHeight="1">
      <c r="P181" s="6"/>
      <c r="AD181" s="6"/>
      <c r="AR181" s="6"/>
      <c r="BF181" s="6"/>
      <c r="BT181" s="6"/>
      <c r="CH181" s="6"/>
    </row>
    <row r="182" ht="13.5" customHeight="1">
      <c r="P182" s="6"/>
      <c r="AD182" s="6"/>
      <c r="AR182" s="6"/>
      <c r="BF182" s="6"/>
      <c r="BT182" s="6"/>
      <c r="CH182" s="6"/>
    </row>
    <row r="183" ht="13.5" customHeight="1">
      <c r="P183" s="6"/>
      <c r="AD183" s="6"/>
      <c r="AR183" s="6"/>
      <c r="BF183" s="6"/>
      <c r="BT183" s="6"/>
      <c r="CH183" s="6"/>
    </row>
    <row r="184" ht="13.5" customHeight="1">
      <c r="P184" s="6"/>
      <c r="AD184" s="6"/>
      <c r="AR184" s="6"/>
      <c r="BF184" s="6"/>
      <c r="BT184" s="6"/>
      <c r="CH184" s="6"/>
    </row>
    <row r="185" ht="13.5" customHeight="1">
      <c r="P185" s="6"/>
      <c r="AD185" s="6"/>
      <c r="AR185" s="6"/>
      <c r="BF185" s="6"/>
      <c r="BT185" s="6"/>
      <c r="CH185" s="6"/>
    </row>
    <row r="186" ht="13.5" customHeight="1">
      <c r="P186" s="6"/>
      <c r="AD186" s="6"/>
      <c r="AR186" s="6"/>
      <c r="BF186" s="6"/>
      <c r="BT186" s="6"/>
      <c r="CH186" s="6"/>
    </row>
    <row r="187" ht="13.5" customHeight="1">
      <c r="P187" s="6"/>
      <c r="AD187" s="6"/>
      <c r="AR187" s="6"/>
      <c r="BF187" s="6"/>
      <c r="BT187" s="6"/>
      <c r="CH187" s="6"/>
    </row>
    <row r="188" ht="13.5" customHeight="1">
      <c r="P188" s="6"/>
      <c r="AD188" s="6"/>
      <c r="AR188" s="6"/>
      <c r="BF188" s="6"/>
      <c r="BT188" s="6"/>
      <c r="CH188" s="6"/>
    </row>
    <row r="189" ht="13.5" customHeight="1">
      <c r="P189" s="6"/>
      <c r="AD189" s="6"/>
      <c r="AR189" s="6"/>
      <c r="BF189" s="6"/>
      <c r="BT189" s="6"/>
      <c r="CH189" s="6"/>
    </row>
    <row r="190" ht="13.5" customHeight="1">
      <c r="P190" s="6"/>
      <c r="AD190" s="6"/>
      <c r="AR190" s="6"/>
      <c r="BF190" s="6"/>
      <c r="BT190" s="6"/>
      <c r="CH190" s="6"/>
    </row>
    <row r="191" ht="13.5" customHeight="1">
      <c r="P191" s="6"/>
      <c r="AD191" s="6"/>
      <c r="AR191" s="6"/>
      <c r="BF191" s="6"/>
      <c r="BT191" s="6"/>
      <c r="CH191" s="6"/>
    </row>
    <row r="192" ht="13.5" customHeight="1">
      <c r="P192" s="6"/>
      <c r="AD192" s="6"/>
      <c r="AR192" s="6"/>
      <c r="BF192" s="6"/>
      <c r="BT192" s="6"/>
      <c r="CH192" s="6"/>
    </row>
    <row r="193" ht="13.5" customHeight="1">
      <c r="P193" s="6"/>
      <c r="AD193" s="6"/>
      <c r="AR193" s="6"/>
      <c r="BF193" s="6"/>
      <c r="BT193" s="6"/>
      <c r="CH193" s="6"/>
    </row>
    <row r="194" ht="13.5" customHeight="1">
      <c r="P194" s="6"/>
      <c r="AD194" s="6"/>
      <c r="AR194" s="6"/>
      <c r="BF194" s="6"/>
      <c r="BT194" s="6"/>
      <c r="CH194" s="6"/>
    </row>
    <row r="195" ht="13.5" customHeight="1">
      <c r="P195" s="6"/>
      <c r="AD195" s="6"/>
      <c r="AR195" s="6"/>
      <c r="BF195" s="6"/>
      <c r="BT195" s="6"/>
      <c r="CH195" s="6"/>
    </row>
    <row r="196" ht="13.5" customHeight="1">
      <c r="P196" s="6"/>
      <c r="AD196" s="6"/>
      <c r="AR196" s="6"/>
      <c r="BF196" s="6"/>
      <c r="BT196" s="6"/>
      <c r="CH196" s="6"/>
    </row>
    <row r="197" ht="13.5" customHeight="1">
      <c r="P197" s="6"/>
      <c r="AD197" s="6"/>
      <c r="AR197" s="6"/>
      <c r="BF197" s="6"/>
      <c r="BT197" s="6"/>
      <c r="CH197" s="6"/>
    </row>
    <row r="198" ht="13.5" customHeight="1">
      <c r="P198" s="6"/>
      <c r="AD198" s="6"/>
      <c r="AR198" s="6"/>
      <c r="BF198" s="6"/>
      <c r="BT198" s="6"/>
      <c r="CH198" s="6"/>
    </row>
    <row r="199" ht="13.5" customHeight="1">
      <c r="P199" s="6"/>
      <c r="AD199" s="6"/>
      <c r="AR199" s="6"/>
      <c r="BF199" s="6"/>
      <c r="BT199" s="6"/>
      <c r="CH199" s="6"/>
    </row>
    <row r="200" ht="13.5" customHeight="1">
      <c r="P200" s="6"/>
      <c r="AD200" s="6"/>
      <c r="AR200" s="6"/>
      <c r="BF200" s="6"/>
      <c r="BT200" s="6"/>
      <c r="CH200" s="6"/>
    </row>
    <row r="201" ht="13.5" customHeight="1">
      <c r="P201" s="6"/>
      <c r="AD201" s="6"/>
      <c r="AR201" s="6"/>
      <c r="BF201" s="6"/>
      <c r="BT201" s="6"/>
      <c r="CH201" s="6"/>
    </row>
    <row r="202" ht="13.5" customHeight="1">
      <c r="P202" s="6"/>
      <c r="AD202" s="6"/>
      <c r="AR202" s="6"/>
      <c r="BF202" s="6"/>
      <c r="BT202" s="6"/>
      <c r="CH202" s="6"/>
    </row>
    <row r="203" ht="13.5" customHeight="1">
      <c r="P203" s="6"/>
      <c r="AD203" s="6"/>
      <c r="AR203" s="6"/>
      <c r="BF203" s="6"/>
      <c r="BT203" s="6"/>
      <c r="CH203" s="6"/>
    </row>
    <row r="204" ht="13.5" customHeight="1">
      <c r="P204" s="6"/>
      <c r="AD204" s="6"/>
      <c r="AR204" s="6"/>
      <c r="BF204" s="6"/>
      <c r="BT204" s="6"/>
      <c r="CH204" s="6"/>
    </row>
    <row r="205" ht="13.5" customHeight="1">
      <c r="P205" s="6"/>
      <c r="AD205" s="6"/>
      <c r="AR205" s="6"/>
      <c r="BF205" s="6"/>
      <c r="BT205" s="6"/>
      <c r="CH205" s="6"/>
    </row>
    <row r="206" ht="13.5" customHeight="1">
      <c r="P206" s="6"/>
      <c r="AD206" s="6"/>
      <c r="AR206" s="6"/>
      <c r="BF206" s="6"/>
      <c r="BT206" s="6"/>
      <c r="CH206" s="6"/>
    </row>
    <row r="207" ht="13.5" customHeight="1">
      <c r="P207" s="6"/>
      <c r="AD207" s="6"/>
      <c r="AR207" s="6"/>
      <c r="BF207" s="6"/>
      <c r="BT207" s="6"/>
      <c r="CH207" s="6"/>
    </row>
    <row r="208" ht="13.5" customHeight="1">
      <c r="P208" s="6"/>
      <c r="AD208" s="6"/>
      <c r="AR208" s="6"/>
      <c r="BF208" s="6"/>
      <c r="BT208" s="6"/>
      <c r="CH208" s="6"/>
    </row>
    <row r="209" ht="13.5" customHeight="1">
      <c r="P209" s="6"/>
      <c r="AD209" s="6"/>
      <c r="AR209" s="6"/>
      <c r="BF209" s="6"/>
      <c r="BT209" s="6"/>
      <c r="CH209" s="6"/>
    </row>
    <row r="210" ht="13.5" customHeight="1">
      <c r="P210" s="6"/>
      <c r="AD210" s="6"/>
      <c r="AR210" s="6"/>
      <c r="BF210" s="6"/>
      <c r="BT210" s="6"/>
      <c r="CH210" s="6"/>
    </row>
    <row r="211" ht="13.5" customHeight="1">
      <c r="P211" s="6"/>
      <c r="AD211" s="6"/>
      <c r="AR211" s="6"/>
      <c r="BF211" s="6"/>
      <c r="BT211" s="6"/>
      <c r="CH211" s="6"/>
    </row>
    <row r="212" ht="13.5" customHeight="1">
      <c r="P212" s="6"/>
      <c r="AD212" s="6"/>
      <c r="AR212" s="6"/>
      <c r="BF212" s="6"/>
      <c r="BT212" s="6"/>
      <c r="CH212" s="6"/>
    </row>
    <row r="213" ht="13.5" customHeight="1">
      <c r="P213" s="6"/>
      <c r="AD213" s="6"/>
      <c r="AR213" s="6"/>
      <c r="BF213" s="6"/>
      <c r="BT213" s="6"/>
      <c r="CH213" s="6"/>
    </row>
    <row r="214" ht="13.5" customHeight="1">
      <c r="P214" s="6"/>
      <c r="AD214" s="6"/>
      <c r="AR214" s="6"/>
      <c r="BF214" s="6"/>
      <c r="BT214" s="6"/>
      <c r="CH214" s="6"/>
    </row>
    <row r="215" ht="13.5" customHeight="1">
      <c r="P215" s="6"/>
      <c r="AD215" s="6"/>
      <c r="AR215" s="6"/>
      <c r="BF215" s="6"/>
      <c r="BT215" s="6"/>
      <c r="CH215" s="6"/>
    </row>
    <row r="216" ht="13.5" customHeight="1">
      <c r="P216" s="6"/>
      <c r="AD216" s="6"/>
      <c r="AR216" s="6"/>
      <c r="BF216" s="6"/>
      <c r="BT216" s="6"/>
      <c r="CH216" s="6"/>
    </row>
    <row r="217" ht="13.5" customHeight="1">
      <c r="P217" s="6"/>
      <c r="AD217" s="6"/>
      <c r="AR217" s="6"/>
      <c r="BF217" s="6"/>
      <c r="BT217" s="6"/>
      <c r="CH217" s="6"/>
    </row>
    <row r="218" ht="13.5" customHeight="1">
      <c r="P218" s="6"/>
      <c r="AD218" s="6"/>
      <c r="AR218" s="6"/>
      <c r="BF218" s="6"/>
      <c r="BT218" s="6"/>
      <c r="CH218" s="6"/>
    </row>
    <row r="219" ht="13.5" customHeight="1">
      <c r="P219" s="6"/>
      <c r="AD219" s="6"/>
      <c r="AR219" s="6"/>
      <c r="BF219" s="6"/>
      <c r="BT219" s="6"/>
      <c r="CH219" s="6"/>
    </row>
    <row r="220" ht="13.5" customHeight="1">
      <c r="P220" s="6"/>
      <c r="AD220" s="6"/>
      <c r="AR220" s="6"/>
      <c r="BF220" s="6"/>
      <c r="BT220" s="6"/>
      <c r="CH220" s="6"/>
    </row>
    <row r="221" ht="13.5" customHeight="1">
      <c r="P221" s="6"/>
      <c r="AD221" s="6"/>
      <c r="AR221" s="6"/>
      <c r="BF221" s="6"/>
      <c r="BT221" s="6"/>
      <c r="CH221" s="6"/>
    </row>
    <row r="222" ht="13.5" customHeight="1">
      <c r="P222" s="6"/>
      <c r="AD222" s="6"/>
      <c r="AR222" s="6"/>
      <c r="BF222" s="6"/>
      <c r="BT222" s="6"/>
      <c r="CH222" s="6"/>
    </row>
    <row r="223" ht="13.5" customHeight="1">
      <c r="P223" s="6"/>
      <c r="AD223" s="6"/>
      <c r="AR223" s="6"/>
      <c r="BF223" s="6"/>
      <c r="BT223" s="6"/>
      <c r="CH223" s="6"/>
    </row>
    <row r="224" ht="13.5" customHeight="1">
      <c r="P224" s="6"/>
      <c r="AD224" s="6"/>
      <c r="AR224" s="6"/>
      <c r="BF224" s="6"/>
      <c r="BT224" s="6"/>
      <c r="CH224" s="6"/>
    </row>
    <row r="225" ht="13.5" customHeight="1">
      <c r="P225" s="6"/>
      <c r="AD225" s="6"/>
      <c r="AR225" s="6"/>
      <c r="BF225" s="6"/>
      <c r="BT225" s="6"/>
      <c r="CH225" s="6"/>
    </row>
    <row r="226" ht="13.5" customHeight="1">
      <c r="P226" s="6"/>
      <c r="AD226" s="6"/>
      <c r="AR226" s="6"/>
      <c r="BF226" s="6"/>
      <c r="BT226" s="6"/>
      <c r="CH226" s="6"/>
    </row>
    <row r="227" ht="13.5" customHeight="1">
      <c r="P227" s="6"/>
      <c r="AD227" s="6"/>
      <c r="AR227" s="6"/>
      <c r="BF227" s="6"/>
      <c r="BT227" s="6"/>
      <c r="CH227" s="6"/>
    </row>
    <row r="228" ht="13.5" customHeight="1">
      <c r="P228" s="6"/>
      <c r="AD228" s="6"/>
      <c r="AR228" s="6"/>
      <c r="BF228" s="6"/>
      <c r="BT228" s="6"/>
      <c r="CH228" s="6"/>
    </row>
    <row r="229" ht="13.5" customHeight="1">
      <c r="P229" s="6"/>
      <c r="AD229" s="6"/>
      <c r="AR229" s="6"/>
      <c r="BF229" s="6"/>
      <c r="BT229" s="6"/>
      <c r="CH229" s="6"/>
    </row>
    <row r="230" ht="13.5" customHeight="1">
      <c r="P230" s="6"/>
      <c r="AD230" s="6"/>
      <c r="AR230" s="6"/>
      <c r="BF230" s="6"/>
      <c r="BT230" s="6"/>
      <c r="CH230" s="6"/>
    </row>
    <row r="231" ht="13.5" customHeight="1">
      <c r="P231" s="6"/>
      <c r="AD231" s="6"/>
      <c r="AR231" s="6"/>
      <c r="BF231" s="6"/>
      <c r="BT231" s="6"/>
      <c r="CH231" s="6"/>
    </row>
    <row r="232" ht="13.5" customHeight="1">
      <c r="P232" s="6"/>
      <c r="AD232" s="6"/>
      <c r="AR232" s="6"/>
      <c r="BF232" s="6"/>
      <c r="BT232" s="6"/>
      <c r="CH232" s="6"/>
    </row>
    <row r="233" ht="13.5" customHeight="1">
      <c r="P233" s="6"/>
      <c r="AD233" s="6"/>
      <c r="AR233" s="6"/>
      <c r="BF233" s="6"/>
      <c r="BT233" s="6"/>
      <c r="CH233" s="6"/>
    </row>
    <row r="234" ht="13.5" customHeight="1">
      <c r="P234" s="6"/>
      <c r="AD234" s="6"/>
      <c r="AR234" s="6"/>
      <c r="BF234" s="6"/>
      <c r="BT234" s="6"/>
      <c r="CH234" s="6"/>
    </row>
    <row r="235" ht="13.5" customHeight="1">
      <c r="P235" s="6"/>
      <c r="AD235" s="6"/>
      <c r="AR235" s="6"/>
      <c r="BF235" s="6"/>
      <c r="BT235" s="6"/>
      <c r="CH235" s="6"/>
    </row>
    <row r="236" ht="13.5" customHeight="1">
      <c r="P236" s="6"/>
      <c r="AD236" s="6"/>
      <c r="AR236" s="6"/>
      <c r="BF236" s="6"/>
      <c r="BT236" s="6"/>
      <c r="CH236" s="6"/>
    </row>
    <row r="237" ht="13.5" customHeight="1">
      <c r="P237" s="6"/>
      <c r="AD237" s="6"/>
      <c r="AR237" s="6"/>
      <c r="BF237" s="6"/>
      <c r="BT237" s="6"/>
      <c r="CH237" s="6"/>
    </row>
    <row r="238" ht="13.5" customHeight="1">
      <c r="P238" s="6"/>
      <c r="AD238" s="6"/>
      <c r="AR238" s="6"/>
      <c r="BF238" s="6"/>
      <c r="BT238" s="6"/>
      <c r="CH238" s="6"/>
    </row>
    <row r="239" ht="13.5" customHeight="1">
      <c r="P239" s="6"/>
      <c r="AD239" s="6"/>
      <c r="AR239" s="6"/>
      <c r="BF239" s="6"/>
      <c r="BT239" s="6"/>
      <c r="CH239" s="6"/>
    </row>
    <row r="240" ht="13.5" customHeight="1">
      <c r="P240" s="6"/>
      <c r="AD240" s="6"/>
      <c r="AR240" s="6"/>
      <c r="BF240" s="6"/>
      <c r="BT240" s="6"/>
      <c r="CH240" s="6"/>
    </row>
    <row r="241" ht="13.5" customHeight="1">
      <c r="P241" s="6"/>
      <c r="AD241" s="6"/>
      <c r="AR241" s="6"/>
      <c r="BF241" s="6"/>
      <c r="BT241" s="6"/>
      <c r="CH241" s="6"/>
    </row>
    <row r="242" ht="13.5" customHeight="1">
      <c r="P242" s="6"/>
      <c r="AD242" s="6"/>
      <c r="AR242" s="6"/>
      <c r="BF242" s="6"/>
      <c r="BT242" s="6"/>
      <c r="CH242" s="6"/>
    </row>
    <row r="243" ht="13.5" customHeight="1">
      <c r="P243" s="6"/>
      <c r="AD243" s="6"/>
      <c r="AR243" s="6"/>
      <c r="BF243" s="6"/>
      <c r="BT243" s="6"/>
      <c r="CH243" s="6"/>
    </row>
    <row r="244" ht="13.5" customHeight="1">
      <c r="P244" s="6"/>
      <c r="AD244" s="6"/>
      <c r="AR244" s="6"/>
      <c r="BF244" s="6"/>
      <c r="BT244" s="6"/>
      <c r="CH244" s="6"/>
    </row>
    <row r="245" ht="13.5" customHeight="1">
      <c r="P245" s="6"/>
      <c r="AD245" s="6"/>
      <c r="AR245" s="6"/>
      <c r="BF245" s="6"/>
      <c r="BT245" s="6"/>
      <c r="CH245" s="6"/>
    </row>
    <row r="246" ht="13.5" customHeight="1">
      <c r="P246" s="6"/>
      <c r="AD246" s="6"/>
      <c r="AR246" s="6"/>
      <c r="BF246" s="6"/>
      <c r="BT246" s="6"/>
      <c r="CH246" s="6"/>
    </row>
    <row r="247" ht="13.5" customHeight="1">
      <c r="P247" s="6"/>
      <c r="AD247" s="6"/>
      <c r="AR247" s="6"/>
      <c r="BF247" s="6"/>
      <c r="BT247" s="6"/>
      <c r="CH247" s="6"/>
    </row>
    <row r="248" ht="13.5" customHeight="1">
      <c r="P248" s="6"/>
      <c r="AD248" s="6"/>
      <c r="AR248" s="6"/>
      <c r="BF248" s="6"/>
      <c r="BT248" s="6"/>
      <c r="CH248" s="6"/>
    </row>
    <row r="249" ht="13.5" customHeight="1">
      <c r="P249" s="6"/>
      <c r="AD249" s="6"/>
      <c r="AR249" s="6"/>
      <c r="BF249" s="6"/>
      <c r="BT249" s="6"/>
      <c r="CH249" s="6"/>
    </row>
    <row r="250" ht="13.5" customHeight="1">
      <c r="P250" s="6"/>
      <c r="AD250" s="6"/>
      <c r="AR250" s="6"/>
      <c r="BF250" s="6"/>
      <c r="BT250" s="6"/>
      <c r="CH250" s="6"/>
    </row>
    <row r="251" ht="13.5" customHeight="1">
      <c r="P251" s="6"/>
      <c r="AD251" s="6"/>
      <c r="AR251" s="6"/>
      <c r="BF251" s="6"/>
      <c r="BT251" s="6"/>
      <c r="CH251" s="6"/>
    </row>
    <row r="252" ht="13.5" customHeight="1">
      <c r="P252" s="6"/>
      <c r="AD252" s="6"/>
      <c r="AR252" s="6"/>
      <c r="BF252" s="6"/>
      <c r="BT252" s="6"/>
      <c r="CH252" s="6"/>
    </row>
    <row r="253" ht="13.5" customHeight="1">
      <c r="P253" s="6"/>
      <c r="AD253" s="6"/>
      <c r="AR253" s="6"/>
      <c r="BF253" s="6"/>
      <c r="BT253" s="6"/>
      <c r="CH253" s="6"/>
    </row>
    <row r="254" ht="13.5" customHeight="1">
      <c r="P254" s="6"/>
      <c r="AD254" s="6"/>
      <c r="AR254" s="6"/>
      <c r="BF254" s="6"/>
      <c r="BT254" s="6"/>
      <c r="CH254" s="6"/>
    </row>
    <row r="255" ht="13.5" customHeight="1">
      <c r="P255" s="6"/>
      <c r="AD255" s="6"/>
      <c r="AR255" s="6"/>
      <c r="BF255" s="6"/>
      <c r="BT255" s="6"/>
      <c r="CH255" s="6"/>
    </row>
    <row r="256" ht="13.5" customHeight="1">
      <c r="P256" s="6"/>
      <c r="AD256" s="6"/>
      <c r="AR256" s="6"/>
      <c r="BF256" s="6"/>
      <c r="BT256" s="6"/>
      <c r="CH256" s="6"/>
    </row>
    <row r="257" ht="13.5" customHeight="1">
      <c r="P257" s="6"/>
      <c r="AD257" s="6"/>
      <c r="AR257" s="6"/>
      <c r="BF257" s="6"/>
      <c r="BT257" s="6"/>
      <c r="CH257" s="6"/>
    </row>
    <row r="258" ht="13.5" customHeight="1">
      <c r="P258" s="6"/>
      <c r="AD258" s="6"/>
      <c r="AR258" s="6"/>
      <c r="BF258" s="6"/>
      <c r="BT258" s="6"/>
      <c r="CH258" s="6"/>
    </row>
    <row r="259" ht="13.5" customHeight="1">
      <c r="P259" s="6"/>
      <c r="AD259" s="6"/>
      <c r="AR259" s="6"/>
      <c r="BF259" s="6"/>
      <c r="BT259" s="6"/>
      <c r="CH259" s="6"/>
    </row>
    <row r="260" ht="13.5" customHeight="1">
      <c r="P260" s="6"/>
      <c r="AD260" s="6"/>
      <c r="AR260" s="6"/>
      <c r="BF260" s="6"/>
      <c r="BT260" s="6"/>
      <c r="CH260" s="6"/>
    </row>
    <row r="261" ht="13.5" customHeight="1">
      <c r="P261" s="6"/>
      <c r="AD261" s="6"/>
      <c r="AR261" s="6"/>
      <c r="BF261" s="6"/>
      <c r="BT261" s="6"/>
      <c r="CH261" s="6"/>
    </row>
    <row r="262" ht="13.5" customHeight="1">
      <c r="P262" s="6"/>
      <c r="AD262" s="6"/>
      <c r="AR262" s="6"/>
      <c r="BF262" s="6"/>
      <c r="BT262" s="6"/>
      <c r="CH262" s="6"/>
    </row>
    <row r="263" ht="13.5" customHeight="1">
      <c r="P263" s="6"/>
      <c r="AD263" s="6"/>
      <c r="AR263" s="6"/>
      <c r="BF263" s="6"/>
      <c r="BT263" s="6"/>
      <c r="CH263" s="6"/>
    </row>
    <row r="264" ht="13.5" customHeight="1">
      <c r="P264" s="6"/>
      <c r="AD264" s="6"/>
      <c r="AR264" s="6"/>
      <c r="BF264" s="6"/>
      <c r="BT264" s="6"/>
      <c r="CH264" s="6"/>
    </row>
    <row r="265" ht="13.5" customHeight="1">
      <c r="P265" s="6"/>
      <c r="AD265" s="6"/>
      <c r="AR265" s="6"/>
      <c r="BF265" s="6"/>
      <c r="BT265" s="6"/>
      <c r="CH265" s="6"/>
    </row>
    <row r="266" ht="13.5" customHeight="1">
      <c r="P266" s="6"/>
      <c r="AD266" s="6"/>
      <c r="AR266" s="6"/>
      <c r="BF266" s="6"/>
      <c r="BT266" s="6"/>
      <c r="CH266" s="6"/>
    </row>
    <row r="267" ht="13.5" customHeight="1">
      <c r="P267" s="6"/>
      <c r="AD267" s="6"/>
      <c r="AR267" s="6"/>
      <c r="BF267" s="6"/>
      <c r="BT267" s="6"/>
      <c r="CH267" s="6"/>
    </row>
    <row r="268" ht="13.5" customHeight="1">
      <c r="P268" s="6"/>
      <c r="AD268" s="6"/>
      <c r="AR268" s="6"/>
      <c r="BF268" s="6"/>
      <c r="BT268" s="6"/>
      <c r="CH268" s="6"/>
    </row>
    <row r="269" ht="13.5" customHeight="1">
      <c r="P269" s="6"/>
      <c r="AD269" s="6"/>
      <c r="AR269" s="6"/>
      <c r="BF269" s="6"/>
      <c r="BT269" s="6"/>
      <c r="CH269" s="6"/>
    </row>
    <row r="270" ht="13.5" customHeight="1">
      <c r="P270" s="6"/>
      <c r="AD270" s="6"/>
      <c r="AR270" s="6"/>
      <c r="BF270" s="6"/>
      <c r="BT270" s="6"/>
      <c r="CH270" s="6"/>
    </row>
    <row r="271" ht="13.5" customHeight="1">
      <c r="P271" s="6"/>
      <c r="AD271" s="6"/>
      <c r="AR271" s="6"/>
      <c r="BF271" s="6"/>
      <c r="BT271" s="6"/>
      <c r="CH271" s="6"/>
    </row>
    <row r="272" ht="13.5" customHeight="1">
      <c r="P272" s="6"/>
      <c r="AD272" s="6"/>
      <c r="AR272" s="6"/>
      <c r="BF272" s="6"/>
      <c r="BT272" s="6"/>
      <c r="CH272" s="6"/>
    </row>
    <row r="273" ht="13.5" customHeight="1">
      <c r="P273" s="6"/>
      <c r="AD273" s="6"/>
      <c r="AR273" s="6"/>
      <c r="BF273" s="6"/>
      <c r="BT273" s="6"/>
      <c r="CH273" s="6"/>
    </row>
    <row r="274" ht="13.5" customHeight="1">
      <c r="P274" s="6"/>
      <c r="AD274" s="6"/>
      <c r="AR274" s="6"/>
      <c r="BF274" s="6"/>
      <c r="BT274" s="6"/>
      <c r="CH274" s="6"/>
    </row>
    <row r="275" ht="13.5" customHeight="1">
      <c r="P275" s="6"/>
      <c r="AD275" s="6"/>
      <c r="AR275" s="6"/>
      <c r="BF275" s="6"/>
      <c r="BT275" s="6"/>
      <c r="CH275" s="6"/>
    </row>
    <row r="276" ht="13.5" customHeight="1">
      <c r="P276" s="6"/>
      <c r="AD276" s="6"/>
      <c r="AR276" s="6"/>
      <c r="BF276" s="6"/>
      <c r="BT276" s="6"/>
      <c r="CH276" s="6"/>
    </row>
    <row r="277" ht="13.5" customHeight="1">
      <c r="P277" s="6"/>
      <c r="AD277" s="6"/>
      <c r="AR277" s="6"/>
      <c r="BF277" s="6"/>
      <c r="BT277" s="6"/>
      <c r="CH277" s="6"/>
    </row>
    <row r="278" ht="13.5" customHeight="1">
      <c r="P278" s="6"/>
      <c r="AD278" s="6"/>
      <c r="AR278" s="6"/>
      <c r="BF278" s="6"/>
      <c r="BT278" s="6"/>
      <c r="CH278" s="6"/>
    </row>
    <row r="279" ht="13.5" customHeight="1">
      <c r="P279" s="6"/>
      <c r="AD279" s="6"/>
      <c r="AR279" s="6"/>
      <c r="BF279" s="6"/>
      <c r="BT279" s="6"/>
      <c r="CH279" s="6"/>
    </row>
    <row r="280" ht="13.5" customHeight="1">
      <c r="P280" s="6"/>
      <c r="AD280" s="6"/>
      <c r="AR280" s="6"/>
      <c r="BF280" s="6"/>
      <c r="BT280" s="6"/>
      <c r="CH280" s="6"/>
    </row>
    <row r="281" ht="13.5" customHeight="1">
      <c r="P281" s="6"/>
      <c r="AD281" s="6"/>
      <c r="AR281" s="6"/>
      <c r="BF281" s="6"/>
      <c r="BT281" s="6"/>
      <c r="CH281" s="6"/>
    </row>
    <row r="282" ht="13.5" customHeight="1">
      <c r="P282" s="6"/>
      <c r="AD282" s="6"/>
      <c r="AR282" s="6"/>
      <c r="BF282" s="6"/>
      <c r="BT282" s="6"/>
      <c r="CH282" s="6"/>
    </row>
    <row r="283" ht="13.5" customHeight="1">
      <c r="P283" s="6"/>
      <c r="AD283" s="6"/>
      <c r="AR283" s="6"/>
      <c r="BF283" s="6"/>
      <c r="BT283" s="6"/>
      <c r="CH283" s="6"/>
    </row>
    <row r="284" ht="13.5" customHeight="1">
      <c r="P284" s="6"/>
      <c r="AD284" s="6"/>
      <c r="AR284" s="6"/>
      <c r="BF284" s="6"/>
      <c r="BT284" s="6"/>
      <c r="CH284" s="6"/>
    </row>
    <row r="285" ht="13.5" customHeight="1">
      <c r="P285" s="6"/>
      <c r="AD285" s="6"/>
      <c r="AR285" s="6"/>
      <c r="BF285" s="6"/>
      <c r="BT285" s="6"/>
      <c r="CH285" s="6"/>
    </row>
    <row r="286" ht="13.5" customHeight="1">
      <c r="P286" s="6"/>
      <c r="AD286" s="6"/>
      <c r="AR286" s="6"/>
      <c r="BF286" s="6"/>
      <c r="BT286" s="6"/>
      <c r="CH286" s="6"/>
    </row>
    <row r="287" ht="13.5" customHeight="1">
      <c r="P287" s="6"/>
      <c r="AD287" s="6"/>
      <c r="AR287" s="6"/>
      <c r="BF287" s="6"/>
      <c r="BT287" s="6"/>
      <c r="CH287" s="6"/>
    </row>
    <row r="288" ht="13.5" customHeight="1">
      <c r="P288" s="6"/>
      <c r="AD288" s="6"/>
      <c r="AR288" s="6"/>
      <c r="BF288" s="6"/>
      <c r="BT288" s="6"/>
      <c r="CH288" s="6"/>
    </row>
    <row r="289" ht="13.5" customHeight="1">
      <c r="P289" s="6"/>
      <c r="AD289" s="6"/>
      <c r="AR289" s="6"/>
      <c r="BF289" s="6"/>
      <c r="BT289" s="6"/>
      <c r="CH289" s="6"/>
    </row>
    <row r="290" ht="13.5" customHeight="1">
      <c r="P290" s="6"/>
      <c r="AD290" s="6"/>
      <c r="AR290" s="6"/>
      <c r="BF290" s="6"/>
      <c r="BT290" s="6"/>
      <c r="CH290" s="6"/>
    </row>
    <row r="291" ht="13.5" customHeight="1">
      <c r="P291" s="6"/>
      <c r="AD291" s="6"/>
      <c r="AR291" s="6"/>
      <c r="BF291" s="6"/>
      <c r="BT291" s="6"/>
      <c r="CH291" s="6"/>
    </row>
    <row r="292" ht="13.5" customHeight="1">
      <c r="P292" s="6"/>
      <c r="AD292" s="6"/>
      <c r="AR292" s="6"/>
      <c r="BF292" s="6"/>
      <c r="BT292" s="6"/>
      <c r="CH292" s="6"/>
    </row>
    <row r="293" ht="13.5" customHeight="1">
      <c r="P293" s="6"/>
      <c r="AD293" s="6"/>
      <c r="AR293" s="6"/>
      <c r="BF293" s="6"/>
      <c r="BT293" s="6"/>
      <c r="CH293" s="6"/>
    </row>
    <row r="294" ht="13.5" customHeight="1">
      <c r="P294" s="6"/>
      <c r="AD294" s="6"/>
      <c r="AR294" s="6"/>
      <c r="BF294" s="6"/>
      <c r="BT294" s="6"/>
      <c r="CH294" s="6"/>
    </row>
    <row r="295" ht="13.5" customHeight="1">
      <c r="P295" s="6"/>
      <c r="AD295" s="6"/>
      <c r="AR295" s="6"/>
      <c r="BF295" s="6"/>
      <c r="BT295" s="6"/>
      <c r="CH295" s="6"/>
    </row>
    <row r="296" ht="13.5" customHeight="1">
      <c r="P296" s="6"/>
      <c r="AD296" s="6"/>
      <c r="AR296" s="6"/>
      <c r="BF296" s="6"/>
      <c r="BT296" s="6"/>
      <c r="CH296" s="6"/>
    </row>
    <row r="297" ht="13.5" customHeight="1">
      <c r="P297" s="6"/>
      <c r="AD297" s="6"/>
      <c r="AR297" s="6"/>
      <c r="BF297" s="6"/>
      <c r="BT297" s="6"/>
      <c r="CH297" s="6"/>
    </row>
    <row r="298" ht="13.5" customHeight="1">
      <c r="P298" s="6"/>
      <c r="AD298" s="6"/>
      <c r="AR298" s="6"/>
      <c r="BF298" s="6"/>
      <c r="BT298" s="6"/>
      <c r="CH298" s="6"/>
    </row>
    <row r="299" ht="13.5" customHeight="1">
      <c r="P299" s="6"/>
      <c r="AD299" s="6"/>
      <c r="AR299" s="6"/>
      <c r="BF299" s="6"/>
      <c r="BT299" s="6"/>
      <c r="CH299" s="6"/>
    </row>
    <row r="300" ht="13.5" customHeight="1">
      <c r="P300" s="6"/>
      <c r="AD300" s="6"/>
      <c r="AR300" s="6"/>
      <c r="BF300" s="6"/>
      <c r="BT300" s="6"/>
      <c r="CH300" s="6"/>
    </row>
    <row r="301" ht="13.5" customHeight="1">
      <c r="P301" s="6"/>
      <c r="AD301" s="6"/>
      <c r="AR301" s="6"/>
      <c r="BF301" s="6"/>
      <c r="BT301" s="6"/>
      <c r="CH301" s="6"/>
    </row>
    <row r="302" ht="13.5" customHeight="1">
      <c r="P302" s="6"/>
      <c r="AD302" s="6"/>
      <c r="AR302" s="6"/>
      <c r="BF302" s="6"/>
      <c r="BT302" s="6"/>
      <c r="CH302" s="6"/>
    </row>
    <row r="303" ht="13.5" customHeight="1">
      <c r="P303" s="6"/>
      <c r="AD303" s="6"/>
      <c r="AR303" s="6"/>
      <c r="BF303" s="6"/>
      <c r="BT303" s="6"/>
      <c r="CH303" s="6"/>
    </row>
    <row r="304" ht="13.5" customHeight="1">
      <c r="P304" s="6"/>
      <c r="AD304" s="6"/>
      <c r="AR304" s="6"/>
      <c r="BF304" s="6"/>
      <c r="BT304" s="6"/>
      <c r="CH304" s="6"/>
    </row>
    <row r="305" ht="13.5" customHeight="1">
      <c r="P305" s="6"/>
      <c r="AD305" s="6"/>
      <c r="AR305" s="6"/>
      <c r="BF305" s="6"/>
      <c r="BT305" s="6"/>
      <c r="CH305" s="6"/>
    </row>
    <row r="306" ht="13.5" customHeight="1">
      <c r="P306" s="6"/>
      <c r="AD306" s="6"/>
      <c r="AR306" s="6"/>
      <c r="BF306" s="6"/>
      <c r="BT306" s="6"/>
      <c r="CH306" s="6"/>
    </row>
    <row r="307" ht="13.5" customHeight="1">
      <c r="P307" s="6"/>
      <c r="AD307" s="6"/>
      <c r="AR307" s="6"/>
      <c r="BF307" s="6"/>
      <c r="BT307" s="6"/>
      <c r="CH307" s="6"/>
    </row>
    <row r="308" ht="13.5" customHeight="1">
      <c r="P308" s="6"/>
      <c r="AD308" s="6"/>
      <c r="AR308" s="6"/>
      <c r="BF308" s="6"/>
      <c r="BT308" s="6"/>
      <c r="CH308" s="6"/>
    </row>
    <row r="309" ht="13.5" customHeight="1">
      <c r="P309" s="6"/>
      <c r="AD309" s="6"/>
      <c r="AR309" s="6"/>
      <c r="BF309" s="6"/>
      <c r="BT309" s="6"/>
      <c r="CH309" s="6"/>
    </row>
    <row r="310" ht="13.5" customHeight="1">
      <c r="P310" s="6"/>
      <c r="AD310" s="6"/>
      <c r="AR310" s="6"/>
      <c r="BF310" s="6"/>
      <c r="BT310" s="6"/>
      <c r="CH310" s="6"/>
    </row>
    <row r="311" ht="13.5" customHeight="1">
      <c r="P311" s="6"/>
      <c r="AD311" s="6"/>
      <c r="AR311" s="6"/>
      <c r="BF311" s="6"/>
      <c r="BT311" s="6"/>
      <c r="CH311" s="6"/>
    </row>
    <row r="312" ht="13.5" customHeight="1">
      <c r="P312" s="6"/>
      <c r="AD312" s="6"/>
      <c r="AR312" s="6"/>
      <c r="BF312" s="6"/>
      <c r="BT312" s="6"/>
      <c r="CH312" s="6"/>
    </row>
    <row r="313" ht="13.5" customHeight="1">
      <c r="P313" s="6"/>
      <c r="AD313" s="6"/>
      <c r="AR313" s="6"/>
      <c r="BF313" s="6"/>
      <c r="BT313" s="6"/>
      <c r="CH313" s="6"/>
    </row>
    <row r="314" ht="13.5" customHeight="1">
      <c r="P314" s="6"/>
      <c r="AD314" s="6"/>
      <c r="AR314" s="6"/>
      <c r="BF314" s="6"/>
      <c r="BT314" s="6"/>
      <c r="CH314" s="6"/>
    </row>
    <row r="315" ht="13.5" customHeight="1">
      <c r="P315" s="6"/>
      <c r="AD315" s="6"/>
      <c r="AR315" s="6"/>
      <c r="BF315" s="6"/>
      <c r="BT315" s="6"/>
      <c r="CH315" s="6"/>
    </row>
    <row r="316" ht="13.5" customHeight="1">
      <c r="P316" s="6"/>
      <c r="AD316" s="6"/>
      <c r="AR316" s="6"/>
      <c r="BF316" s="6"/>
      <c r="BT316" s="6"/>
      <c r="CH316" s="6"/>
    </row>
    <row r="317" ht="13.5" customHeight="1">
      <c r="P317" s="6"/>
      <c r="AD317" s="6"/>
      <c r="AR317" s="6"/>
      <c r="BF317" s="6"/>
      <c r="BT317" s="6"/>
      <c r="CH317" s="6"/>
    </row>
    <row r="318" ht="13.5" customHeight="1">
      <c r="P318" s="6"/>
      <c r="AD318" s="6"/>
      <c r="AR318" s="6"/>
      <c r="BF318" s="6"/>
      <c r="BT318" s="6"/>
      <c r="CH318" s="6"/>
    </row>
    <row r="319" ht="13.5" customHeight="1">
      <c r="P319" s="6"/>
      <c r="AD319" s="6"/>
      <c r="AR319" s="6"/>
      <c r="BF319" s="6"/>
      <c r="BT319" s="6"/>
      <c r="CH319" s="6"/>
    </row>
    <row r="320" ht="13.5" customHeight="1">
      <c r="P320" s="6"/>
      <c r="AD320" s="6"/>
      <c r="AR320" s="6"/>
      <c r="BF320" s="6"/>
      <c r="BT320" s="6"/>
      <c r="CH320" s="6"/>
    </row>
    <row r="321" ht="13.5" customHeight="1">
      <c r="P321" s="6"/>
      <c r="AD321" s="6"/>
      <c r="AR321" s="6"/>
      <c r="BF321" s="6"/>
      <c r="BT321" s="6"/>
      <c r="CH321" s="6"/>
    </row>
    <row r="322" ht="13.5" customHeight="1">
      <c r="P322" s="6"/>
      <c r="AD322" s="6"/>
      <c r="AR322" s="6"/>
      <c r="BF322" s="6"/>
      <c r="BT322" s="6"/>
      <c r="CH322" s="6"/>
    </row>
    <row r="323" ht="13.5" customHeight="1">
      <c r="P323" s="6"/>
      <c r="AD323" s="6"/>
      <c r="AR323" s="6"/>
      <c r="BF323" s="6"/>
      <c r="BT323" s="6"/>
      <c r="CH323" s="6"/>
    </row>
    <row r="324" ht="13.5" customHeight="1">
      <c r="P324" s="6"/>
      <c r="AD324" s="6"/>
      <c r="AR324" s="6"/>
      <c r="BF324" s="6"/>
      <c r="BT324" s="6"/>
      <c r="CH324" s="6"/>
    </row>
    <row r="325" ht="13.5" customHeight="1">
      <c r="P325" s="6"/>
      <c r="AD325" s="6"/>
      <c r="AR325" s="6"/>
      <c r="BF325" s="6"/>
      <c r="BT325" s="6"/>
      <c r="CH325" s="6"/>
    </row>
    <row r="326" ht="13.5" customHeight="1">
      <c r="P326" s="6"/>
      <c r="AD326" s="6"/>
      <c r="AR326" s="6"/>
      <c r="BF326" s="6"/>
      <c r="BT326" s="6"/>
      <c r="CH326" s="6"/>
    </row>
    <row r="327" ht="13.5" customHeight="1">
      <c r="P327" s="6"/>
      <c r="AD327" s="6"/>
      <c r="AR327" s="6"/>
      <c r="BF327" s="6"/>
      <c r="BT327" s="6"/>
      <c r="CH327" s="6"/>
    </row>
    <row r="328" ht="13.5" customHeight="1">
      <c r="P328" s="6"/>
      <c r="AD328" s="6"/>
      <c r="AR328" s="6"/>
      <c r="BF328" s="6"/>
      <c r="BT328" s="6"/>
      <c r="CH328" s="6"/>
    </row>
    <row r="329" ht="13.5" customHeight="1">
      <c r="P329" s="6"/>
      <c r="AD329" s="6"/>
      <c r="AR329" s="6"/>
      <c r="BF329" s="6"/>
      <c r="BT329" s="6"/>
      <c r="CH329" s="6"/>
    </row>
    <row r="330" ht="13.5" customHeight="1">
      <c r="P330" s="6"/>
      <c r="AD330" s="6"/>
      <c r="AR330" s="6"/>
      <c r="BF330" s="6"/>
      <c r="BT330" s="6"/>
      <c r="CH330" s="6"/>
    </row>
    <row r="331" ht="13.5" customHeight="1">
      <c r="P331" s="6"/>
      <c r="AD331" s="6"/>
      <c r="AR331" s="6"/>
      <c r="BF331" s="6"/>
      <c r="BT331" s="6"/>
      <c r="CH331" s="6"/>
    </row>
    <row r="332" ht="13.5" customHeight="1">
      <c r="P332" s="6"/>
      <c r="AD332" s="6"/>
      <c r="AR332" s="6"/>
      <c r="BF332" s="6"/>
      <c r="BT332" s="6"/>
      <c r="CH332" s="6"/>
    </row>
    <row r="333" ht="13.5" customHeight="1">
      <c r="P333" s="6"/>
      <c r="AD333" s="6"/>
      <c r="AR333" s="6"/>
      <c r="BF333" s="6"/>
      <c r="BT333" s="6"/>
      <c r="CH333" s="6"/>
    </row>
    <row r="334" ht="13.5" customHeight="1">
      <c r="P334" s="6"/>
      <c r="AD334" s="6"/>
      <c r="AR334" s="6"/>
      <c r="BF334" s="6"/>
      <c r="BT334" s="6"/>
      <c r="CH334" s="6"/>
    </row>
    <row r="335" ht="13.5" customHeight="1">
      <c r="P335" s="6"/>
      <c r="AD335" s="6"/>
      <c r="AR335" s="6"/>
      <c r="BF335" s="6"/>
      <c r="BT335" s="6"/>
      <c r="CH335" s="6"/>
    </row>
    <row r="336" ht="13.5" customHeight="1">
      <c r="P336" s="6"/>
      <c r="AD336" s="6"/>
      <c r="AR336" s="6"/>
      <c r="BF336" s="6"/>
      <c r="BT336" s="6"/>
      <c r="CH336" s="6"/>
    </row>
    <row r="337" ht="13.5" customHeight="1">
      <c r="P337" s="6"/>
      <c r="AD337" s="6"/>
      <c r="AR337" s="6"/>
      <c r="BF337" s="6"/>
      <c r="BT337" s="6"/>
      <c r="CH337" s="6"/>
    </row>
    <row r="338" ht="13.5" customHeight="1">
      <c r="P338" s="6"/>
      <c r="AD338" s="6"/>
      <c r="AR338" s="6"/>
      <c r="BF338" s="6"/>
      <c r="BT338" s="6"/>
      <c r="CH338" s="6"/>
    </row>
    <row r="339" ht="13.5" customHeight="1">
      <c r="P339" s="6"/>
      <c r="AD339" s="6"/>
      <c r="AR339" s="6"/>
      <c r="BF339" s="6"/>
      <c r="BT339" s="6"/>
      <c r="CH339" s="6"/>
    </row>
    <row r="340" ht="13.5" customHeight="1">
      <c r="P340" s="6"/>
      <c r="AD340" s="6"/>
      <c r="AR340" s="6"/>
      <c r="BF340" s="6"/>
      <c r="BT340" s="6"/>
      <c r="CH340" s="6"/>
    </row>
    <row r="341" ht="13.5" customHeight="1">
      <c r="P341" s="6"/>
      <c r="AD341" s="6"/>
      <c r="AR341" s="6"/>
      <c r="BF341" s="6"/>
      <c r="BT341" s="6"/>
      <c r="CH341" s="6"/>
    </row>
    <row r="342" ht="13.5" customHeight="1">
      <c r="P342" s="6"/>
      <c r="AD342" s="6"/>
      <c r="AR342" s="6"/>
      <c r="BF342" s="6"/>
      <c r="BT342" s="6"/>
      <c r="CH342" s="6"/>
    </row>
    <row r="343" ht="13.5" customHeight="1">
      <c r="P343" s="6"/>
      <c r="AD343" s="6"/>
      <c r="AR343" s="6"/>
      <c r="BF343" s="6"/>
      <c r="BT343" s="6"/>
      <c r="CH343" s="6"/>
    </row>
    <row r="344" ht="13.5" customHeight="1">
      <c r="P344" s="6"/>
      <c r="AD344" s="6"/>
      <c r="AR344" s="6"/>
      <c r="BF344" s="6"/>
      <c r="BT344" s="6"/>
      <c r="CH344" s="6"/>
    </row>
    <row r="345" ht="13.5" customHeight="1">
      <c r="P345" s="6"/>
      <c r="AD345" s="6"/>
      <c r="AR345" s="6"/>
      <c r="BF345" s="6"/>
      <c r="BT345" s="6"/>
      <c r="CH345" s="6"/>
    </row>
    <row r="346" ht="13.5" customHeight="1">
      <c r="P346" s="6"/>
      <c r="AD346" s="6"/>
      <c r="AR346" s="6"/>
      <c r="BF346" s="6"/>
      <c r="BT346" s="6"/>
      <c r="CH346" s="6"/>
    </row>
    <row r="347" ht="13.5" customHeight="1">
      <c r="P347" s="6"/>
      <c r="AD347" s="6"/>
      <c r="AR347" s="6"/>
      <c r="BF347" s="6"/>
      <c r="BT347" s="6"/>
      <c r="CH347" s="6"/>
    </row>
    <row r="348" ht="13.5" customHeight="1">
      <c r="P348" s="6"/>
      <c r="AD348" s="6"/>
      <c r="AR348" s="6"/>
      <c r="BF348" s="6"/>
      <c r="BT348" s="6"/>
      <c r="CH348" s="6"/>
    </row>
    <row r="349" ht="13.5" customHeight="1">
      <c r="P349" s="6"/>
      <c r="AD349" s="6"/>
      <c r="AR349" s="6"/>
      <c r="BF349" s="6"/>
      <c r="BT349" s="6"/>
      <c r="CH349" s="6"/>
    </row>
    <row r="350" ht="13.5" customHeight="1">
      <c r="P350" s="6"/>
      <c r="AD350" s="6"/>
      <c r="AR350" s="6"/>
      <c r="BF350" s="6"/>
      <c r="BT350" s="6"/>
      <c r="CH350" s="6"/>
    </row>
    <row r="351" ht="13.5" customHeight="1">
      <c r="P351" s="6"/>
      <c r="AD351" s="6"/>
      <c r="AR351" s="6"/>
      <c r="BF351" s="6"/>
      <c r="BT351" s="6"/>
      <c r="CH351" s="6"/>
    </row>
    <row r="352" ht="13.5" customHeight="1">
      <c r="P352" s="6"/>
      <c r="AD352" s="6"/>
      <c r="AR352" s="6"/>
      <c r="BF352" s="6"/>
      <c r="BT352" s="6"/>
      <c r="CH352" s="6"/>
    </row>
    <row r="353" ht="13.5" customHeight="1">
      <c r="P353" s="6"/>
      <c r="AD353" s="6"/>
      <c r="AR353" s="6"/>
      <c r="BF353" s="6"/>
      <c r="BT353" s="6"/>
      <c r="CH353" s="6"/>
    </row>
    <row r="354" ht="13.5" customHeight="1">
      <c r="P354" s="6"/>
      <c r="AD354" s="6"/>
      <c r="AR354" s="6"/>
      <c r="BF354" s="6"/>
      <c r="BT354" s="6"/>
      <c r="CH354" s="6"/>
    </row>
    <row r="355" ht="13.5" customHeight="1">
      <c r="P355" s="6"/>
      <c r="AD355" s="6"/>
      <c r="AR355" s="6"/>
      <c r="BF355" s="6"/>
      <c r="BT355" s="6"/>
      <c r="CH355" s="6"/>
    </row>
    <row r="356" ht="13.5" customHeight="1">
      <c r="P356" s="6"/>
      <c r="AD356" s="6"/>
      <c r="AR356" s="6"/>
      <c r="BF356" s="6"/>
      <c r="BT356" s="6"/>
      <c r="CH356" s="6"/>
    </row>
    <row r="357" ht="13.5" customHeight="1">
      <c r="P357" s="6"/>
      <c r="AD357" s="6"/>
      <c r="AR357" s="6"/>
      <c r="BF357" s="6"/>
      <c r="BT357" s="6"/>
      <c r="CH357" s="6"/>
    </row>
    <row r="358" ht="13.5" customHeight="1">
      <c r="P358" s="6"/>
      <c r="AD358" s="6"/>
      <c r="AR358" s="6"/>
      <c r="BF358" s="6"/>
      <c r="BT358" s="6"/>
      <c r="CH358" s="6"/>
    </row>
    <row r="359" ht="13.5" customHeight="1">
      <c r="P359" s="6"/>
      <c r="AD359" s="6"/>
      <c r="AR359" s="6"/>
      <c r="BF359" s="6"/>
      <c r="BT359" s="6"/>
      <c r="CH359" s="6"/>
    </row>
    <row r="360" ht="13.5" customHeight="1">
      <c r="P360" s="6"/>
      <c r="AD360" s="6"/>
      <c r="AR360" s="6"/>
      <c r="BF360" s="6"/>
      <c r="BT360" s="6"/>
      <c r="CH360" s="6"/>
    </row>
    <row r="361" ht="13.5" customHeight="1">
      <c r="P361" s="6"/>
      <c r="AD361" s="6"/>
      <c r="AR361" s="6"/>
      <c r="BF361" s="6"/>
      <c r="BT361" s="6"/>
      <c r="CH361" s="6"/>
    </row>
    <row r="362" ht="13.5" customHeight="1">
      <c r="P362" s="6"/>
      <c r="AD362" s="6"/>
      <c r="AR362" s="6"/>
      <c r="BF362" s="6"/>
      <c r="BT362" s="6"/>
      <c r="CH362" s="6"/>
    </row>
    <row r="363" ht="13.5" customHeight="1">
      <c r="P363" s="6"/>
      <c r="AD363" s="6"/>
      <c r="AR363" s="6"/>
      <c r="BF363" s="6"/>
      <c r="BT363" s="6"/>
      <c r="CH363" s="6"/>
    </row>
    <row r="364" ht="13.5" customHeight="1">
      <c r="P364" s="6"/>
      <c r="AD364" s="6"/>
      <c r="AR364" s="6"/>
      <c r="BF364" s="6"/>
      <c r="BT364" s="6"/>
      <c r="CH364" s="6"/>
    </row>
    <row r="365" ht="13.5" customHeight="1">
      <c r="P365" s="6"/>
      <c r="AD365" s="6"/>
      <c r="AR365" s="6"/>
      <c r="BF365" s="6"/>
      <c r="BT365" s="6"/>
      <c r="CH365" s="6"/>
    </row>
    <row r="366" ht="13.5" customHeight="1">
      <c r="P366" s="6"/>
      <c r="AD366" s="6"/>
      <c r="AR366" s="6"/>
      <c r="BF366" s="6"/>
      <c r="BT366" s="6"/>
      <c r="CH366" s="6"/>
    </row>
    <row r="367" ht="13.5" customHeight="1">
      <c r="P367" s="6"/>
      <c r="AD367" s="6"/>
      <c r="AR367" s="6"/>
      <c r="BF367" s="6"/>
      <c r="BT367" s="6"/>
      <c r="CH367" s="6"/>
    </row>
    <row r="368" ht="13.5" customHeight="1">
      <c r="P368" s="6"/>
      <c r="AD368" s="6"/>
      <c r="AR368" s="6"/>
      <c r="BF368" s="6"/>
      <c r="BT368" s="6"/>
      <c r="CH368" s="6"/>
    </row>
    <row r="369" ht="13.5" customHeight="1">
      <c r="P369" s="6"/>
      <c r="AD369" s="6"/>
      <c r="AR369" s="6"/>
      <c r="BF369" s="6"/>
      <c r="BT369" s="6"/>
      <c r="CH369" s="6"/>
    </row>
    <row r="370" ht="13.5" customHeight="1">
      <c r="P370" s="6"/>
      <c r="AD370" s="6"/>
      <c r="AR370" s="6"/>
      <c r="BF370" s="6"/>
      <c r="BT370" s="6"/>
      <c r="CH370" s="6"/>
    </row>
    <row r="371" ht="13.5" customHeight="1">
      <c r="P371" s="6"/>
      <c r="AD371" s="6"/>
      <c r="AR371" s="6"/>
      <c r="BF371" s="6"/>
      <c r="BT371" s="6"/>
      <c r="CH371" s="6"/>
    </row>
    <row r="372" ht="13.5" customHeight="1">
      <c r="P372" s="6"/>
      <c r="AD372" s="6"/>
      <c r="AR372" s="6"/>
      <c r="BF372" s="6"/>
      <c r="BT372" s="6"/>
      <c r="CH372" s="6"/>
    </row>
    <row r="373" ht="13.5" customHeight="1">
      <c r="P373" s="6"/>
      <c r="AD373" s="6"/>
      <c r="AR373" s="6"/>
      <c r="BF373" s="6"/>
      <c r="BT373" s="6"/>
      <c r="CH373" s="6"/>
    </row>
    <row r="374" ht="13.5" customHeight="1">
      <c r="P374" s="6"/>
      <c r="AD374" s="6"/>
      <c r="AR374" s="6"/>
      <c r="BF374" s="6"/>
      <c r="BT374" s="6"/>
      <c r="CH374" s="6"/>
    </row>
    <row r="375" ht="13.5" customHeight="1">
      <c r="P375" s="6"/>
      <c r="AD375" s="6"/>
      <c r="AR375" s="6"/>
      <c r="BF375" s="6"/>
      <c r="BT375" s="6"/>
      <c r="CH375" s="6"/>
    </row>
    <row r="376" ht="13.5" customHeight="1">
      <c r="P376" s="6"/>
      <c r="AD376" s="6"/>
      <c r="AR376" s="6"/>
      <c r="BF376" s="6"/>
      <c r="BT376" s="6"/>
      <c r="CH376" s="6"/>
    </row>
    <row r="377" ht="13.5" customHeight="1">
      <c r="P377" s="6"/>
      <c r="AD377" s="6"/>
      <c r="AR377" s="6"/>
      <c r="BF377" s="6"/>
      <c r="BT377" s="6"/>
      <c r="CH377" s="6"/>
    </row>
    <row r="378" ht="13.5" customHeight="1">
      <c r="P378" s="6"/>
      <c r="AD378" s="6"/>
      <c r="AR378" s="6"/>
      <c r="BF378" s="6"/>
      <c r="BT378" s="6"/>
      <c r="CH378" s="6"/>
    </row>
    <row r="379" ht="13.5" customHeight="1">
      <c r="P379" s="6"/>
      <c r="AD379" s="6"/>
      <c r="AR379" s="6"/>
      <c r="BF379" s="6"/>
      <c r="BT379" s="6"/>
      <c r="CH379" s="6"/>
    </row>
    <row r="380" ht="13.5" customHeight="1">
      <c r="P380" s="6"/>
      <c r="AD380" s="6"/>
      <c r="AR380" s="6"/>
      <c r="BF380" s="6"/>
      <c r="BT380" s="6"/>
      <c r="CH380" s="6"/>
    </row>
    <row r="381" ht="13.5" customHeight="1">
      <c r="P381" s="6"/>
      <c r="AD381" s="6"/>
      <c r="AR381" s="6"/>
      <c r="BF381" s="6"/>
      <c r="BT381" s="6"/>
      <c r="CH381" s="6"/>
    </row>
    <row r="382" ht="13.5" customHeight="1">
      <c r="P382" s="6"/>
      <c r="AD382" s="6"/>
      <c r="AR382" s="6"/>
      <c r="BF382" s="6"/>
      <c r="BT382" s="6"/>
      <c r="CH382" s="6"/>
    </row>
    <row r="383" ht="13.5" customHeight="1">
      <c r="P383" s="6"/>
      <c r="AD383" s="6"/>
      <c r="AR383" s="6"/>
      <c r="BF383" s="6"/>
      <c r="BT383" s="6"/>
      <c r="CH383" s="6"/>
    </row>
    <row r="384" ht="13.5" customHeight="1">
      <c r="P384" s="6"/>
      <c r="AD384" s="6"/>
      <c r="AR384" s="6"/>
      <c r="BF384" s="6"/>
      <c r="BT384" s="6"/>
      <c r="CH384" s="6"/>
    </row>
    <row r="385" ht="13.5" customHeight="1">
      <c r="P385" s="6"/>
      <c r="AD385" s="6"/>
      <c r="AR385" s="6"/>
      <c r="BF385" s="6"/>
      <c r="BT385" s="6"/>
      <c r="CH385" s="6"/>
    </row>
    <row r="386" ht="13.5" customHeight="1">
      <c r="P386" s="6"/>
      <c r="AD386" s="6"/>
      <c r="AR386" s="6"/>
      <c r="BF386" s="6"/>
      <c r="BT386" s="6"/>
      <c r="CH386" s="6"/>
    </row>
    <row r="387" ht="13.5" customHeight="1">
      <c r="P387" s="6"/>
      <c r="AD387" s="6"/>
      <c r="AR387" s="6"/>
      <c r="BF387" s="6"/>
      <c r="BT387" s="6"/>
      <c r="CH387" s="6"/>
    </row>
    <row r="388" ht="13.5" customHeight="1">
      <c r="P388" s="6"/>
      <c r="AD388" s="6"/>
      <c r="AR388" s="6"/>
      <c r="BF388" s="6"/>
      <c r="BT388" s="6"/>
      <c r="CH388" s="6"/>
    </row>
    <row r="389" ht="13.5" customHeight="1">
      <c r="P389" s="6"/>
      <c r="AD389" s="6"/>
      <c r="AR389" s="6"/>
      <c r="BF389" s="6"/>
      <c r="BT389" s="6"/>
      <c r="CH389" s="6"/>
    </row>
    <row r="390" ht="13.5" customHeight="1">
      <c r="P390" s="6"/>
      <c r="AD390" s="6"/>
      <c r="AR390" s="6"/>
      <c r="BF390" s="6"/>
      <c r="BT390" s="6"/>
      <c r="CH390" s="6"/>
    </row>
    <row r="391" ht="13.5" customHeight="1">
      <c r="P391" s="6"/>
      <c r="AD391" s="6"/>
      <c r="AR391" s="6"/>
      <c r="BF391" s="6"/>
      <c r="BT391" s="6"/>
      <c r="CH391" s="6"/>
    </row>
    <row r="392" ht="13.5" customHeight="1">
      <c r="P392" s="6"/>
      <c r="AD392" s="6"/>
      <c r="AR392" s="6"/>
      <c r="BF392" s="6"/>
      <c r="BT392" s="6"/>
      <c r="CH392" s="6"/>
    </row>
    <row r="393" ht="13.5" customHeight="1">
      <c r="P393" s="6"/>
      <c r="AD393" s="6"/>
      <c r="AR393" s="6"/>
      <c r="BF393" s="6"/>
      <c r="BT393" s="6"/>
      <c r="CH393" s="6"/>
    </row>
    <row r="394" ht="13.5" customHeight="1">
      <c r="P394" s="6"/>
      <c r="AD394" s="6"/>
      <c r="AR394" s="6"/>
      <c r="BF394" s="6"/>
      <c r="BT394" s="6"/>
      <c r="CH394" s="6"/>
    </row>
    <row r="395" ht="13.5" customHeight="1">
      <c r="P395" s="6"/>
      <c r="AD395" s="6"/>
      <c r="AR395" s="6"/>
      <c r="BF395" s="6"/>
      <c r="BT395" s="6"/>
      <c r="CH395" s="6"/>
    </row>
    <row r="396" ht="13.5" customHeight="1">
      <c r="P396" s="6"/>
      <c r="AD396" s="6"/>
      <c r="AR396" s="6"/>
      <c r="BF396" s="6"/>
      <c r="BT396" s="6"/>
      <c r="CH396" s="6"/>
    </row>
    <row r="397" ht="13.5" customHeight="1">
      <c r="P397" s="6"/>
      <c r="AD397" s="6"/>
      <c r="AR397" s="6"/>
      <c r="BF397" s="6"/>
      <c r="BT397" s="6"/>
      <c r="CH397" s="6"/>
    </row>
    <row r="398" ht="13.5" customHeight="1">
      <c r="P398" s="6"/>
      <c r="AD398" s="6"/>
      <c r="AR398" s="6"/>
      <c r="BF398" s="6"/>
      <c r="BT398" s="6"/>
      <c r="CH398" s="6"/>
    </row>
    <row r="399" ht="13.5" customHeight="1">
      <c r="P399" s="6"/>
      <c r="AD399" s="6"/>
      <c r="AR399" s="6"/>
      <c r="BF399" s="6"/>
      <c r="BT399" s="6"/>
      <c r="CH399" s="6"/>
    </row>
    <row r="400" ht="13.5" customHeight="1">
      <c r="P400" s="6"/>
      <c r="AD400" s="6"/>
      <c r="AR400" s="6"/>
      <c r="BF400" s="6"/>
      <c r="BT400" s="6"/>
      <c r="CH400" s="6"/>
    </row>
    <row r="401" ht="13.5" customHeight="1">
      <c r="P401" s="6"/>
      <c r="AD401" s="6"/>
      <c r="AR401" s="6"/>
      <c r="BF401" s="6"/>
      <c r="BT401" s="6"/>
      <c r="CH401" s="6"/>
    </row>
    <row r="402" ht="13.5" customHeight="1">
      <c r="P402" s="6"/>
      <c r="AD402" s="6"/>
      <c r="AR402" s="6"/>
      <c r="BF402" s="6"/>
      <c r="BT402" s="6"/>
      <c r="CH402" s="6"/>
    </row>
    <row r="403" ht="13.5" customHeight="1">
      <c r="P403" s="6"/>
      <c r="AD403" s="6"/>
      <c r="AR403" s="6"/>
      <c r="BF403" s="6"/>
      <c r="BT403" s="6"/>
      <c r="CH403" s="6"/>
    </row>
    <row r="404" ht="13.5" customHeight="1">
      <c r="P404" s="6"/>
      <c r="AD404" s="6"/>
      <c r="AR404" s="6"/>
      <c r="BF404" s="6"/>
      <c r="BT404" s="6"/>
      <c r="CH404" s="6"/>
    </row>
    <row r="405" ht="13.5" customHeight="1">
      <c r="P405" s="6"/>
      <c r="AD405" s="6"/>
      <c r="AR405" s="6"/>
      <c r="BF405" s="6"/>
      <c r="BT405" s="6"/>
      <c r="CH405" s="6"/>
    </row>
    <row r="406" ht="13.5" customHeight="1">
      <c r="P406" s="6"/>
      <c r="AD406" s="6"/>
      <c r="AR406" s="6"/>
      <c r="BF406" s="6"/>
      <c r="BT406" s="6"/>
      <c r="CH406" s="6"/>
    </row>
    <row r="407" ht="13.5" customHeight="1">
      <c r="P407" s="6"/>
      <c r="AD407" s="6"/>
      <c r="AR407" s="6"/>
      <c r="BF407" s="6"/>
      <c r="BT407" s="6"/>
      <c r="CH407" s="6"/>
    </row>
    <row r="408" ht="13.5" customHeight="1">
      <c r="P408" s="6"/>
      <c r="AD408" s="6"/>
      <c r="AR408" s="6"/>
      <c r="BF408" s="6"/>
      <c r="BT408" s="6"/>
      <c r="CH408" s="6"/>
    </row>
    <row r="409" ht="13.5" customHeight="1">
      <c r="P409" s="6"/>
      <c r="AD409" s="6"/>
      <c r="AR409" s="6"/>
      <c r="BF409" s="6"/>
      <c r="BT409" s="6"/>
      <c r="CH409" s="6"/>
    </row>
    <row r="410" ht="13.5" customHeight="1">
      <c r="P410" s="6"/>
      <c r="AD410" s="6"/>
      <c r="AR410" s="6"/>
      <c r="BF410" s="6"/>
      <c r="BT410" s="6"/>
      <c r="CH410" s="6"/>
    </row>
    <row r="411" ht="13.5" customHeight="1">
      <c r="P411" s="6"/>
      <c r="AD411" s="6"/>
      <c r="AR411" s="6"/>
      <c r="BF411" s="6"/>
      <c r="BT411" s="6"/>
      <c r="CH411" s="6"/>
    </row>
    <row r="412" ht="13.5" customHeight="1">
      <c r="P412" s="6"/>
      <c r="AD412" s="6"/>
      <c r="AR412" s="6"/>
      <c r="BF412" s="6"/>
      <c r="BT412" s="6"/>
      <c r="CH412" s="6"/>
    </row>
    <row r="413" ht="13.5" customHeight="1">
      <c r="P413" s="6"/>
      <c r="AD413" s="6"/>
      <c r="AR413" s="6"/>
      <c r="BF413" s="6"/>
      <c r="BT413" s="6"/>
      <c r="CH413" s="6"/>
    </row>
    <row r="414" ht="13.5" customHeight="1">
      <c r="P414" s="6"/>
      <c r="AD414" s="6"/>
      <c r="AR414" s="6"/>
      <c r="BF414" s="6"/>
      <c r="BT414" s="6"/>
      <c r="CH414" s="6"/>
    </row>
    <row r="415" ht="13.5" customHeight="1">
      <c r="P415" s="6"/>
      <c r="AD415" s="6"/>
      <c r="AR415" s="6"/>
      <c r="BF415" s="6"/>
      <c r="BT415" s="6"/>
      <c r="CH415" s="6"/>
    </row>
    <row r="416" ht="13.5" customHeight="1">
      <c r="P416" s="6"/>
      <c r="AD416" s="6"/>
      <c r="AR416" s="6"/>
      <c r="BF416" s="6"/>
      <c r="BT416" s="6"/>
      <c r="CH416" s="6"/>
    </row>
    <row r="417" ht="13.5" customHeight="1">
      <c r="P417" s="6"/>
      <c r="AD417" s="6"/>
      <c r="AR417" s="6"/>
      <c r="BF417" s="6"/>
      <c r="BT417" s="6"/>
      <c r="CH417" s="6"/>
    </row>
    <row r="418" ht="13.5" customHeight="1">
      <c r="P418" s="6"/>
      <c r="AD418" s="6"/>
      <c r="AR418" s="6"/>
      <c r="BF418" s="6"/>
      <c r="BT418" s="6"/>
      <c r="CH418" s="6"/>
    </row>
    <row r="419" ht="13.5" customHeight="1">
      <c r="P419" s="6"/>
      <c r="AD419" s="6"/>
      <c r="AR419" s="6"/>
      <c r="BF419" s="6"/>
      <c r="BT419" s="6"/>
      <c r="CH419" s="6"/>
    </row>
    <row r="420" ht="13.5" customHeight="1">
      <c r="P420" s="6"/>
      <c r="AD420" s="6"/>
      <c r="AR420" s="6"/>
      <c r="BF420" s="6"/>
      <c r="BT420" s="6"/>
      <c r="CH420" s="6"/>
    </row>
    <row r="421" ht="13.5" customHeight="1">
      <c r="P421" s="6"/>
      <c r="AD421" s="6"/>
      <c r="AR421" s="6"/>
      <c r="BF421" s="6"/>
      <c r="BT421" s="6"/>
      <c r="CH421" s="6"/>
    </row>
    <row r="422" ht="13.5" customHeight="1">
      <c r="P422" s="6"/>
      <c r="AD422" s="6"/>
      <c r="AR422" s="6"/>
      <c r="BF422" s="6"/>
      <c r="BT422" s="6"/>
      <c r="CH422" s="6"/>
    </row>
    <row r="423" ht="13.5" customHeight="1">
      <c r="P423" s="6"/>
      <c r="AD423" s="6"/>
      <c r="AR423" s="6"/>
      <c r="BF423" s="6"/>
      <c r="BT423" s="6"/>
      <c r="CH423" s="6"/>
    </row>
    <row r="424" ht="13.5" customHeight="1">
      <c r="P424" s="6"/>
      <c r="AD424" s="6"/>
      <c r="AR424" s="6"/>
      <c r="BF424" s="6"/>
      <c r="BT424" s="6"/>
      <c r="CH424" s="6"/>
    </row>
    <row r="425" ht="13.5" customHeight="1">
      <c r="P425" s="6"/>
      <c r="AD425" s="6"/>
      <c r="AR425" s="6"/>
      <c r="BF425" s="6"/>
      <c r="BT425" s="6"/>
      <c r="CH425" s="6"/>
    </row>
    <row r="426" ht="13.5" customHeight="1">
      <c r="P426" s="6"/>
      <c r="AD426" s="6"/>
      <c r="AR426" s="6"/>
      <c r="BF426" s="6"/>
      <c r="BT426" s="6"/>
      <c r="CH426" s="6"/>
    </row>
    <row r="427" ht="13.5" customHeight="1">
      <c r="P427" s="6"/>
      <c r="AD427" s="6"/>
      <c r="AR427" s="6"/>
      <c r="BF427" s="6"/>
      <c r="BT427" s="6"/>
      <c r="CH427" s="6"/>
    </row>
    <row r="428" ht="13.5" customHeight="1">
      <c r="P428" s="6"/>
      <c r="AD428" s="6"/>
      <c r="AR428" s="6"/>
      <c r="BF428" s="6"/>
      <c r="BT428" s="6"/>
      <c r="CH428" s="6"/>
    </row>
    <row r="429" ht="13.5" customHeight="1">
      <c r="P429" s="6"/>
      <c r="AD429" s="6"/>
      <c r="AR429" s="6"/>
      <c r="BF429" s="6"/>
      <c r="BT429" s="6"/>
      <c r="CH429" s="6"/>
    </row>
    <row r="430" ht="13.5" customHeight="1">
      <c r="P430" s="6"/>
      <c r="AD430" s="6"/>
      <c r="AR430" s="6"/>
      <c r="BF430" s="6"/>
      <c r="BT430" s="6"/>
      <c r="CH430" s="6"/>
    </row>
    <row r="431" ht="13.5" customHeight="1">
      <c r="P431" s="6"/>
      <c r="AD431" s="6"/>
      <c r="AR431" s="6"/>
      <c r="BF431" s="6"/>
      <c r="BT431" s="6"/>
      <c r="CH431" s="6"/>
    </row>
    <row r="432" ht="13.5" customHeight="1">
      <c r="P432" s="6"/>
      <c r="AD432" s="6"/>
      <c r="AR432" s="6"/>
      <c r="BF432" s="6"/>
      <c r="BT432" s="6"/>
      <c r="CH432" s="6"/>
    </row>
    <row r="433" ht="13.5" customHeight="1">
      <c r="P433" s="6"/>
      <c r="AD433" s="6"/>
      <c r="AR433" s="6"/>
      <c r="BF433" s="6"/>
      <c r="BT433" s="6"/>
      <c r="CH433" s="6"/>
    </row>
    <row r="434" ht="13.5" customHeight="1">
      <c r="P434" s="6"/>
      <c r="AD434" s="6"/>
      <c r="AR434" s="6"/>
      <c r="BF434" s="6"/>
      <c r="BT434" s="6"/>
      <c r="CH434" s="6"/>
    </row>
    <row r="435" ht="13.5" customHeight="1">
      <c r="P435" s="6"/>
      <c r="AD435" s="6"/>
      <c r="AR435" s="6"/>
      <c r="BF435" s="6"/>
      <c r="BT435" s="6"/>
      <c r="CH435" s="6"/>
    </row>
    <row r="436" ht="13.5" customHeight="1">
      <c r="P436" s="6"/>
      <c r="AD436" s="6"/>
      <c r="AR436" s="6"/>
      <c r="BF436" s="6"/>
      <c r="BT436" s="6"/>
      <c r="CH436" s="6"/>
    </row>
    <row r="437" ht="13.5" customHeight="1">
      <c r="P437" s="6"/>
      <c r="AD437" s="6"/>
      <c r="AR437" s="6"/>
      <c r="BF437" s="6"/>
      <c r="BT437" s="6"/>
      <c r="CH437" s="6"/>
    </row>
    <row r="438" ht="13.5" customHeight="1">
      <c r="P438" s="6"/>
      <c r="AD438" s="6"/>
      <c r="AR438" s="6"/>
      <c r="BF438" s="6"/>
      <c r="BT438" s="6"/>
      <c r="CH438" s="6"/>
    </row>
    <row r="439" ht="13.5" customHeight="1">
      <c r="P439" s="6"/>
      <c r="AD439" s="6"/>
      <c r="AR439" s="6"/>
      <c r="BF439" s="6"/>
      <c r="BT439" s="6"/>
      <c r="CH439" s="6"/>
    </row>
    <row r="440" ht="13.5" customHeight="1">
      <c r="P440" s="6"/>
      <c r="AD440" s="6"/>
      <c r="AR440" s="6"/>
      <c r="BF440" s="6"/>
      <c r="BT440" s="6"/>
      <c r="CH440" s="6"/>
    </row>
    <row r="441" ht="13.5" customHeight="1">
      <c r="P441" s="6"/>
      <c r="AD441" s="6"/>
      <c r="AR441" s="6"/>
      <c r="BF441" s="6"/>
      <c r="BT441" s="6"/>
      <c r="CH441" s="6"/>
    </row>
    <row r="442" ht="13.5" customHeight="1">
      <c r="P442" s="6"/>
      <c r="AD442" s="6"/>
      <c r="AR442" s="6"/>
      <c r="BF442" s="6"/>
      <c r="BT442" s="6"/>
      <c r="CH442" s="6"/>
    </row>
    <row r="443" ht="13.5" customHeight="1">
      <c r="P443" s="6"/>
      <c r="AD443" s="6"/>
      <c r="AR443" s="6"/>
      <c r="BF443" s="6"/>
      <c r="BT443" s="6"/>
      <c r="CH443" s="6"/>
    </row>
    <row r="444" ht="13.5" customHeight="1">
      <c r="P444" s="6"/>
      <c r="AD444" s="6"/>
      <c r="AR444" s="6"/>
      <c r="BF444" s="6"/>
      <c r="BT444" s="6"/>
      <c r="CH444" s="6"/>
    </row>
    <row r="445" ht="13.5" customHeight="1">
      <c r="P445" s="6"/>
      <c r="AD445" s="6"/>
      <c r="AR445" s="6"/>
      <c r="BF445" s="6"/>
      <c r="BT445" s="6"/>
      <c r="CH445" s="6"/>
    </row>
    <row r="446" ht="13.5" customHeight="1">
      <c r="P446" s="6"/>
      <c r="AD446" s="6"/>
      <c r="AR446" s="6"/>
      <c r="BF446" s="6"/>
      <c r="BT446" s="6"/>
      <c r="CH446" s="6"/>
    </row>
    <row r="447" ht="13.5" customHeight="1">
      <c r="P447" s="6"/>
      <c r="AD447" s="6"/>
      <c r="AR447" s="6"/>
      <c r="BF447" s="6"/>
      <c r="BT447" s="6"/>
      <c r="CH447" s="6"/>
    </row>
    <row r="448" ht="13.5" customHeight="1">
      <c r="P448" s="6"/>
      <c r="AD448" s="6"/>
      <c r="AR448" s="6"/>
      <c r="BF448" s="6"/>
      <c r="BT448" s="6"/>
      <c r="CH448" s="6"/>
    </row>
    <row r="449" ht="13.5" customHeight="1">
      <c r="P449" s="6"/>
      <c r="AD449" s="6"/>
      <c r="AR449" s="6"/>
      <c r="BF449" s="6"/>
      <c r="BT449" s="6"/>
      <c r="CH449" s="6"/>
    </row>
    <row r="450" ht="13.5" customHeight="1">
      <c r="P450" s="6"/>
      <c r="AD450" s="6"/>
      <c r="AR450" s="6"/>
      <c r="BF450" s="6"/>
      <c r="BT450" s="6"/>
      <c r="CH450" s="6"/>
    </row>
    <row r="451" ht="13.5" customHeight="1">
      <c r="P451" s="6"/>
      <c r="AD451" s="6"/>
      <c r="AR451" s="6"/>
      <c r="BF451" s="6"/>
      <c r="BT451" s="6"/>
      <c r="CH451" s="6"/>
    </row>
    <row r="452" ht="13.5" customHeight="1">
      <c r="P452" s="6"/>
      <c r="AD452" s="6"/>
      <c r="AR452" s="6"/>
      <c r="BF452" s="6"/>
      <c r="BT452" s="6"/>
      <c r="CH452" s="6"/>
    </row>
    <row r="453" ht="13.5" customHeight="1">
      <c r="P453" s="6"/>
      <c r="AD453" s="6"/>
      <c r="AR453" s="6"/>
      <c r="BF453" s="6"/>
      <c r="BT453" s="6"/>
      <c r="CH453" s="6"/>
    </row>
    <row r="454" ht="13.5" customHeight="1">
      <c r="P454" s="6"/>
      <c r="AD454" s="6"/>
      <c r="AR454" s="6"/>
      <c r="BF454" s="6"/>
      <c r="BT454" s="6"/>
      <c r="CH454" s="6"/>
    </row>
    <row r="455" ht="13.5" customHeight="1">
      <c r="P455" s="6"/>
      <c r="AD455" s="6"/>
      <c r="AR455" s="6"/>
      <c r="BF455" s="6"/>
      <c r="BT455" s="6"/>
      <c r="CH455" s="6"/>
    </row>
    <row r="456" ht="13.5" customHeight="1">
      <c r="P456" s="6"/>
      <c r="AD456" s="6"/>
      <c r="AR456" s="6"/>
      <c r="BF456" s="6"/>
      <c r="BT456" s="6"/>
      <c r="CH456" s="6"/>
    </row>
    <row r="457" ht="13.5" customHeight="1">
      <c r="P457" s="6"/>
      <c r="AD457" s="6"/>
      <c r="AR457" s="6"/>
      <c r="BF457" s="6"/>
      <c r="BT457" s="6"/>
      <c r="CH457" s="6"/>
    </row>
    <row r="458" ht="13.5" customHeight="1">
      <c r="P458" s="6"/>
      <c r="AD458" s="6"/>
      <c r="AR458" s="6"/>
      <c r="BF458" s="6"/>
      <c r="BT458" s="6"/>
      <c r="CH458" s="6"/>
    </row>
    <row r="459" ht="13.5" customHeight="1">
      <c r="P459" s="6"/>
      <c r="AD459" s="6"/>
      <c r="AR459" s="6"/>
      <c r="BF459" s="6"/>
      <c r="BT459" s="6"/>
      <c r="CH459" s="6"/>
    </row>
    <row r="460" ht="13.5" customHeight="1">
      <c r="P460" s="6"/>
      <c r="AD460" s="6"/>
      <c r="AR460" s="6"/>
      <c r="BF460" s="6"/>
      <c r="BT460" s="6"/>
      <c r="CH460" s="6"/>
    </row>
    <row r="461" ht="13.5" customHeight="1">
      <c r="P461" s="6"/>
      <c r="AD461" s="6"/>
      <c r="AR461" s="6"/>
      <c r="BF461" s="6"/>
      <c r="BT461" s="6"/>
      <c r="CH461" s="6"/>
    </row>
    <row r="462" ht="13.5" customHeight="1">
      <c r="P462" s="6"/>
      <c r="AD462" s="6"/>
      <c r="AR462" s="6"/>
      <c r="BF462" s="6"/>
      <c r="BT462" s="6"/>
      <c r="CH462" s="6"/>
    </row>
    <row r="463" ht="13.5" customHeight="1">
      <c r="P463" s="6"/>
      <c r="AD463" s="6"/>
      <c r="AR463" s="6"/>
      <c r="BF463" s="6"/>
      <c r="BT463" s="6"/>
      <c r="CH463" s="6"/>
    </row>
    <row r="464" ht="13.5" customHeight="1">
      <c r="P464" s="6"/>
      <c r="AD464" s="6"/>
      <c r="AR464" s="6"/>
      <c r="BF464" s="6"/>
      <c r="BT464" s="6"/>
      <c r="CH464" s="6"/>
    </row>
    <row r="465" ht="13.5" customHeight="1">
      <c r="P465" s="6"/>
      <c r="AD465" s="6"/>
      <c r="AR465" s="6"/>
      <c r="BF465" s="6"/>
      <c r="BT465" s="6"/>
      <c r="CH465" s="6"/>
    </row>
    <row r="466" ht="13.5" customHeight="1">
      <c r="P466" s="6"/>
      <c r="AD466" s="6"/>
      <c r="AR466" s="6"/>
      <c r="BF466" s="6"/>
      <c r="BT466" s="6"/>
      <c r="CH466" s="6"/>
    </row>
    <row r="467" ht="13.5" customHeight="1">
      <c r="P467" s="6"/>
      <c r="AD467" s="6"/>
      <c r="AR467" s="6"/>
      <c r="BF467" s="6"/>
      <c r="BT467" s="6"/>
      <c r="CH467" s="6"/>
    </row>
    <row r="468" ht="13.5" customHeight="1">
      <c r="P468" s="6"/>
      <c r="AD468" s="6"/>
      <c r="AR468" s="6"/>
      <c r="BF468" s="6"/>
      <c r="BT468" s="6"/>
      <c r="CH468" s="6"/>
    </row>
    <row r="469" ht="13.5" customHeight="1">
      <c r="P469" s="6"/>
      <c r="AD469" s="6"/>
      <c r="AR469" s="6"/>
      <c r="BF469" s="6"/>
      <c r="BT469" s="6"/>
      <c r="CH469" s="6"/>
    </row>
    <row r="470" ht="13.5" customHeight="1">
      <c r="P470" s="6"/>
      <c r="AD470" s="6"/>
      <c r="AR470" s="6"/>
      <c r="BF470" s="6"/>
      <c r="BT470" s="6"/>
      <c r="CH470" s="6"/>
    </row>
    <row r="471" ht="13.5" customHeight="1">
      <c r="P471" s="6"/>
      <c r="AD471" s="6"/>
      <c r="AR471" s="6"/>
      <c r="BF471" s="6"/>
      <c r="BT471" s="6"/>
      <c r="CH471" s="6"/>
    </row>
    <row r="472" ht="13.5" customHeight="1">
      <c r="P472" s="6"/>
      <c r="AD472" s="6"/>
      <c r="AR472" s="6"/>
      <c r="BF472" s="6"/>
      <c r="BT472" s="6"/>
      <c r="CH472" s="6"/>
    </row>
    <row r="473" ht="13.5" customHeight="1">
      <c r="P473" s="6"/>
      <c r="AD473" s="6"/>
      <c r="AR473" s="6"/>
      <c r="BF473" s="6"/>
      <c r="BT473" s="6"/>
      <c r="CH473" s="6"/>
    </row>
    <row r="474" ht="13.5" customHeight="1">
      <c r="P474" s="6"/>
      <c r="AD474" s="6"/>
      <c r="AR474" s="6"/>
      <c r="BF474" s="6"/>
      <c r="BT474" s="6"/>
      <c r="CH474" s="6"/>
    </row>
    <row r="475" ht="13.5" customHeight="1">
      <c r="P475" s="6"/>
      <c r="AD475" s="6"/>
      <c r="AR475" s="6"/>
      <c r="BF475" s="6"/>
      <c r="BT475" s="6"/>
      <c r="CH475" s="6"/>
    </row>
    <row r="476" ht="13.5" customHeight="1">
      <c r="P476" s="6"/>
      <c r="AD476" s="6"/>
      <c r="AR476" s="6"/>
      <c r="BF476" s="6"/>
      <c r="BT476" s="6"/>
      <c r="CH476" s="6"/>
    </row>
    <row r="477" ht="13.5" customHeight="1">
      <c r="P477" s="6"/>
      <c r="AD477" s="6"/>
      <c r="AR477" s="6"/>
      <c r="BF477" s="6"/>
      <c r="BT477" s="6"/>
      <c r="CH477" s="6"/>
    </row>
    <row r="478" ht="13.5" customHeight="1">
      <c r="P478" s="6"/>
      <c r="AD478" s="6"/>
      <c r="AR478" s="6"/>
      <c r="BF478" s="6"/>
      <c r="BT478" s="6"/>
      <c r="CH478" s="6"/>
    </row>
    <row r="479" ht="13.5" customHeight="1">
      <c r="P479" s="6"/>
      <c r="AD479" s="6"/>
      <c r="AR479" s="6"/>
      <c r="BF479" s="6"/>
      <c r="BT479" s="6"/>
      <c r="CH479" s="6"/>
    </row>
    <row r="480" ht="13.5" customHeight="1">
      <c r="P480" s="6"/>
      <c r="AD480" s="6"/>
      <c r="AR480" s="6"/>
      <c r="BF480" s="6"/>
      <c r="BT480" s="6"/>
      <c r="CH480" s="6"/>
    </row>
    <row r="481" ht="13.5" customHeight="1">
      <c r="P481" s="6"/>
      <c r="AD481" s="6"/>
      <c r="AR481" s="6"/>
      <c r="BF481" s="6"/>
      <c r="BT481" s="6"/>
      <c r="CH481" s="6"/>
    </row>
    <row r="482" ht="13.5" customHeight="1">
      <c r="P482" s="6"/>
      <c r="AD482" s="6"/>
      <c r="AR482" s="6"/>
      <c r="BF482" s="6"/>
      <c r="BT482" s="6"/>
      <c r="CH482" s="6"/>
    </row>
    <row r="483" ht="13.5" customHeight="1">
      <c r="P483" s="6"/>
      <c r="AD483" s="6"/>
      <c r="AR483" s="6"/>
      <c r="BF483" s="6"/>
      <c r="BT483" s="6"/>
      <c r="CH483" s="6"/>
    </row>
    <row r="484" ht="13.5" customHeight="1">
      <c r="P484" s="6"/>
      <c r="AD484" s="6"/>
      <c r="AR484" s="6"/>
      <c r="BF484" s="6"/>
      <c r="BT484" s="6"/>
      <c r="CH484" s="6"/>
    </row>
    <row r="485" ht="13.5" customHeight="1">
      <c r="P485" s="6"/>
      <c r="AD485" s="6"/>
      <c r="AR485" s="6"/>
      <c r="BF485" s="6"/>
      <c r="BT485" s="6"/>
      <c r="CH485" s="6"/>
    </row>
    <row r="486" ht="13.5" customHeight="1">
      <c r="P486" s="6"/>
      <c r="AD486" s="6"/>
      <c r="AR486" s="6"/>
      <c r="BF486" s="6"/>
      <c r="BT486" s="6"/>
      <c r="CH486" s="6"/>
    </row>
    <row r="487" ht="13.5" customHeight="1">
      <c r="P487" s="6"/>
      <c r="AD487" s="6"/>
      <c r="AR487" s="6"/>
      <c r="BF487" s="6"/>
      <c r="BT487" s="6"/>
      <c r="CH487" s="6"/>
    </row>
    <row r="488" ht="13.5" customHeight="1">
      <c r="P488" s="6"/>
      <c r="AD488" s="6"/>
      <c r="AR488" s="6"/>
      <c r="BF488" s="6"/>
      <c r="BT488" s="6"/>
      <c r="CH488" s="6"/>
    </row>
    <row r="489" ht="13.5" customHeight="1">
      <c r="P489" s="6"/>
      <c r="AD489" s="6"/>
      <c r="AR489" s="6"/>
      <c r="BF489" s="6"/>
      <c r="BT489" s="6"/>
      <c r="CH489" s="6"/>
    </row>
    <row r="490" ht="13.5" customHeight="1">
      <c r="P490" s="6"/>
      <c r="AD490" s="6"/>
      <c r="AR490" s="6"/>
      <c r="BF490" s="6"/>
      <c r="BT490" s="6"/>
      <c r="CH490" s="6"/>
    </row>
    <row r="491" ht="13.5" customHeight="1">
      <c r="P491" s="6"/>
      <c r="AD491" s="6"/>
      <c r="AR491" s="6"/>
      <c r="BF491" s="6"/>
      <c r="BT491" s="6"/>
      <c r="CH491" s="6"/>
    </row>
    <row r="492" ht="13.5" customHeight="1">
      <c r="P492" s="6"/>
      <c r="AD492" s="6"/>
      <c r="AR492" s="6"/>
      <c r="BF492" s="6"/>
      <c r="BT492" s="6"/>
      <c r="CH492" s="6"/>
    </row>
    <row r="493" ht="13.5" customHeight="1">
      <c r="P493" s="6"/>
      <c r="AD493" s="6"/>
      <c r="AR493" s="6"/>
      <c r="BF493" s="6"/>
      <c r="BT493" s="6"/>
      <c r="CH493" s="6"/>
    </row>
    <row r="494" ht="13.5" customHeight="1">
      <c r="P494" s="6"/>
      <c r="AD494" s="6"/>
      <c r="AR494" s="6"/>
      <c r="BF494" s="6"/>
      <c r="BT494" s="6"/>
      <c r="CH494" s="6"/>
    </row>
    <row r="495" ht="13.5" customHeight="1">
      <c r="P495" s="6"/>
      <c r="AD495" s="6"/>
      <c r="AR495" s="6"/>
      <c r="BF495" s="6"/>
      <c r="BT495" s="6"/>
      <c r="CH495" s="6"/>
    </row>
    <row r="496" ht="13.5" customHeight="1">
      <c r="P496" s="6"/>
      <c r="AD496" s="6"/>
      <c r="AR496" s="6"/>
      <c r="BF496" s="6"/>
      <c r="BT496" s="6"/>
      <c r="CH496" s="6"/>
    </row>
    <row r="497" ht="13.5" customHeight="1">
      <c r="P497" s="6"/>
      <c r="AD497" s="6"/>
      <c r="AR497" s="6"/>
      <c r="BF497" s="6"/>
      <c r="BT497" s="6"/>
      <c r="CH497" s="6"/>
    </row>
    <row r="498" ht="13.5" customHeight="1">
      <c r="P498" s="6"/>
      <c r="AD498" s="6"/>
      <c r="AR498" s="6"/>
      <c r="BF498" s="6"/>
      <c r="BT498" s="6"/>
      <c r="CH498" s="6"/>
    </row>
    <row r="499" ht="13.5" customHeight="1">
      <c r="P499" s="6"/>
      <c r="AD499" s="6"/>
      <c r="AR499" s="6"/>
      <c r="BF499" s="6"/>
      <c r="BT499" s="6"/>
      <c r="CH499" s="6"/>
    </row>
    <row r="500" ht="13.5" customHeight="1">
      <c r="P500" s="6"/>
      <c r="AD500" s="6"/>
      <c r="AR500" s="6"/>
      <c r="BF500" s="6"/>
      <c r="BT500" s="6"/>
      <c r="CH500" s="6"/>
    </row>
    <row r="501" ht="13.5" customHeight="1">
      <c r="P501" s="6"/>
      <c r="AD501" s="6"/>
      <c r="AR501" s="6"/>
      <c r="BF501" s="6"/>
      <c r="BT501" s="6"/>
      <c r="CH501" s="6"/>
    </row>
    <row r="502" ht="13.5" customHeight="1">
      <c r="P502" s="6"/>
      <c r="AD502" s="6"/>
      <c r="AR502" s="6"/>
      <c r="BF502" s="6"/>
      <c r="BT502" s="6"/>
      <c r="CH502" s="6"/>
    </row>
    <row r="503" ht="13.5" customHeight="1">
      <c r="P503" s="6"/>
      <c r="AD503" s="6"/>
      <c r="AR503" s="6"/>
      <c r="BF503" s="6"/>
      <c r="BT503" s="6"/>
      <c r="CH503" s="6"/>
    </row>
    <row r="504" ht="13.5" customHeight="1">
      <c r="P504" s="6"/>
      <c r="AD504" s="6"/>
      <c r="AR504" s="6"/>
      <c r="BF504" s="6"/>
      <c r="BT504" s="6"/>
      <c r="CH504" s="6"/>
    </row>
    <row r="505" ht="13.5" customHeight="1">
      <c r="P505" s="6"/>
      <c r="AD505" s="6"/>
      <c r="AR505" s="6"/>
      <c r="BF505" s="6"/>
      <c r="BT505" s="6"/>
      <c r="CH505" s="6"/>
    </row>
    <row r="506" ht="13.5" customHeight="1">
      <c r="P506" s="6"/>
      <c r="AD506" s="6"/>
      <c r="AR506" s="6"/>
      <c r="BF506" s="6"/>
      <c r="BT506" s="6"/>
      <c r="CH506" s="6"/>
    </row>
    <row r="507" ht="13.5" customHeight="1">
      <c r="P507" s="6"/>
      <c r="AD507" s="6"/>
      <c r="AR507" s="6"/>
      <c r="BF507" s="6"/>
      <c r="BT507" s="6"/>
      <c r="CH507" s="6"/>
    </row>
    <row r="508" ht="13.5" customHeight="1">
      <c r="P508" s="6"/>
      <c r="AD508" s="6"/>
      <c r="AR508" s="6"/>
      <c r="BF508" s="6"/>
      <c r="BT508" s="6"/>
      <c r="CH508" s="6"/>
    </row>
    <row r="509" ht="13.5" customHeight="1">
      <c r="P509" s="6"/>
      <c r="AD509" s="6"/>
      <c r="AR509" s="6"/>
      <c r="BF509" s="6"/>
      <c r="BT509" s="6"/>
      <c r="CH509" s="6"/>
    </row>
    <row r="510" ht="13.5" customHeight="1">
      <c r="P510" s="6"/>
      <c r="AD510" s="6"/>
      <c r="AR510" s="6"/>
      <c r="BF510" s="6"/>
      <c r="BT510" s="6"/>
      <c r="CH510" s="6"/>
    </row>
    <row r="511" ht="13.5" customHeight="1">
      <c r="P511" s="6"/>
      <c r="AD511" s="6"/>
      <c r="AR511" s="6"/>
      <c r="BF511" s="6"/>
      <c r="BT511" s="6"/>
      <c r="CH511" s="6"/>
    </row>
    <row r="512" ht="13.5" customHeight="1">
      <c r="P512" s="6"/>
      <c r="AD512" s="6"/>
      <c r="AR512" s="6"/>
      <c r="BF512" s="6"/>
      <c r="BT512" s="6"/>
      <c r="CH512" s="6"/>
    </row>
    <row r="513" ht="13.5" customHeight="1">
      <c r="P513" s="6"/>
      <c r="AD513" s="6"/>
      <c r="AR513" s="6"/>
      <c r="BF513" s="6"/>
      <c r="BT513" s="6"/>
      <c r="CH513" s="6"/>
    </row>
    <row r="514" ht="13.5" customHeight="1">
      <c r="P514" s="6"/>
      <c r="AD514" s="6"/>
      <c r="AR514" s="6"/>
      <c r="BF514" s="6"/>
      <c r="BT514" s="6"/>
      <c r="CH514" s="6"/>
    </row>
    <row r="515" ht="13.5" customHeight="1">
      <c r="P515" s="6"/>
      <c r="AD515" s="6"/>
      <c r="AR515" s="6"/>
      <c r="BF515" s="6"/>
      <c r="BT515" s="6"/>
      <c r="CH515" s="6"/>
    </row>
    <row r="516" ht="13.5" customHeight="1">
      <c r="P516" s="6"/>
      <c r="AD516" s="6"/>
      <c r="AR516" s="6"/>
      <c r="BF516" s="6"/>
      <c r="BT516" s="6"/>
      <c r="CH516" s="6"/>
    </row>
    <row r="517" ht="13.5" customHeight="1">
      <c r="P517" s="6"/>
      <c r="AD517" s="6"/>
      <c r="AR517" s="6"/>
      <c r="BF517" s="6"/>
      <c r="BT517" s="6"/>
      <c r="CH517" s="6"/>
    </row>
    <row r="518" ht="13.5" customHeight="1">
      <c r="P518" s="6"/>
      <c r="AD518" s="6"/>
      <c r="AR518" s="6"/>
      <c r="BF518" s="6"/>
      <c r="BT518" s="6"/>
      <c r="CH518" s="6"/>
    </row>
    <row r="519" ht="13.5" customHeight="1">
      <c r="P519" s="6"/>
      <c r="AD519" s="6"/>
      <c r="AR519" s="6"/>
      <c r="BF519" s="6"/>
      <c r="BT519" s="6"/>
      <c r="CH519" s="6"/>
    </row>
    <row r="520" ht="13.5" customHeight="1">
      <c r="P520" s="6"/>
      <c r="AD520" s="6"/>
      <c r="AR520" s="6"/>
      <c r="BF520" s="6"/>
      <c r="BT520" s="6"/>
      <c r="CH520" s="6"/>
    </row>
    <row r="521" ht="13.5" customHeight="1">
      <c r="P521" s="6"/>
      <c r="AD521" s="6"/>
      <c r="AR521" s="6"/>
      <c r="BF521" s="6"/>
      <c r="BT521" s="6"/>
      <c r="CH521" s="6"/>
    </row>
    <row r="522" ht="13.5" customHeight="1">
      <c r="P522" s="6"/>
      <c r="AD522" s="6"/>
      <c r="AR522" s="6"/>
      <c r="BF522" s="6"/>
      <c r="BT522" s="6"/>
      <c r="CH522" s="6"/>
    </row>
    <row r="523" ht="13.5" customHeight="1">
      <c r="P523" s="6"/>
      <c r="AD523" s="6"/>
      <c r="AR523" s="6"/>
      <c r="BF523" s="6"/>
      <c r="BT523" s="6"/>
      <c r="CH523" s="6"/>
    </row>
    <row r="524" ht="13.5" customHeight="1">
      <c r="P524" s="6"/>
      <c r="AD524" s="6"/>
      <c r="AR524" s="6"/>
      <c r="BF524" s="6"/>
      <c r="BT524" s="6"/>
      <c r="CH524" s="6"/>
    </row>
    <row r="525" ht="13.5" customHeight="1">
      <c r="P525" s="6"/>
      <c r="AD525" s="6"/>
      <c r="AR525" s="6"/>
      <c r="BF525" s="6"/>
      <c r="BT525" s="6"/>
      <c r="CH525" s="6"/>
    </row>
    <row r="526" ht="13.5" customHeight="1">
      <c r="P526" s="6"/>
      <c r="AD526" s="6"/>
      <c r="AR526" s="6"/>
      <c r="BF526" s="6"/>
      <c r="BT526" s="6"/>
      <c r="CH526" s="6"/>
    </row>
    <row r="527" ht="13.5" customHeight="1">
      <c r="P527" s="6"/>
      <c r="AD527" s="6"/>
      <c r="AR527" s="6"/>
      <c r="BF527" s="6"/>
      <c r="BT527" s="6"/>
      <c r="CH527" s="6"/>
    </row>
    <row r="528" ht="13.5" customHeight="1">
      <c r="P528" s="6"/>
      <c r="AD528" s="6"/>
      <c r="AR528" s="6"/>
      <c r="BF528" s="6"/>
      <c r="BT528" s="6"/>
      <c r="CH528" s="6"/>
    </row>
    <row r="529" ht="13.5" customHeight="1">
      <c r="P529" s="6"/>
      <c r="AD529" s="6"/>
      <c r="AR529" s="6"/>
      <c r="BF529" s="6"/>
      <c r="BT529" s="6"/>
      <c r="CH529" s="6"/>
    </row>
    <row r="530" ht="13.5" customHeight="1">
      <c r="P530" s="6"/>
      <c r="AD530" s="6"/>
      <c r="AR530" s="6"/>
      <c r="BF530" s="6"/>
      <c r="BT530" s="6"/>
      <c r="CH530" s="6"/>
    </row>
    <row r="531" ht="13.5" customHeight="1">
      <c r="P531" s="6"/>
      <c r="AD531" s="6"/>
      <c r="AR531" s="6"/>
      <c r="BF531" s="6"/>
      <c r="BT531" s="6"/>
      <c r="CH531" s="6"/>
    </row>
    <row r="532" ht="13.5" customHeight="1">
      <c r="P532" s="6"/>
      <c r="AD532" s="6"/>
      <c r="AR532" s="6"/>
      <c r="BF532" s="6"/>
      <c r="BT532" s="6"/>
      <c r="CH532" s="6"/>
    </row>
    <row r="533" ht="13.5" customHeight="1">
      <c r="P533" s="6"/>
      <c r="AD533" s="6"/>
      <c r="AR533" s="6"/>
      <c r="BF533" s="6"/>
      <c r="BT533" s="6"/>
      <c r="CH533" s="6"/>
    </row>
    <row r="534" ht="13.5" customHeight="1">
      <c r="P534" s="6"/>
      <c r="AD534" s="6"/>
      <c r="AR534" s="6"/>
      <c r="BF534" s="6"/>
      <c r="BT534" s="6"/>
      <c r="CH534" s="6"/>
    </row>
    <row r="535" ht="13.5" customHeight="1">
      <c r="P535" s="6"/>
      <c r="AD535" s="6"/>
      <c r="AR535" s="6"/>
      <c r="BF535" s="6"/>
      <c r="BT535" s="6"/>
      <c r="CH535" s="6"/>
    </row>
    <row r="536" ht="13.5" customHeight="1">
      <c r="P536" s="6"/>
      <c r="AD536" s="6"/>
      <c r="AR536" s="6"/>
      <c r="BF536" s="6"/>
      <c r="BT536" s="6"/>
      <c r="CH536" s="6"/>
    </row>
    <row r="537" ht="13.5" customHeight="1">
      <c r="P537" s="6"/>
      <c r="AD537" s="6"/>
      <c r="AR537" s="6"/>
      <c r="BF537" s="6"/>
      <c r="BT537" s="6"/>
      <c r="CH537" s="6"/>
    </row>
    <row r="538" ht="13.5" customHeight="1">
      <c r="P538" s="6"/>
      <c r="AD538" s="6"/>
      <c r="AR538" s="6"/>
      <c r="BF538" s="6"/>
      <c r="BT538" s="6"/>
      <c r="CH538" s="6"/>
    </row>
    <row r="539" ht="13.5" customHeight="1">
      <c r="P539" s="6"/>
      <c r="AD539" s="6"/>
      <c r="AR539" s="6"/>
      <c r="BF539" s="6"/>
      <c r="BT539" s="6"/>
      <c r="CH539" s="6"/>
    </row>
    <row r="540" ht="13.5" customHeight="1">
      <c r="P540" s="6"/>
      <c r="AD540" s="6"/>
      <c r="AR540" s="6"/>
      <c r="BF540" s="6"/>
      <c r="BT540" s="6"/>
      <c r="CH540" s="6"/>
    </row>
    <row r="541" ht="13.5" customHeight="1">
      <c r="P541" s="6"/>
      <c r="AD541" s="6"/>
      <c r="AR541" s="6"/>
      <c r="BF541" s="6"/>
      <c r="BT541" s="6"/>
      <c r="CH541" s="6"/>
    </row>
    <row r="542" ht="13.5" customHeight="1">
      <c r="P542" s="6"/>
      <c r="AD542" s="6"/>
      <c r="AR542" s="6"/>
      <c r="BF542" s="6"/>
      <c r="BT542" s="6"/>
      <c r="CH542" s="6"/>
    </row>
    <row r="543" ht="13.5" customHeight="1">
      <c r="P543" s="6"/>
      <c r="AD543" s="6"/>
      <c r="AR543" s="6"/>
      <c r="BF543" s="6"/>
      <c r="BT543" s="6"/>
      <c r="CH543" s="6"/>
    </row>
    <row r="544" ht="13.5" customHeight="1">
      <c r="P544" s="6"/>
      <c r="AD544" s="6"/>
      <c r="AR544" s="6"/>
      <c r="BF544" s="6"/>
      <c r="BT544" s="6"/>
      <c r="CH544" s="6"/>
    </row>
    <row r="545" ht="13.5" customHeight="1">
      <c r="P545" s="6"/>
      <c r="AD545" s="6"/>
      <c r="AR545" s="6"/>
      <c r="BF545" s="6"/>
      <c r="BT545" s="6"/>
      <c r="CH545" s="6"/>
    </row>
    <row r="546" ht="13.5" customHeight="1">
      <c r="P546" s="6"/>
      <c r="AD546" s="6"/>
      <c r="AR546" s="6"/>
      <c r="BF546" s="6"/>
      <c r="BT546" s="6"/>
      <c r="CH546" s="6"/>
    </row>
    <row r="547" ht="13.5" customHeight="1">
      <c r="P547" s="6"/>
      <c r="AD547" s="6"/>
      <c r="AR547" s="6"/>
      <c r="BF547" s="6"/>
      <c r="BT547" s="6"/>
      <c r="CH547" s="6"/>
    </row>
    <row r="548" ht="13.5" customHeight="1">
      <c r="P548" s="6"/>
      <c r="AD548" s="6"/>
      <c r="AR548" s="6"/>
      <c r="BF548" s="6"/>
      <c r="BT548" s="6"/>
      <c r="CH548" s="6"/>
    </row>
    <row r="549" ht="13.5" customHeight="1">
      <c r="P549" s="6"/>
      <c r="AD549" s="6"/>
      <c r="AR549" s="6"/>
      <c r="BF549" s="6"/>
      <c r="BT549" s="6"/>
      <c r="CH549" s="6"/>
    </row>
    <row r="550" ht="13.5" customHeight="1">
      <c r="P550" s="6"/>
      <c r="AD550" s="6"/>
      <c r="AR550" s="6"/>
      <c r="BF550" s="6"/>
      <c r="BT550" s="6"/>
      <c r="CH550" s="6"/>
    </row>
    <row r="551" ht="13.5" customHeight="1">
      <c r="P551" s="6"/>
      <c r="AD551" s="6"/>
      <c r="AR551" s="6"/>
      <c r="BF551" s="6"/>
      <c r="BT551" s="6"/>
      <c r="CH551" s="6"/>
    </row>
    <row r="552" ht="13.5" customHeight="1">
      <c r="P552" s="6"/>
      <c r="AD552" s="6"/>
      <c r="AR552" s="6"/>
      <c r="BF552" s="6"/>
      <c r="BT552" s="6"/>
      <c r="CH552" s="6"/>
    </row>
    <row r="553" ht="13.5" customHeight="1">
      <c r="P553" s="6"/>
      <c r="AD553" s="6"/>
      <c r="AR553" s="6"/>
      <c r="BF553" s="6"/>
      <c r="BT553" s="6"/>
      <c r="CH553" s="6"/>
    </row>
    <row r="554" ht="13.5" customHeight="1">
      <c r="P554" s="6"/>
      <c r="AD554" s="6"/>
      <c r="AR554" s="6"/>
      <c r="BF554" s="6"/>
      <c r="BT554" s="6"/>
      <c r="CH554" s="6"/>
    </row>
    <row r="555" ht="13.5" customHeight="1">
      <c r="P555" s="6"/>
      <c r="AD555" s="6"/>
      <c r="AR555" s="6"/>
      <c r="BF555" s="6"/>
      <c r="BT555" s="6"/>
      <c r="CH555" s="6"/>
    </row>
    <row r="556" ht="13.5" customHeight="1">
      <c r="P556" s="6"/>
      <c r="AD556" s="6"/>
      <c r="AR556" s="6"/>
      <c r="BF556" s="6"/>
      <c r="BT556" s="6"/>
      <c r="CH556" s="6"/>
    </row>
    <row r="557" ht="13.5" customHeight="1">
      <c r="P557" s="6"/>
      <c r="AD557" s="6"/>
      <c r="AR557" s="6"/>
      <c r="BF557" s="6"/>
      <c r="BT557" s="6"/>
      <c r="CH557" s="6"/>
    </row>
    <row r="558" ht="13.5" customHeight="1">
      <c r="P558" s="6"/>
      <c r="AD558" s="6"/>
      <c r="AR558" s="6"/>
      <c r="BF558" s="6"/>
      <c r="BT558" s="6"/>
      <c r="CH558" s="6"/>
    </row>
    <row r="559" ht="13.5" customHeight="1">
      <c r="P559" s="6"/>
      <c r="AD559" s="6"/>
      <c r="AR559" s="6"/>
      <c r="BF559" s="6"/>
      <c r="BT559" s="6"/>
      <c r="CH559" s="6"/>
    </row>
    <row r="560" ht="13.5" customHeight="1">
      <c r="P560" s="6"/>
      <c r="AD560" s="6"/>
      <c r="AR560" s="6"/>
      <c r="BF560" s="6"/>
      <c r="BT560" s="6"/>
      <c r="CH560" s="6"/>
    </row>
    <row r="561" ht="13.5" customHeight="1">
      <c r="P561" s="6"/>
      <c r="AD561" s="6"/>
      <c r="AR561" s="6"/>
      <c r="BF561" s="6"/>
      <c r="BT561" s="6"/>
      <c r="CH561" s="6"/>
    </row>
    <row r="562" ht="13.5" customHeight="1">
      <c r="P562" s="6"/>
      <c r="AD562" s="6"/>
      <c r="AR562" s="6"/>
      <c r="BF562" s="6"/>
      <c r="BT562" s="6"/>
      <c r="CH562" s="6"/>
    </row>
    <row r="563" ht="13.5" customHeight="1">
      <c r="P563" s="6"/>
      <c r="AD563" s="6"/>
      <c r="AR563" s="6"/>
      <c r="BF563" s="6"/>
      <c r="BT563" s="6"/>
      <c r="CH563" s="6"/>
    </row>
    <row r="564" ht="13.5" customHeight="1">
      <c r="P564" s="6"/>
      <c r="AD564" s="6"/>
      <c r="AR564" s="6"/>
      <c r="BF564" s="6"/>
      <c r="BT564" s="6"/>
      <c r="CH564" s="6"/>
    </row>
    <row r="565" ht="13.5" customHeight="1">
      <c r="P565" s="6"/>
      <c r="AD565" s="6"/>
      <c r="AR565" s="6"/>
      <c r="BF565" s="6"/>
      <c r="BT565" s="6"/>
      <c r="CH565" s="6"/>
    </row>
    <row r="566" ht="13.5" customHeight="1">
      <c r="P566" s="6"/>
      <c r="AD566" s="6"/>
      <c r="AR566" s="6"/>
      <c r="BF566" s="6"/>
      <c r="BT566" s="6"/>
      <c r="CH566" s="6"/>
    </row>
    <row r="567" ht="13.5" customHeight="1">
      <c r="P567" s="6"/>
      <c r="AD567" s="6"/>
      <c r="AR567" s="6"/>
      <c r="BF567" s="6"/>
      <c r="BT567" s="6"/>
      <c r="CH567" s="6"/>
    </row>
    <row r="568" ht="13.5" customHeight="1">
      <c r="P568" s="6"/>
      <c r="AD568" s="6"/>
      <c r="AR568" s="6"/>
      <c r="BF568" s="6"/>
      <c r="BT568" s="6"/>
      <c r="CH568" s="6"/>
    </row>
    <row r="569" ht="13.5" customHeight="1">
      <c r="P569" s="6"/>
      <c r="AD569" s="6"/>
      <c r="AR569" s="6"/>
      <c r="BF569" s="6"/>
      <c r="BT569" s="6"/>
      <c r="CH569" s="6"/>
    </row>
    <row r="570" ht="13.5" customHeight="1">
      <c r="P570" s="6"/>
      <c r="AD570" s="6"/>
      <c r="AR570" s="6"/>
      <c r="BF570" s="6"/>
      <c r="BT570" s="6"/>
      <c r="CH570" s="6"/>
    </row>
    <row r="571" ht="13.5" customHeight="1">
      <c r="P571" s="6"/>
      <c r="AD571" s="6"/>
      <c r="AR571" s="6"/>
      <c r="BF571" s="6"/>
      <c r="BT571" s="6"/>
      <c r="CH571" s="6"/>
    </row>
    <row r="572" ht="13.5" customHeight="1">
      <c r="P572" s="6"/>
      <c r="AD572" s="6"/>
      <c r="AR572" s="6"/>
      <c r="BF572" s="6"/>
      <c r="BT572" s="6"/>
      <c r="CH572" s="6"/>
    </row>
    <row r="573" ht="13.5" customHeight="1">
      <c r="P573" s="6"/>
      <c r="AD573" s="6"/>
      <c r="AR573" s="6"/>
      <c r="BF573" s="6"/>
      <c r="BT573" s="6"/>
      <c r="CH573" s="6"/>
    </row>
    <row r="574" ht="13.5" customHeight="1">
      <c r="P574" s="6"/>
      <c r="AD574" s="6"/>
      <c r="AR574" s="6"/>
      <c r="BF574" s="6"/>
      <c r="BT574" s="6"/>
      <c r="CH574" s="6"/>
    </row>
    <row r="575" ht="13.5" customHeight="1">
      <c r="P575" s="6"/>
      <c r="AD575" s="6"/>
      <c r="AR575" s="6"/>
      <c r="BF575" s="6"/>
      <c r="BT575" s="6"/>
      <c r="CH575" s="6"/>
    </row>
    <row r="576" ht="13.5" customHeight="1">
      <c r="P576" s="6"/>
      <c r="AD576" s="6"/>
      <c r="AR576" s="6"/>
      <c r="BF576" s="6"/>
      <c r="BT576" s="6"/>
      <c r="CH576" s="6"/>
    </row>
    <row r="577" ht="13.5" customHeight="1">
      <c r="P577" s="6"/>
      <c r="AD577" s="6"/>
      <c r="AR577" s="6"/>
      <c r="BF577" s="6"/>
      <c r="BT577" s="6"/>
      <c r="CH577" s="6"/>
    </row>
    <row r="578" ht="13.5" customHeight="1">
      <c r="P578" s="6"/>
      <c r="AD578" s="6"/>
      <c r="AR578" s="6"/>
      <c r="BF578" s="6"/>
      <c r="BT578" s="6"/>
      <c r="CH578" s="6"/>
    </row>
    <row r="579" ht="13.5" customHeight="1">
      <c r="P579" s="6"/>
      <c r="AD579" s="6"/>
      <c r="AR579" s="6"/>
      <c r="BF579" s="6"/>
      <c r="BT579" s="6"/>
      <c r="CH579" s="6"/>
    </row>
    <row r="580" ht="13.5" customHeight="1">
      <c r="P580" s="6"/>
      <c r="AD580" s="6"/>
      <c r="AR580" s="6"/>
      <c r="BF580" s="6"/>
      <c r="BT580" s="6"/>
      <c r="CH580" s="6"/>
    </row>
    <row r="581" ht="13.5" customHeight="1">
      <c r="P581" s="6"/>
      <c r="AD581" s="6"/>
      <c r="AR581" s="6"/>
      <c r="BF581" s="6"/>
      <c r="BT581" s="6"/>
      <c r="CH581" s="6"/>
    </row>
    <row r="582" ht="13.5" customHeight="1">
      <c r="P582" s="6"/>
      <c r="AD582" s="6"/>
      <c r="AR582" s="6"/>
      <c r="BF582" s="6"/>
      <c r="BT582" s="6"/>
      <c r="CH582" s="6"/>
    </row>
    <row r="583" ht="13.5" customHeight="1">
      <c r="P583" s="6"/>
      <c r="AD583" s="6"/>
      <c r="AR583" s="6"/>
      <c r="BF583" s="6"/>
      <c r="BT583" s="6"/>
      <c r="CH583" s="6"/>
    </row>
    <row r="584" ht="13.5" customHeight="1">
      <c r="P584" s="6"/>
      <c r="AD584" s="6"/>
      <c r="AR584" s="6"/>
      <c r="BF584" s="6"/>
      <c r="BT584" s="6"/>
      <c r="CH584" s="6"/>
    </row>
    <row r="585" ht="13.5" customHeight="1">
      <c r="P585" s="6"/>
      <c r="AD585" s="6"/>
      <c r="AR585" s="6"/>
      <c r="BF585" s="6"/>
      <c r="BT585" s="6"/>
      <c r="CH585" s="6"/>
    </row>
    <row r="586" ht="13.5" customHeight="1">
      <c r="P586" s="6"/>
      <c r="AD586" s="6"/>
      <c r="AR586" s="6"/>
      <c r="BF586" s="6"/>
      <c r="BT586" s="6"/>
      <c r="CH586" s="6"/>
    </row>
    <row r="587" ht="13.5" customHeight="1">
      <c r="P587" s="6"/>
      <c r="AD587" s="6"/>
      <c r="AR587" s="6"/>
      <c r="BF587" s="6"/>
      <c r="BT587" s="6"/>
      <c r="CH587" s="6"/>
    </row>
    <row r="588" ht="13.5" customHeight="1">
      <c r="P588" s="6"/>
      <c r="AD588" s="6"/>
      <c r="AR588" s="6"/>
      <c r="BF588" s="6"/>
      <c r="BT588" s="6"/>
      <c r="CH588" s="6"/>
    </row>
    <row r="589" ht="13.5" customHeight="1">
      <c r="P589" s="6"/>
      <c r="AD589" s="6"/>
      <c r="AR589" s="6"/>
      <c r="BF589" s="6"/>
      <c r="BT589" s="6"/>
      <c r="CH589" s="6"/>
    </row>
    <row r="590" ht="13.5" customHeight="1">
      <c r="P590" s="6"/>
      <c r="AD590" s="6"/>
      <c r="AR590" s="6"/>
      <c r="BF590" s="6"/>
      <c r="BT590" s="6"/>
      <c r="CH590" s="6"/>
    </row>
    <row r="591" ht="13.5" customHeight="1">
      <c r="P591" s="6"/>
      <c r="AD591" s="6"/>
      <c r="AR591" s="6"/>
      <c r="BF591" s="6"/>
      <c r="BT591" s="6"/>
      <c r="CH591" s="6"/>
    </row>
    <row r="592" ht="13.5" customHeight="1">
      <c r="P592" s="6"/>
      <c r="AD592" s="6"/>
      <c r="AR592" s="6"/>
      <c r="BF592" s="6"/>
      <c r="BT592" s="6"/>
      <c r="CH592" s="6"/>
    </row>
    <row r="593" ht="13.5" customHeight="1">
      <c r="P593" s="6"/>
      <c r="AD593" s="6"/>
      <c r="AR593" s="6"/>
      <c r="BF593" s="6"/>
      <c r="BT593" s="6"/>
      <c r="CH593" s="6"/>
    </row>
    <row r="594" ht="13.5" customHeight="1">
      <c r="P594" s="6"/>
      <c r="AD594" s="6"/>
      <c r="AR594" s="6"/>
      <c r="BF594" s="6"/>
      <c r="BT594" s="6"/>
      <c r="CH594" s="6"/>
    </row>
    <row r="595" ht="13.5" customHeight="1">
      <c r="P595" s="6"/>
      <c r="AD595" s="6"/>
      <c r="AR595" s="6"/>
      <c r="BF595" s="6"/>
      <c r="BT595" s="6"/>
      <c r="CH595" s="6"/>
    </row>
    <row r="596" ht="13.5" customHeight="1">
      <c r="P596" s="6"/>
      <c r="AD596" s="6"/>
      <c r="AR596" s="6"/>
      <c r="BF596" s="6"/>
      <c r="BT596" s="6"/>
      <c r="CH596" s="6"/>
    </row>
    <row r="597" ht="13.5" customHeight="1">
      <c r="P597" s="6"/>
      <c r="AD597" s="6"/>
      <c r="AR597" s="6"/>
      <c r="BF597" s="6"/>
      <c r="BT597" s="6"/>
      <c r="CH597" s="6"/>
    </row>
    <row r="598" ht="13.5" customHeight="1">
      <c r="P598" s="6"/>
      <c r="AD598" s="6"/>
      <c r="AR598" s="6"/>
      <c r="BF598" s="6"/>
      <c r="BT598" s="6"/>
      <c r="CH598" s="6"/>
    </row>
    <row r="599" ht="13.5" customHeight="1">
      <c r="P599" s="6"/>
      <c r="AD599" s="6"/>
      <c r="AR599" s="6"/>
      <c r="BF599" s="6"/>
      <c r="BT599" s="6"/>
      <c r="CH599" s="6"/>
    </row>
    <row r="600" ht="13.5" customHeight="1">
      <c r="P600" s="6"/>
      <c r="AD600" s="6"/>
      <c r="AR600" s="6"/>
      <c r="BF600" s="6"/>
      <c r="BT600" s="6"/>
      <c r="CH600" s="6"/>
    </row>
    <row r="601" ht="13.5" customHeight="1">
      <c r="P601" s="6"/>
      <c r="AD601" s="6"/>
      <c r="AR601" s="6"/>
      <c r="BF601" s="6"/>
      <c r="BT601" s="6"/>
      <c r="CH601" s="6"/>
    </row>
    <row r="602" ht="13.5" customHeight="1">
      <c r="P602" s="6"/>
      <c r="AD602" s="6"/>
      <c r="AR602" s="6"/>
      <c r="BF602" s="6"/>
      <c r="BT602" s="6"/>
      <c r="CH602" s="6"/>
    </row>
    <row r="603" ht="13.5" customHeight="1">
      <c r="P603" s="6"/>
      <c r="AD603" s="6"/>
      <c r="AR603" s="6"/>
      <c r="BF603" s="6"/>
      <c r="BT603" s="6"/>
      <c r="CH603" s="6"/>
    </row>
    <row r="604" ht="13.5" customHeight="1">
      <c r="P604" s="6"/>
      <c r="AD604" s="6"/>
      <c r="AR604" s="6"/>
      <c r="BF604" s="6"/>
      <c r="BT604" s="6"/>
      <c r="CH604" s="6"/>
    </row>
    <row r="605" ht="13.5" customHeight="1">
      <c r="P605" s="6"/>
      <c r="AD605" s="6"/>
      <c r="AR605" s="6"/>
      <c r="BF605" s="6"/>
      <c r="BT605" s="6"/>
      <c r="CH605" s="6"/>
    </row>
    <row r="606" ht="13.5" customHeight="1">
      <c r="P606" s="6"/>
      <c r="AD606" s="6"/>
      <c r="AR606" s="6"/>
      <c r="BF606" s="6"/>
      <c r="BT606" s="6"/>
      <c r="CH606" s="6"/>
    </row>
    <row r="607" ht="13.5" customHeight="1">
      <c r="P607" s="6"/>
      <c r="AD607" s="6"/>
      <c r="AR607" s="6"/>
      <c r="BF607" s="6"/>
      <c r="BT607" s="6"/>
      <c r="CH607" s="6"/>
    </row>
    <row r="608" ht="13.5" customHeight="1">
      <c r="P608" s="6"/>
      <c r="AD608" s="6"/>
      <c r="AR608" s="6"/>
      <c r="BF608" s="6"/>
      <c r="BT608" s="6"/>
      <c r="CH608" s="6"/>
    </row>
    <row r="609" ht="13.5" customHeight="1">
      <c r="P609" s="6"/>
      <c r="AD609" s="6"/>
      <c r="AR609" s="6"/>
      <c r="BF609" s="6"/>
      <c r="BT609" s="6"/>
      <c r="CH609" s="6"/>
    </row>
    <row r="610" ht="13.5" customHeight="1">
      <c r="P610" s="6"/>
      <c r="AD610" s="6"/>
      <c r="AR610" s="6"/>
      <c r="BF610" s="6"/>
      <c r="BT610" s="6"/>
      <c r="CH610" s="6"/>
    </row>
    <row r="611" ht="13.5" customHeight="1">
      <c r="P611" s="6"/>
      <c r="AD611" s="6"/>
      <c r="AR611" s="6"/>
      <c r="BF611" s="6"/>
      <c r="BT611" s="6"/>
      <c r="CH611" s="6"/>
    </row>
    <row r="612" ht="13.5" customHeight="1">
      <c r="P612" s="6"/>
      <c r="AD612" s="6"/>
      <c r="AR612" s="6"/>
      <c r="BF612" s="6"/>
      <c r="BT612" s="6"/>
      <c r="CH612" s="6"/>
    </row>
    <row r="613" ht="13.5" customHeight="1">
      <c r="P613" s="6"/>
      <c r="AD613" s="6"/>
      <c r="AR613" s="6"/>
      <c r="BF613" s="6"/>
      <c r="BT613" s="6"/>
      <c r="CH613" s="6"/>
    </row>
    <row r="614" ht="13.5" customHeight="1">
      <c r="P614" s="6"/>
      <c r="AD614" s="6"/>
      <c r="AR614" s="6"/>
      <c r="BF614" s="6"/>
      <c r="BT614" s="6"/>
      <c r="CH614" s="6"/>
    </row>
    <row r="615" ht="13.5" customHeight="1">
      <c r="P615" s="6"/>
      <c r="AD615" s="6"/>
      <c r="AR615" s="6"/>
      <c r="BF615" s="6"/>
      <c r="BT615" s="6"/>
      <c r="CH615" s="6"/>
    </row>
    <row r="616" ht="13.5" customHeight="1">
      <c r="P616" s="6"/>
      <c r="AD616" s="6"/>
      <c r="AR616" s="6"/>
      <c r="BF616" s="6"/>
      <c r="BT616" s="6"/>
      <c r="CH616" s="6"/>
    </row>
    <row r="617" ht="13.5" customHeight="1">
      <c r="P617" s="6"/>
      <c r="AD617" s="6"/>
      <c r="AR617" s="6"/>
      <c r="BF617" s="6"/>
      <c r="BT617" s="6"/>
      <c r="CH617" s="6"/>
    </row>
    <row r="618" ht="13.5" customHeight="1">
      <c r="P618" s="6"/>
      <c r="AD618" s="6"/>
      <c r="AR618" s="6"/>
      <c r="BF618" s="6"/>
      <c r="BT618" s="6"/>
      <c r="CH618" s="6"/>
    </row>
    <row r="619" ht="13.5" customHeight="1">
      <c r="P619" s="6"/>
      <c r="AD619" s="6"/>
      <c r="AR619" s="6"/>
      <c r="BF619" s="6"/>
      <c r="BT619" s="6"/>
      <c r="CH619" s="6"/>
    </row>
    <row r="620" ht="13.5" customHeight="1">
      <c r="P620" s="6"/>
      <c r="AD620" s="6"/>
      <c r="AR620" s="6"/>
      <c r="BF620" s="6"/>
      <c r="BT620" s="6"/>
      <c r="CH620" s="6"/>
    </row>
    <row r="621" ht="13.5" customHeight="1">
      <c r="P621" s="6"/>
      <c r="AD621" s="6"/>
      <c r="AR621" s="6"/>
      <c r="BF621" s="6"/>
      <c r="BT621" s="6"/>
      <c r="CH621" s="6"/>
    </row>
    <row r="622" ht="13.5" customHeight="1">
      <c r="P622" s="6"/>
      <c r="AD622" s="6"/>
      <c r="AR622" s="6"/>
      <c r="BF622" s="6"/>
      <c r="BT622" s="6"/>
      <c r="CH622" s="6"/>
    </row>
    <row r="623" ht="13.5" customHeight="1">
      <c r="P623" s="6"/>
      <c r="AD623" s="6"/>
      <c r="AR623" s="6"/>
      <c r="BF623" s="6"/>
      <c r="BT623" s="6"/>
      <c r="CH623" s="6"/>
    </row>
    <row r="624" ht="13.5" customHeight="1">
      <c r="P624" s="6"/>
      <c r="AD624" s="6"/>
      <c r="AR624" s="6"/>
      <c r="BF624" s="6"/>
      <c r="BT624" s="6"/>
      <c r="CH624" s="6"/>
    </row>
    <row r="625" ht="13.5" customHeight="1">
      <c r="P625" s="6"/>
      <c r="AD625" s="6"/>
      <c r="AR625" s="6"/>
      <c r="BF625" s="6"/>
      <c r="BT625" s="6"/>
      <c r="CH625" s="6"/>
    </row>
    <row r="626" ht="13.5" customHeight="1">
      <c r="P626" s="6"/>
      <c r="AD626" s="6"/>
      <c r="AR626" s="6"/>
      <c r="BF626" s="6"/>
      <c r="BT626" s="6"/>
      <c r="CH626" s="6"/>
    </row>
    <row r="627" ht="13.5" customHeight="1">
      <c r="P627" s="6"/>
      <c r="AD627" s="6"/>
      <c r="AR627" s="6"/>
      <c r="BF627" s="6"/>
      <c r="BT627" s="6"/>
      <c r="CH627" s="6"/>
    </row>
    <row r="628" ht="13.5" customHeight="1">
      <c r="P628" s="6"/>
      <c r="AD628" s="6"/>
      <c r="AR628" s="6"/>
      <c r="BF628" s="6"/>
      <c r="BT628" s="6"/>
      <c r="CH628" s="6"/>
    </row>
    <row r="629" ht="13.5" customHeight="1">
      <c r="P629" s="6"/>
      <c r="AD629" s="6"/>
      <c r="AR629" s="6"/>
      <c r="BF629" s="6"/>
      <c r="BT629" s="6"/>
      <c r="CH629" s="6"/>
    </row>
    <row r="630" ht="13.5" customHeight="1">
      <c r="P630" s="6"/>
      <c r="AD630" s="6"/>
      <c r="AR630" s="6"/>
      <c r="BF630" s="6"/>
      <c r="BT630" s="6"/>
      <c r="CH630" s="6"/>
    </row>
    <row r="631" ht="13.5" customHeight="1">
      <c r="P631" s="6"/>
      <c r="AD631" s="6"/>
      <c r="AR631" s="6"/>
      <c r="BF631" s="6"/>
      <c r="BT631" s="6"/>
      <c r="CH631" s="6"/>
    </row>
    <row r="632" ht="13.5" customHeight="1">
      <c r="P632" s="6"/>
      <c r="AD632" s="6"/>
      <c r="AR632" s="6"/>
      <c r="BF632" s="6"/>
      <c r="BT632" s="6"/>
      <c r="CH632" s="6"/>
    </row>
    <row r="633" ht="13.5" customHeight="1">
      <c r="P633" s="6"/>
      <c r="AD633" s="6"/>
      <c r="AR633" s="6"/>
      <c r="BF633" s="6"/>
      <c r="BT633" s="6"/>
      <c r="CH633" s="6"/>
    </row>
    <row r="634" ht="13.5" customHeight="1">
      <c r="P634" s="6"/>
      <c r="AD634" s="6"/>
      <c r="AR634" s="6"/>
      <c r="BF634" s="6"/>
      <c r="BT634" s="6"/>
      <c r="CH634" s="6"/>
    </row>
    <row r="635" ht="13.5" customHeight="1">
      <c r="P635" s="6"/>
      <c r="AD635" s="6"/>
      <c r="AR635" s="6"/>
      <c r="BF635" s="6"/>
      <c r="BT635" s="6"/>
      <c r="CH635" s="6"/>
    </row>
    <row r="636" ht="13.5" customHeight="1">
      <c r="P636" s="6"/>
      <c r="AD636" s="6"/>
      <c r="AR636" s="6"/>
      <c r="BF636" s="6"/>
      <c r="BT636" s="6"/>
      <c r="CH636" s="6"/>
    </row>
    <row r="637" ht="13.5" customHeight="1">
      <c r="P637" s="6"/>
      <c r="AD637" s="6"/>
      <c r="AR637" s="6"/>
      <c r="BF637" s="6"/>
      <c r="BT637" s="6"/>
      <c r="CH637" s="6"/>
    </row>
    <row r="638" ht="13.5" customHeight="1">
      <c r="P638" s="6"/>
      <c r="AD638" s="6"/>
      <c r="AR638" s="6"/>
      <c r="BF638" s="6"/>
      <c r="BT638" s="6"/>
      <c r="CH638" s="6"/>
    </row>
    <row r="639" ht="13.5" customHeight="1">
      <c r="P639" s="6"/>
      <c r="AD639" s="6"/>
      <c r="AR639" s="6"/>
      <c r="BF639" s="6"/>
      <c r="BT639" s="6"/>
      <c r="CH639" s="6"/>
    </row>
    <row r="640" ht="13.5" customHeight="1">
      <c r="P640" s="6"/>
      <c r="AD640" s="6"/>
      <c r="AR640" s="6"/>
      <c r="BF640" s="6"/>
      <c r="BT640" s="6"/>
      <c r="CH640" s="6"/>
    </row>
    <row r="641" ht="13.5" customHeight="1">
      <c r="P641" s="6"/>
      <c r="AD641" s="6"/>
      <c r="AR641" s="6"/>
      <c r="BF641" s="6"/>
      <c r="BT641" s="6"/>
      <c r="CH641" s="6"/>
    </row>
    <row r="642" ht="13.5" customHeight="1">
      <c r="P642" s="6"/>
      <c r="AD642" s="6"/>
      <c r="AR642" s="6"/>
      <c r="BF642" s="6"/>
      <c r="BT642" s="6"/>
      <c r="CH642" s="6"/>
    </row>
    <row r="643" ht="13.5" customHeight="1">
      <c r="P643" s="6"/>
      <c r="AD643" s="6"/>
      <c r="AR643" s="6"/>
      <c r="BF643" s="6"/>
      <c r="BT643" s="6"/>
      <c r="CH643" s="6"/>
    </row>
    <row r="644" ht="13.5" customHeight="1">
      <c r="P644" s="6"/>
      <c r="AD644" s="6"/>
      <c r="AR644" s="6"/>
      <c r="BF644" s="6"/>
      <c r="BT644" s="6"/>
      <c r="CH644" s="6"/>
    </row>
    <row r="645" ht="13.5" customHeight="1">
      <c r="P645" s="6"/>
      <c r="AD645" s="6"/>
      <c r="AR645" s="6"/>
      <c r="BF645" s="6"/>
      <c r="BT645" s="6"/>
      <c r="CH645" s="6"/>
    </row>
    <row r="646" ht="13.5" customHeight="1">
      <c r="P646" s="6"/>
      <c r="AD646" s="6"/>
      <c r="AR646" s="6"/>
      <c r="BF646" s="6"/>
      <c r="BT646" s="6"/>
      <c r="CH646" s="6"/>
    </row>
    <row r="647" ht="13.5" customHeight="1">
      <c r="P647" s="6"/>
      <c r="AD647" s="6"/>
      <c r="AR647" s="6"/>
      <c r="BF647" s="6"/>
      <c r="BT647" s="6"/>
      <c r="CH647" s="6"/>
    </row>
    <row r="648" ht="13.5" customHeight="1">
      <c r="P648" s="6"/>
      <c r="AD648" s="6"/>
      <c r="AR648" s="6"/>
      <c r="BF648" s="6"/>
      <c r="BT648" s="6"/>
      <c r="CH648" s="6"/>
    </row>
    <row r="649" ht="13.5" customHeight="1">
      <c r="P649" s="6"/>
      <c r="AD649" s="6"/>
      <c r="AR649" s="6"/>
      <c r="BF649" s="6"/>
      <c r="BT649" s="6"/>
      <c r="CH649" s="6"/>
    </row>
    <row r="650" ht="13.5" customHeight="1">
      <c r="P650" s="6"/>
      <c r="AD650" s="6"/>
      <c r="AR650" s="6"/>
      <c r="BF650" s="6"/>
      <c r="BT650" s="6"/>
      <c r="CH650" s="6"/>
    </row>
    <row r="651" ht="13.5" customHeight="1">
      <c r="P651" s="6"/>
      <c r="AD651" s="6"/>
      <c r="AR651" s="6"/>
      <c r="BF651" s="6"/>
      <c r="BT651" s="6"/>
      <c r="CH651" s="6"/>
    </row>
    <row r="652" ht="13.5" customHeight="1">
      <c r="P652" s="6"/>
      <c r="AD652" s="6"/>
      <c r="AR652" s="6"/>
      <c r="BF652" s="6"/>
      <c r="BT652" s="6"/>
      <c r="CH652" s="6"/>
    </row>
    <row r="653" ht="13.5" customHeight="1">
      <c r="P653" s="6"/>
      <c r="AD653" s="6"/>
      <c r="AR653" s="6"/>
      <c r="BF653" s="6"/>
      <c r="BT653" s="6"/>
      <c r="CH653" s="6"/>
    </row>
    <row r="654" ht="13.5" customHeight="1">
      <c r="P654" s="6"/>
      <c r="AD654" s="6"/>
      <c r="AR654" s="6"/>
      <c r="BF654" s="6"/>
      <c r="BT654" s="6"/>
      <c r="CH654" s="6"/>
    </row>
    <row r="655" ht="13.5" customHeight="1">
      <c r="P655" s="6"/>
      <c r="AD655" s="6"/>
      <c r="AR655" s="6"/>
      <c r="BF655" s="6"/>
      <c r="BT655" s="6"/>
      <c r="CH655" s="6"/>
    </row>
    <row r="656" ht="13.5" customHeight="1">
      <c r="P656" s="6"/>
      <c r="AD656" s="6"/>
      <c r="AR656" s="6"/>
      <c r="BF656" s="6"/>
      <c r="BT656" s="6"/>
      <c r="CH656" s="6"/>
    </row>
    <row r="657" ht="13.5" customHeight="1">
      <c r="P657" s="6"/>
      <c r="AD657" s="6"/>
      <c r="AR657" s="6"/>
      <c r="BF657" s="6"/>
      <c r="BT657" s="6"/>
      <c r="CH657" s="6"/>
    </row>
    <row r="658" ht="13.5" customHeight="1">
      <c r="P658" s="6"/>
      <c r="AD658" s="6"/>
      <c r="AR658" s="6"/>
      <c r="BF658" s="6"/>
      <c r="BT658" s="6"/>
      <c r="CH658" s="6"/>
    </row>
    <row r="659" ht="13.5" customHeight="1">
      <c r="P659" s="6"/>
      <c r="AD659" s="6"/>
      <c r="AR659" s="6"/>
      <c r="BF659" s="6"/>
      <c r="BT659" s="6"/>
      <c r="CH659" s="6"/>
    </row>
    <row r="660" ht="13.5" customHeight="1">
      <c r="P660" s="6"/>
      <c r="AD660" s="6"/>
      <c r="AR660" s="6"/>
      <c r="BF660" s="6"/>
      <c r="BT660" s="6"/>
      <c r="CH660" s="6"/>
    </row>
    <row r="661" ht="13.5" customHeight="1">
      <c r="P661" s="6"/>
      <c r="AD661" s="6"/>
      <c r="AR661" s="6"/>
      <c r="BF661" s="6"/>
      <c r="BT661" s="6"/>
      <c r="CH661" s="6"/>
    </row>
    <row r="662" ht="13.5" customHeight="1">
      <c r="P662" s="6"/>
      <c r="AD662" s="6"/>
      <c r="AR662" s="6"/>
      <c r="BF662" s="6"/>
      <c r="BT662" s="6"/>
      <c r="CH662" s="6"/>
    </row>
    <row r="663" ht="13.5" customHeight="1">
      <c r="P663" s="6"/>
      <c r="AD663" s="6"/>
      <c r="AR663" s="6"/>
      <c r="BF663" s="6"/>
      <c r="BT663" s="6"/>
      <c r="CH663" s="6"/>
    </row>
    <row r="664" ht="13.5" customHeight="1">
      <c r="P664" s="6"/>
      <c r="AD664" s="6"/>
      <c r="AR664" s="6"/>
      <c r="BF664" s="6"/>
      <c r="BT664" s="6"/>
      <c r="CH664" s="6"/>
    </row>
    <row r="665" ht="13.5" customHeight="1">
      <c r="P665" s="6"/>
      <c r="AD665" s="6"/>
      <c r="AR665" s="6"/>
      <c r="BF665" s="6"/>
      <c r="BT665" s="6"/>
      <c r="CH665" s="6"/>
    </row>
    <row r="666" ht="13.5" customHeight="1">
      <c r="P666" s="6"/>
      <c r="AD666" s="6"/>
      <c r="AR666" s="6"/>
      <c r="BF666" s="6"/>
      <c r="BT666" s="6"/>
      <c r="CH666" s="6"/>
    </row>
    <row r="667" ht="13.5" customHeight="1">
      <c r="P667" s="6"/>
      <c r="AD667" s="6"/>
      <c r="AR667" s="6"/>
      <c r="BF667" s="6"/>
      <c r="BT667" s="6"/>
      <c r="CH667" s="6"/>
    </row>
    <row r="668" ht="13.5" customHeight="1">
      <c r="P668" s="6"/>
      <c r="AD668" s="6"/>
      <c r="AR668" s="6"/>
      <c r="BF668" s="6"/>
      <c r="BT668" s="6"/>
      <c r="CH668" s="6"/>
    </row>
    <row r="669" ht="13.5" customHeight="1">
      <c r="P669" s="6"/>
      <c r="AD669" s="6"/>
      <c r="AR669" s="6"/>
      <c r="BF669" s="6"/>
      <c r="BT669" s="6"/>
      <c r="CH669" s="6"/>
    </row>
    <row r="670" ht="13.5" customHeight="1">
      <c r="P670" s="6"/>
      <c r="AD670" s="6"/>
      <c r="AR670" s="6"/>
      <c r="BF670" s="6"/>
      <c r="BT670" s="6"/>
      <c r="CH670" s="6"/>
    </row>
    <row r="671" ht="13.5" customHeight="1">
      <c r="P671" s="6"/>
      <c r="AD671" s="6"/>
      <c r="AR671" s="6"/>
      <c r="BF671" s="6"/>
      <c r="BT671" s="6"/>
      <c r="CH671" s="6"/>
    </row>
    <row r="672" ht="13.5" customHeight="1">
      <c r="P672" s="6"/>
      <c r="AD672" s="6"/>
      <c r="AR672" s="6"/>
      <c r="BF672" s="6"/>
      <c r="BT672" s="6"/>
      <c r="CH672" s="6"/>
    </row>
    <row r="673" ht="13.5" customHeight="1">
      <c r="P673" s="6"/>
      <c r="AD673" s="6"/>
      <c r="AR673" s="6"/>
      <c r="BF673" s="6"/>
      <c r="BT673" s="6"/>
      <c r="CH673" s="6"/>
    </row>
    <row r="674" ht="13.5" customHeight="1">
      <c r="P674" s="6"/>
      <c r="AD674" s="6"/>
      <c r="AR674" s="6"/>
      <c r="BF674" s="6"/>
      <c r="BT674" s="6"/>
      <c r="CH674" s="6"/>
    </row>
    <row r="675" ht="13.5" customHeight="1">
      <c r="P675" s="6"/>
      <c r="AD675" s="6"/>
      <c r="AR675" s="6"/>
      <c r="BF675" s="6"/>
      <c r="BT675" s="6"/>
      <c r="CH675" s="6"/>
    </row>
    <row r="676" ht="13.5" customHeight="1">
      <c r="P676" s="6"/>
      <c r="AD676" s="6"/>
      <c r="AR676" s="6"/>
      <c r="BF676" s="6"/>
      <c r="BT676" s="6"/>
      <c r="CH676" s="6"/>
    </row>
    <row r="677" ht="13.5" customHeight="1">
      <c r="P677" s="6"/>
      <c r="AD677" s="6"/>
      <c r="AR677" s="6"/>
      <c r="BF677" s="6"/>
      <c r="BT677" s="6"/>
      <c r="CH677" s="6"/>
    </row>
    <row r="678" ht="13.5" customHeight="1">
      <c r="P678" s="6"/>
      <c r="AD678" s="6"/>
      <c r="AR678" s="6"/>
      <c r="BF678" s="6"/>
      <c r="BT678" s="6"/>
      <c r="CH678" s="6"/>
    </row>
    <row r="679" ht="13.5" customHeight="1">
      <c r="P679" s="6"/>
      <c r="AD679" s="6"/>
      <c r="AR679" s="6"/>
      <c r="BF679" s="6"/>
      <c r="BT679" s="6"/>
      <c r="CH679" s="6"/>
    </row>
    <row r="680" ht="13.5" customHeight="1">
      <c r="P680" s="6"/>
      <c r="AD680" s="6"/>
      <c r="AR680" s="6"/>
      <c r="BF680" s="6"/>
      <c r="BT680" s="6"/>
      <c r="CH680" s="6"/>
    </row>
    <row r="681" ht="13.5" customHeight="1">
      <c r="P681" s="6"/>
      <c r="AD681" s="6"/>
      <c r="AR681" s="6"/>
      <c r="BF681" s="6"/>
      <c r="BT681" s="6"/>
      <c r="CH681" s="6"/>
    </row>
    <row r="682" ht="13.5" customHeight="1">
      <c r="P682" s="6"/>
      <c r="AD682" s="6"/>
      <c r="AR682" s="6"/>
      <c r="BF682" s="6"/>
      <c r="BT682" s="6"/>
      <c r="CH682" s="6"/>
    </row>
    <row r="683" ht="13.5" customHeight="1">
      <c r="P683" s="6"/>
      <c r="AD683" s="6"/>
      <c r="AR683" s="6"/>
      <c r="BF683" s="6"/>
      <c r="BT683" s="6"/>
      <c r="CH683" s="6"/>
    </row>
    <row r="684" ht="13.5" customHeight="1">
      <c r="P684" s="6"/>
      <c r="AD684" s="6"/>
      <c r="AR684" s="6"/>
      <c r="BF684" s="6"/>
      <c r="BT684" s="6"/>
      <c r="CH684" s="6"/>
    </row>
    <row r="685" ht="13.5" customHeight="1">
      <c r="P685" s="6"/>
      <c r="AD685" s="6"/>
      <c r="AR685" s="6"/>
      <c r="BF685" s="6"/>
      <c r="BT685" s="6"/>
      <c r="CH685" s="6"/>
    </row>
    <row r="686" ht="13.5" customHeight="1">
      <c r="P686" s="6"/>
      <c r="AD686" s="6"/>
      <c r="AR686" s="6"/>
      <c r="BF686" s="6"/>
      <c r="BT686" s="6"/>
      <c r="CH686" s="6"/>
    </row>
    <row r="687" ht="13.5" customHeight="1">
      <c r="P687" s="6"/>
      <c r="AD687" s="6"/>
      <c r="AR687" s="6"/>
      <c r="BF687" s="6"/>
      <c r="BT687" s="6"/>
      <c r="CH687" s="6"/>
    </row>
    <row r="688" ht="13.5" customHeight="1">
      <c r="P688" s="6"/>
      <c r="AD688" s="6"/>
      <c r="AR688" s="6"/>
      <c r="BF688" s="6"/>
      <c r="BT688" s="6"/>
      <c r="CH688" s="6"/>
    </row>
    <row r="689" ht="13.5" customHeight="1">
      <c r="P689" s="6"/>
      <c r="AD689" s="6"/>
      <c r="AR689" s="6"/>
      <c r="BF689" s="6"/>
      <c r="BT689" s="6"/>
      <c r="CH689" s="6"/>
    </row>
    <row r="690" ht="13.5" customHeight="1">
      <c r="P690" s="6"/>
      <c r="AD690" s="6"/>
      <c r="AR690" s="6"/>
      <c r="BF690" s="6"/>
      <c r="BT690" s="6"/>
      <c r="CH690" s="6"/>
    </row>
    <row r="691" ht="13.5" customHeight="1">
      <c r="P691" s="6"/>
      <c r="AD691" s="6"/>
      <c r="AR691" s="6"/>
      <c r="BF691" s="6"/>
      <c r="BT691" s="6"/>
      <c r="CH691" s="6"/>
    </row>
    <row r="692" ht="13.5" customHeight="1">
      <c r="P692" s="6"/>
      <c r="AD692" s="6"/>
      <c r="AR692" s="6"/>
      <c r="BF692" s="6"/>
      <c r="BT692" s="6"/>
      <c r="CH692" s="6"/>
    </row>
    <row r="693" ht="13.5" customHeight="1">
      <c r="P693" s="6"/>
      <c r="AD693" s="6"/>
      <c r="AR693" s="6"/>
      <c r="BF693" s="6"/>
      <c r="BT693" s="6"/>
      <c r="CH693" s="6"/>
    </row>
    <row r="694" ht="13.5" customHeight="1">
      <c r="P694" s="6"/>
      <c r="AD694" s="6"/>
      <c r="AR694" s="6"/>
      <c r="BF694" s="6"/>
      <c r="BT694" s="6"/>
      <c r="CH694" s="6"/>
    </row>
    <row r="695" ht="13.5" customHeight="1">
      <c r="P695" s="6"/>
      <c r="AD695" s="6"/>
      <c r="AR695" s="6"/>
      <c r="BF695" s="6"/>
      <c r="BT695" s="6"/>
      <c r="CH695" s="6"/>
    </row>
    <row r="696" ht="13.5" customHeight="1">
      <c r="P696" s="6"/>
      <c r="AD696" s="6"/>
      <c r="AR696" s="6"/>
      <c r="BF696" s="6"/>
      <c r="BT696" s="6"/>
      <c r="CH696" s="6"/>
    </row>
    <row r="697" ht="13.5" customHeight="1">
      <c r="P697" s="6"/>
      <c r="AD697" s="6"/>
      <c r="AR697" s="6"/>
      <c r="BF697" s="6"/>
      <c r="BT697" s="6"/>
      <c r="CH697" s="6"/>
    </row>
    <row r="698" ht="13.5" customHeight="1">
      <c r="P698" s="6"/>
      <c r="AD698" s="6"/>
      <c r="AR698" s="6"/>
      <c r="BF698" s="6"/>
      <c r="BT698" s="6"/>
      <c r="CH698" s="6"/>
    </row>
    <row r="699" ht="13.5" customHeight="1">
      <c r="P699" s="6"/>
      <c r="AD699" s="6"/>
      <c r="AR699" s="6"/>
      <c r="BF699" s="6"/>
      <c r="BT699" s="6"/>
      <c r="CH699" s="6"/>
    </row>
    <row r="700" ht="13.5" customHeight="1">
      <c r="P700" s="6"/>
      <c r="AD700" s="6"/>
      <c r="AR700" s="6"/>
      <c r="BF700" s="6"/>
      <c r="BT700" s="6"/>
      <c r="CH700" s="6"/>
    </row>
    <row r="701" ht="13.5" customHeight="1">
      <c r="P701" s="6"/>
      <c r="AD701" s="6"/>
      <c r="AR701" s="6"/>
      <c r="BF701" s="6"/>
      <c r="BT701" s="6"/>
      <c r="CH701" s="6"/>
    </row>
    <row r="702" ht="13.5" customHeight="1">
      <c r="P702" s="6"/>
      <c r="AD702" s="6"/>
      <c r="AR702" s="6"/>
      <c r="BF702" s="6"/>
      <c r="BT702" s="6"/>
      <c r="CH702" s="6"/>
    </row>
    <row r="703" ht="13.5" customHeight="1">
      <c r="P703" s="6"/>
      <c r="AD703" s="6"/>
      <c r="AR703" s="6"/>
      <c r="BF703" s="6"/>
      <c r="BT703" s="6"/>
      <c r="CH703" s="6"/>
    </row>
    <row r="704" ht="13.5" customHeight="1">
      <c r="P704" s="6"/>
      <c r="AD704" s="6"/>
      <c r="AR704" s="6"/>
      <c r="BF704" s="6"/>
      <c r="BT704" s="6"/>
      <c r="CH704" s="6"/>
    </row>
    <row r="705" ht="13.5" customHeight="1">
      <c r="P705" s="6"/>
      <c r="AD705" s="6"/>
      <c r="AR705" s="6"/>
      <c r="BF705" s="6"/>
      <c r="BT705" s="6"/>
      <c r="CH705" s="6"/>
    </row>
    <row r="706" ht="13.5" customHeight="1">
      <c r="P706" s="6"/>
      <c r="AD706" s="6"/>
      <c r="AR706" s="6"/>
      <c r="BF706" s="6"/>
      <c r="BT706" s="6"/>
      <c r="CH706" s="6"/>
    </row>
    <row r="707" ht="13.5" customHeight="1">
      <c r="P707" s="6"/>
      <c r="AD707" s="6"/>
      <c r="AR707" s="6"/>
      <c r="BF707" s="6"/>
      <c r="BT707" s="6"/>
      <c r="CH707" s="6"/>
    </row>
    <row r="708" ht="13.5" customHeight="1">
      <c r="P708" s="6"/>
      <c r="AD708" s="6"/>
      <c r="AR708" s="6"/>
      <c r="BF708" s="6"/>
      <c r="BT708" s="6"/>
      <c r="CH708" s="6"/>
    </row>
    <row r="709" ht="13.5" customHeight="1">
      <c r="P709" s="6"/>
      <c r="AD709" s="6"/>
      <c r="AR709" s="6"/>
      <c r="BF709" s="6"/>
      <c r="BT709" s="6"/>
      <c r="CH709" s="6"/>
    </row>
    <row r="710" ht="13.5" customHeight="1">
      <c r="P710" s="6"/>
      <c r="AD710" s="6"/>
      <c r="AR710" s="6"/>
      <c r="BF710" s="6"/>
      <c r="BT710" s="6"/>
      <c r="CH710" s="6"/>
    </row>
    <row r="711" ht="13.5" customHeight="1">
      <c r="P711" s="6"/>
      <c r="AD711" s="6"/>
      <c r="AR711" s="6"/>
      <c r="BF711" s="6"/>
      <c r="BT711" s="6"/>
      <c r="CH711" s="6"/>
    </row>
    <row r="712" ht="13.5" customHeight="1">
      <c r="P712" s="6"/>
      <c r="AD712" s="6"/>
      <c r="AR712" s="6"/>
      <c r="BF712" s="6"/>
      <c r="BT712" s="6"/>
      <c r="CH712" s="6"/>
    </row>
    <row r="713" ht="13.5" customHeight="1">
      <c r="P713" s="6"/>
      <c r="AD713" s="6"/>
      <c r="AR713" s="6"/>
      <c r="BF713" s="6"/>
      <c r="BT713" s="6"/>
      <c r="CH713" s="6"/>
    </row>
    <row r="714" ht="13.5" customHeight="1">
      <c r="P714" s="6"/>
      <c r="AD714" s="6"/>
      <c r="AR714" s="6"/>
      <c r="BF714" s="6"/>
      <c r="BT714" s="6"/>
      <c r="CH714" s="6"/>
    </row>
    <row r="715" ht="13.5" customHeight="1">
      <c r="P715" s="6"/>
      <c r="AD715" s="6"/>
      <c r="AR715" s="6"/>
      <c r="BF715" s="6"/>
      <c r="BT715" s="6"/>
      <c r="CH715" s="6"/>
    </row>
    <row r="716" ht="13.5" customHeight="1">
      <c r="P716" s="6"/>
      <c r="AD716" s="6"/>
      <c r="AR716" s="6"/>
      <c r="BF716" s="6"/>
      <c r="BT716" s="6"/>
      <c r="CH716" s="6"/>
    </row>
    <row r="717" ht="13.5" customHeight="1">
      <c r="P717" s="6"/>
      <c r="AD717" s="6"/>
      <c r="AR717" s="6"/>
      <c r="BF717" s="6"/>
      <c r="BT717" s="6"/>
      <c r="CH717" s="6"/>
    </row>
    <row r="718" ht="13.5" customHeight="1">
      <c r="P718" s="6"/>
      <c r="AD718" s="6"/>
      <c r="AR718" s="6"/>
      <c r="BF718" s="6"/>
      <c r="BT718" s="6"/>
      <c r="CH718" s="6"/>
    </row>
    <row r="719" ht="13.5" customHeight="1">
      <c r="P719" s="6"/>
      <c r="AD719" s="6"/>
      <c r="AR719" s="6"/>
      <c r="BF719" s="6"/>
      <c r="BT719" s="6"/>
      <c r="CH719" s="6"/>
    </row>
    <row r="720" ht="13.5" customHeight="1">
      <c r="P720" s="6"/>
      <c r="AD720" s="6"/>
      <c r="AR720" s="6"/>
      <c r="BF720" s="6"/>
      <c r="BT720" s="6"/>
      <c r="CH720" s="6"/>
    </row>
    <row r="721" ht="13.5" customHeight="1">
      <c r="P721" s="6"/>
      <c r="AD721" s="6"/>
      <c r="AR721" s="6"/>
      <c r="BF721" s="6"/>
      <c r="BT721" s="6"/>
      <c r="CH721" s="6"/>
    </row>
    <row r="722" ht="13.5" customHeight="1">
      <c r="P722" s="6"/>
      <c r="AD722" s="6"/>
      <c r="AR722" s="6"/>
      <c r="BF722" s="6"/>
      <c r="BT722" s="6"/>
      <c r="CH722" s="6"/>
    </row>
    <row r="723" ht="13.5" customHeight="1">
      <c r="P723" s="6"/>
      <c r="AD723" s="6"/>
      <c r="AR723" s="6"/>
      <c r="BF723" s="6"/>
      <c r="BT723" s="6"/>
      <c r="CH723" s="6"/>
    </row>
    <row r="724" ht="13.5" customHeight="1">
      <c r="P724" s="6"/>
      <c r="AD724" s="6"/>
      <c r="AR724" s="6"/>
      <c r="BF724" s="6"/>
      <c r="BT724" s="6"/>
      <c r="CH724" s="6"/>
    </row>
    <row r="725" ht="13.5" customHeight="1">
      <c r="P725" s="6"/>
      <c r="AD725" s="6"/>
      <c r="AR725" s="6"/>
      <c r="BF725" s="6"/>
      <c r="BT725" s="6"/>
      <c r="CH725" s="6"/>
    </row>
    <row r="726" ht="13.5" customHeight="1">
      <c r="P726" s="6"/>
      <c r="AD726" s="6"/>
      <c r="AR726" s="6"/>
      <c r="BF726" s="6"/>
      <c r="BT726" s="6"/>
      <c r="CH726" s="6"/>
    </row>
    <row r="727" ht="13.5" customHeight="1">
      <c r="P727" s="6"/>
      <c r="AD727" s="6"/>
      <c r="AR727" s="6"/>
      <c r="BF727" s="6"/>
      <c r="BT727" s="6"/>
      <c r="CH727" s="6"/>
    </row>
    <row r="728" ht="13.5" customHeight="1">
      <c r="P728" s="6"/>
      <c r="AD728" s="6"/>
      <c r="AR728" s="6"/>
      <c r="BF728" s="6"/>
      <c r="BT728" s="6"/>
      <c r="CH728" s="6"/>
    </row>
    <row r="729" ht="13.5" customHeight="1">
      <c r="P729" s="6"/>
      <c r="AD729" s="6"/>
      <c r="AR729" s="6"/>
      <c r="BF729" s="6"/>
      <c r="BT729" s="6"/>
      <c r="CH729" s="6"/>
    </row>
    <row r="730" ht="13.5" customHeight="1">
      <c r="P730" s="6"/>
      <c r="AD730" s="6"/>
      <c r="AR730" s="6"/>
      <c r="BF730" s="6"/>
      <c r="BT730" s="6"/>
      <c r="CH730" s="6"/>
    </row>
    <row r="731" ht="13.5" customHeight="1">
      <c r="P731" s="6"/>
      <c r="AD731" s="6"/>
      <c r="AR731" s="6"/>
      <c r="BF731" s="6"/>
      <c r="BT731" s="6"/>
      <c r="CH731" s="6"/>
    </row>
    <row r="732" ht="13.5" customHeight="1">
      <c r="P732" s="6"/>
      <c r="AD732" s="6"/>
      <c r="AR732" s="6"/>
      <c r="BF732" s="6"/>
      <c r="BT732" s="6"/>
      <c r="CH732" s="6"/>
    </row>
    <row r="733" ht="13.5" customHeight="1">
      <c r="P733" s="6"/>
      <c r="AD733" s="6"/>
      <c r="AR733" s="6"/>
      <c r="BF733" s="6"/>
      <c r="BT733" s="6"/>
      <c r="CH733" s="6"/>
    </row>
    <row r="734" ht="13.5" customHeight="1">
      <c r="P734" s="6"/>
      <c r="AD734" s="6"/>
      <c r="AR734" s="6"/>
      <c r="BF734" s="6"/>
      <c r="BT734" s="6"/>
      <c r="CH734" s="6"/>
    </row>
    <row r="735" ht="13.5" customHeight="1">
      <c r="P735" s="6"/>
      <c r="AD735" s="6"/>
      <c r="AR735" s="6"/>
      <c r="BF735" s="6"/>
      <c r="BT735" s="6"/>
      <c r="CH735" s="6"/>
    </row>
    <row r="736" ht="13.5" customHeight="1">
      <c r="P736" s="6"/>
      <c r="AD736" s="6"/>
      <c r="AR736" s="6"/>
      <c r="BF736" s="6"/>
      <c r="BT736" s="6"/>
      <c r="CH736" s="6"/>
    </row>
    <row r="737" ht="13.5" customHeight="1">
      <c r="P737" s="6"/>
      <c r="AD737" s="6"/>
      <c r="AR737" s="6"/>
      <c r="BF737" s="6"/>
      <c r="BT737" s="6"/>
      <c r="CH737" s="6"/>
    </row>
    <row r="738" ht="13.5" customHeight="1">
      <c r="P738" s="6"/>
      <c r="AD738" s="6"/>
      <c r="AR738" s="6"/>
      <c r="BF738" s="6"/>
      <c r="BT738" s="6"/>
      <c r="CH738" s="6"/>
    </row>
    <row r="739" ht="13.5" customHeight="1">
      <c r="P739" s="6"/>
      <c r="AD739" s="6"/>
      <c r="AR739" s="6"/>
      <c r="BF739" s="6"/>
      <c r="BT739" s="6"/>
      <c r="CH739" s="6"/>
    </row>
    <row r="740" ht="13.5" customHeight="1">
      <c r="P740" s="6"/>
      <c r="AD740" s="6"/>
      <c r="AR740" s="6"/>
      <c r="BF740" s="6"/>
      <c r="BT740" s="6"/>
      <c r="CH740" s="6"/>
    </row>
    <row r="741" ht="13.5" customHeight="1">
      <c r="P741" s="6"/>
      <c r="AD741" s="6"/>
      <c r="AR741" s="6"/>
      <c r="BF741" s="6"/>
      <c r="BT741" s="6"/>
      <c r="CH741" s="6"/>
    </row>
    <row r="742" ht="13.5" customHeight="1">
      <c r="P742" s="6"/>
      <c r="AD742" s="6"/>
      <c r="AR742" s="6"/>
      <c r="BF742" s="6"/>
      <c r="BT742" s="6"/>
      <c r="CH742" s="6"/>
    </row>
    <row r="743" ht="13.5" customHeight="1">
      <c r="P743" s="6"/>
      <c r="AD743" s="6"/>
      <c r="AR743" s="6"/>
      <c r="BF743" s="6"/>
      <c r="BT743" s="6"/>
      <c r="CH743" s="6"/>
    </row>
    <row r="744" ht="13.5" customHeight="1">
      <c r="P744" s="6"/>
      <c r="AD744" s="6"/>
      <c r="AR744" s="6"/>
      <c r="BF744" s="6"/>
      <c r="BT744" s="6"/>
      <c r="CH744" s="6"/>
    </row>
    <row r="745" ht="13.5" customHeight="1">
      <c r="P745" s="6"/>
      <c r="AD745" s="6"/>
      <c r="AR745" s="6"/>
      <c r="BF745" s="6"/>
      <c r="BT745" s="6"/>
      <c r="CH745" s="6"/>
    </row>
    <row r="746" ht="13.5" customHeight="1">
      <c r="P746" s="6"/>
      <c r="AD746" s="6"/>
      <c r="AR746" s="6"/>
      <c r="BF746" s="6"/>
      <c r="BT746" s="6"/>
      <c r="CH746" s="6"/>
    </row>
    <row r="747" ht="13.5" customHeight="1">
      <c r="P747" s="6"/>
      <c r="AD747" s="6"/>
      <c r="AR747" s="6"/>
      <c r="BF747" s="6"/>
      <c r="BT747" s="6"/>
      <c r="CH747" s="6"/>
    </row>
    <row r="748" ht="13.5" customHeight="1">
      <c r="P748" s="6"/>
      <c r="AD748" s="6"/>
      <c r="AR748" s="6"/>
      <c r="BF748" s="6"/>
      <c r="BT748" s="6"/>
      <c r="CH748" s="6"/>
    </row>
    <row r="749" ht="13.5" customHeight="1">
      <c r="P749" s="6"/>
      <c r="AD749" s="6"/>
      <c r="AR749" s="6"/>
      <c r="BF749" s="6"/>
      <c r="BT749" s="6"/>
      <c r="CH749" s="6"/>
    </row>
    <row r="750" ht="13.5" customHeight="1">
      <c r="P750" s="6"/>
      <c r="AD750" s="6"/>
      <c r="AR750" s="6"/>
      <c r="BF750" s="6"/>
      <c r="BT750" s="6"/>
      <c r="CH750" s="6"/>
    </row>
    <row r="751" ht="13.5" customHeight="1">
      <c r="P751" s="6"/>
      <c r="AD751" s="6"/>
      <c r="AR751" s="6"/>
      <c r="BF751" s="6"/>
      <c r="BT751" s="6"/>
      <c r="CH751" s="6"/>
    </row>
    <row r="752" ht="13.5" customHeight="1">
      <c r="P752" s="6"/>
      <c r="AD752" s="6"/>
      <c r="AR752" s="6"/>
      <c r="BF752" s="6"/>
      <c r="BT752" s="6"/>
      <c r="CH752" s="6"/>
    </row>
    <row r="753" ht="13.5" customHeight="1">
      <c r="P753" s="6"/>
      <c r="AD753" s="6"/>
      <c r="AR753" s="6"/>
      <c r="BF753" s="6"/>
      <c r="BT753" s="6"/>
      <c r="CH753" s="6"/>
    </row>
    <row r="754" ht="13.5" customHeight="1">
      <c r="P754" s="6"/>
      <c r="AD754" s="6"/>
      <c r="AR754" s="6"/>
      <c r="BF754" s="6"/>
      <c r="BT754" s="6"/>
      <c r="CH754" s="6"/>
    </row>
    <row r="755" ht="13.5" customHeight="1">
      <c r="P755" s="6"/>
      <c r="AD755" s="6"/>
      <c r="AR755" s="6"/>
      <c r="BF755" s="6"/>
      <c r="BT755" s="6"/>
      <c r="CH755" s="6"/>
    </row>
    <row r="756" ht="13.5" customHeight="1">
      <c r="P756" s="6"/>
      <c r="AD756" s="6"/>
      <c r="AR756" s="6"/>
      <c r="BF756" s="6"/>
      <c r="BT756" s="6"/>
      <c r="CH756" s="6"/>
    </row>
    <row r="757" ht="13.5" customHeight="1">
      <c r="P757" s="6"/>
      <c r="AD757" s="6"/>
      <c r="AR757" s="6"/>
      <c r="BF757" s="6"/>
      <c r="BT757" s="6"/>
      <c r="CH757" s="6"/>
    </row>
    <row r="758" ht="13.5" customHeight="1">
      <c r="P758" s="6"/>
      <c r="AD758" s="6"/>
      <c r="AR758" s="6"/>
      <c r="BF758" s="6"/>
      <c r="BT758" s="6"/>
      <c r="CH758" s="6"/>
    </row>
    <row r="759" ht="13.5" customHeight="1">
      <c r="P759" s="6"/>
      <c r="AD759" s="6"/>
      <c r="AR759" s="6"/>
      <c r="BF759" s="6"/>
      <c r="BT759" s="6"/>
      <c r="CH759" s="6"/>
    </row>
    <row r="760" ht="13.5" customHeight="1">
      <c r="P760" s="6"/>
      <c r="AD760" s="6"/>
      <c r="AR760" s="6"/>
      <c r="BF760" s="6"/>
      <c r="BT760" s="6"/>
      <c r="CH760" s="6"/>
    </row>
    <row r="761" ht="13.5" customHeight="1">
      <c r="P761" s="6"/>
      <c r="AD761" s="6"/>
      <c r="AR761" s="6"/>
      <c r="BF761" s="6"/>
      <c r="BT761" s="6"/>
      <c r="CH761" s="6"/>
    </row>
    <row r="762" ht="13.5" customHeight="1">
      <c r="P762" s="6"/>
      <c r="AD762" s="6"/>
      <c r="AR762" s="6"/>
      <c r="BF762" s="6"/>
      <c r="BT762" s="6"/>
      <c r="CH762" s="6"/>
    </row>
    <row r="763" ht="13.5" customHeight="1">
      <c r="P763" s="6"/>
      <c r="AD763" s="6"/>
      <c r="AR763" s="6"/>
      <c r="BF763" s="6"/>
      <c r="BT763" s="6"/>
      <c r="CH763" s="6"/>
    </row>
    <row r="764" ht="13.5" customHeight="1">
      <c r="P764" s="6"/>
      <c r="AD764" s="6"/>
      <c r="AR764" s="6"/>
      <c r="BF764" s="6"/>
      <c r="BT764" s="6"/>
      <c r="CH764" s="6"/>
    </row>
    <row r="765" ht="13.5" customHeight="1">
      <c r="P765" s="6"/>
      <c r="AD765" s="6"/>
      <c r="AR765" s="6"/>
      <c r="BF765" s="6"/>
      <c r="BT765" s="6"/>
      <c r="CH765" s="6"/>
    </row>
    <row r="766" ht="13.5" customHeight="1">
      <c r="P766" s="6"/>
      <c r="AD766" s="6"/>
      <c r="AR766" s="6"/>
      <c r="BF766" s="6"/>
      <c r="BT766" s="6"/>
      <c r="CH766" s="6"/>
    </row>
    <row r="767" ht="13.5" customHeight="1">
      <c r="P767" s="6"/>
      <c r="AD767" s="6"/>
      <c r="AR767" s="6"/>
      <c r="BF767" s="6"/>
      <c r="BT767" s="6"/>
      <c r="CH767" s="6"/>
    </row>
    <row r="768" ht="13.5" customHeight="1">
      <c r="P768" s="6"/>
      <c r="AD768" s="6"/>
      <c r="AR768" s="6"/>
      <c r="BF768" s="6"/>
      <c r="BT768" s="6"/>
      <c r="CH768" s="6"/>
    </row>
    <row r="769" ht="13.5" customHeight="1">
      <c r="P769" s="6"/>
      <c r="AD769" s="6"/>
      <c r="AR769" s="6"/>
      <c r="BF769" s="6"/>
      <c r="BT769" s="6"/>
      <c r="CH769" s="6"/>
    </row>
    <row r="770" ht="13.5" customHeight="1">
      <c r="P770" s="6"/>
      <c r="AD770" s="6"/>
      <c r="AR770" s="6"/>
      <c r="BF770" s="6"/>
      <c r="BT770" s="6"/>
      <c r="CH770" s="6"/>
    </row>
    <row r="771" ht="13.5" customHeight="1">
      <c r="P771" s="6"/>
      <c r="AD771" s="6"/>
      <c r="AR771" s="6"/>
      <c r="BF771" s="6"/>
      <c r="BT771" s="6"/>
      <c r="CH771" s="6"/>
    </row>
    <row r="772" ht="13.5" customHeight="1">
      <c r="P772" s="6"/>
      <c r="AD772" s="6"/>
      <c r="AR772" s="6"/>
      <c r="BF772" s="6"/>
      <c r="BT772" s="6"/>
      <c r="CH772" s="6"/>
    </row>
    <row r="773" ht="13.5" customHeight="1">
      <c r="P773" s="6"/>
      <c r="AD773" s="6"/>
      <c r="AR773" s="6"/>
      <c r="BF773" s="6"/>
      <c r="BT773" s="6"/>
      <c r="CH773" s="6"/>
    </row>
    <row r="774" ht="13.5" customHeight="1">
      <c r="P774" s="6"/>
      <c r="AD774" s="6"/>
      <c r="AR774" s="6"/>
      <c r="BF774" s="6"/>
      <c r="BT774" s="6"/>
      <c r="CH774" s="6"/>
    </row>
    <row r="775" ht="13.5" customHeight="1">
      <c r="P775" s="6"/>
      <c r="AD775" s="6"/>
      <c r="AR775" s="6"/>
      <c r="BF775" s="6"/>
      <c r="BT775" s="6"/>
      <c r="CH775" s="6"/>
    </row>
    <row r="776" ht="13.5" customHeight="1">
      <c r="P776" s="6"/>
      <c r="AD776" s="6"/>
      <c r="AR776" s="6"/>
      <c r="BF776" s="6"/>
      <c r="BT776" s="6"/>
      <c r="CH776" s="6"/>
    </row>
    <row r="777" ht="13.5" customHeight="1">
      <c r="P777" s="6"/>
      <c r="AD777" s="6"/>
      <c r="AR777" s="6"/>
      <c r="BF777" s="6"/>
      <c r="BT777" s="6"/>
      <c r="CH777" s="6"/>
    </row>
    <row r="778" ht="13.5" customHeight="1">
      <c r="P778" s="6"/>
      <c r="AD778" s="6"/>
      <c r="AR778" s="6"/>
      <c r="BF778" s="6"/>
      <c r="BT778" s="6"/>
      <c r="CH778" s="6"/>
    </row>
    <row r="779" ht="13.5" customHeight="1">
      <c r="P779" s="6"/>
      <c r="AD779" s="6"/>
      <c r="AR779" s="6"/>
      <c r="BF779" s="6"/>
      <c r="BT779" s="6"/>
      <c r="CH779" s="6"/>
    </row>
    <row r="780" ht="13.5" customHeight="1">
      <c r="P780" s="6"/>
      <c r="AD780" s="6"/>
      <c r="AR780" s="6"/>
      <c r="BF780" s="6"/>
      <c r="BT780" s="6"/>
      <c r="CH780" s="6"/>
    </row>
    <row r="781" ht="13.5" customHeight="1">
      <c r="P781" s="6"/>
      <c r="AD781" s="6"/>
      <c r="AR781" s="6"/>
      <c r="BF781" s="6"/>
      <c r="BT781" s="6"/>
      <c r="CH781" s="6"/>
    </row>
    <row r="782" ht="13.5" customHeight="1">
      <c r="P782" s="6"/>
      <c r="AD782" s="6"/>
      <c r="AR782" s="6"/>
      <c r="BF782" s="6"/>
      <c r="BT782" s="6"/>
      <c r="CH782" s="6"/>
    </row>
    <row r="783" ht="13.5" customHeight="1">
      <c r="P783" s="6"/>
      <c r="AD783" s="6"/>
      <c r="AR783" s="6"/>
      <c r="BF783" s="6"/>
      <c r="BT783" s="6"/>
      <c r="CH783" s="6"/>
    </row>
    <row r="784" ht="13.5" customHeight="1">
      <c r="P784" s="6"/>
      <c r="AD784" s="6"/>
      <c r="AR784" s="6"/>
      <c r="BF784" s="6"/>
      <c r="BT784" s="6"/>
      <c r="CH784" s="6"/>
    </row>
    <row r="785" ht="13.5" customHeight="1">
      <c r="P785" s="6"/>
      <c r="AD785" s="6"/>
      <c r="AR785" s="6"/>
      <c r="BF785" s="6"/>
      <c r="BT785" s="6"/>
      <c r="CH785" s="6"/>
    </row>
    <row r="786" ht="13.5" customHeight="1">
      <c r="P786" s="6"/>
      <c r="AD786" s="6"/>
      <c r="AR786" s="6"/>
      <c r="BF786" s="6"/>
      <c r="BT786" s="6"/>
      <c r="CH786" s="6"/>
    </row>
    <row r="787" ht="13.5" customHeight="1">
      <c r="P787" s="6"/>
      <c r="AD787" s="6"/>
      <c r="AR787" s="6"/>
      <c r="BF787" s="6"/>
      <c r="BT787" s="6"/>
      <c r="CH787" s="6"/>
    </row>
    <row r="788" ht="13.5" customHeight="1">
      <c r="P788" s="6"/>
      <c r="AD788" s="6"/>
      <c r="AR788" s="6"/>
      <c r="BF788" s="6"/>
      <c r="BT788" s="6"/>
      <c r="CH788" s="6"/>
    </row>
    <row r="789" ht="13.5" customHeight="1">
      <c r="P789" s="6"/>
      <c r="AD789" s="6"/>
      <c r="AR789" s="6"/>
      <c r="BF789" s="6"/>
      <c r="BT789" s="6"/>
      <c r="CH789" s="6"/>
    </row>
    <row r="790" ht="13.5" customHeight="1">
      <c r="P790" s="6"/>
      <c r="AD790" s="6"/>
      <c r="AR790" s="6"/>
      <c r="BF790" s="6"/>
      <c r="BT790" s="6"/>
      <c r="CH790" s="6"/>
    </row>
    <row r="791" ht="13.5" customHeight="1">
      <c r="P791" s="6"/>
      <c r="AD791" s="6"/>
      <c r="AR791" s="6"/>
      <c r="BF791" s="6"/>
      <c r="BT791" s="6"/>
      <c r="CH791" s="6"/>
    </row>
    <row r="792" ht="13.5" customHeight="1">
      <c r="P792" s="6"/>
      <c r="AD792" s="6"/>
      <c r="AR792" s="6"/>
      <c r="BF792" s="6"/>
      <c r="BT792" s="6"/>
      <c r="CH792" s="6"/>
    </row>
    <row r="793" ht="13.5" customHeight="1">
      <c r="P793" s="6"/>
      <c r="AD793" s="6"/>
      <c r="AR793" s="6"/>
      <c r="BF793" s="6"/>
      <c r="BT793" s="6"/>
      <c r="CH793" s="6"/>
    </row>
    <row r="794" ht="13.5" customHeight="1">
      <c r="P794" s="6"/>
      <c r="AD794" s="6"/>
      <c r="AR794" s="6"/>
      <c r="BF794" s="6"/>
      <c r="BT794" s="6"/>
      <c r="CH794" s="6"/>
    </row>
    <row r="795" ht="13.5" customHeight="1">
      <c r="P795" s="6"/>
      <c r="AD795" s="6"/>
      <c r="AR795" s="6"/>
      <c r="BF795" s="6"/>
      <c r="BT795" s="6"/>
      <c r="CH795" s="6"/>
    </row>
    <row r="796" ht="13.5" customHeight="1">
      <c r="P796" s="6"/>
      <c r="AD796" s="6"/>
      <c r="AR796" s="6"/>
      <c r="BF796" s="6"/>
      <c r="BT796" s="6"/>
      <c r="CH796" s="6"/>
    </row>
    <row r="797" ht="13.5" customHeight="1">
      <c r="P797" s="6"/>
      <c r="AD797" s="6"/>
      <c r="AR797" s="6"/>
      <c r="BF797" s="6"/>
      <c r="BT797" s="6"/>
      <c r="CH797" s="6"/>
    </row>
    <row r="798" ht="13.5" customHeight="1">
      <c r="P798" s="6"/>
      <c r="AD798" s="6"/>
      <c r="AR798" s="6"/>
      <c r="BF798" s="6"/>
      <c r="BT798" s="6"/>
      <c r="CH798" s="6"/>
    </row>
    <row r="799" ht="13.5" customHeight="1">
      <c r="P799" s="6"/>
      <c r="AD799" s="6"/>
      <c r="AR799" s="6"/>
      <c r="BF799" s="6"/>
      <c r="BT799" s="6"/>
      <c r="CH799" s="6"/>
    </row>
    <row r="800" ht="13.5" customHeight="1">
      <c r="P800" s="6"/>
      <c r="AD800" s="6"/>
      <c r="AR800" s="6"/>
      <c r="BF800" s="6"/>
      <c r="BT800" s="6"/>
      <c r="CH800" s="6"/>
    </row>
    <row r="801" ht="13.5" customHeight="1">
      <c r="P801" s="6"/>
      <c r="AD801" s="6"/>
      <c r="AR801" s="6"/>
      <c r="BF801" s="6"/>
      <c r="BT801" s="6"/>
      <c r="CH801" s="6"/>
    </row>
    <row r="802" ht="13.5" customHeight="1">
      <c r="P802" s="6"/>
      <c r="AD802" s="6"/>
      <c r="AR802" s="6"/>
      <c r="BF802" s="6"/>
      <c r="BT802" s="6"/>
      <c r="CH802" s="6"/>
    </row>
    <row r="803" ht="13.5" customHeight="1">
      <c r="P803" s="6"/>
      <c r="AD803" s="6"/>
      <c r="AR803" s="6"/>
      <c r="BF803" s="6"/>
      <c r="BT803" s="6"/>
      <c r="CH803" s="6"/>
    </row>
    <row r="804" ht="13.5" customHeight="1">
      <c r="P804" s="6"/>
      <c r="AD804" s="6"/>
      <c r="AR804" s="6"/>
      <c r="BF804" s="6"/>
      <c r="BT804" s="6"/>
      <c r="CH804" s="6"/>
    </row>
    <row r="805" ht="13.5" customHeight="1">
      <c r="P805" s="6"/>
      <c r="AD805" s="6"/>
      <c r="AR805" s="6"/>
      <c r="BF805" s="6"/>
      <c r="BT805" s="6"/>
      <c r="CH805" s="6"/>
    </row>
    <row r="806" ht="13.5" customHeight="1">
      <c r="P806" s="6"/>
      <c r="AD806" s="6"/>
      <c r="AR806" s="6"/>
      <c r="BF806" s="6"/>
      <c r="BT806" s="6"/>
      <c r="CH806" s="6"/>
    </row>
    <row r="807" ht="13.5" customHeight="1">
      <c r="P807" s="6"/>
      <c r="AD807" s="6"/>
      <c r="AR807" s="6"/>
      <c r="BF807" s="6"/>
      <c r="BT807" s="6"/>
      <c r="CH807" s="6"/>
    </row>
    <row r="808" ht="13.5" customHeight="1">
      <c r="P808" s="6"/>
      <c r="AD808" s="6"/>
      <c r="AR808" s="6"/>
      <c r="BF808" s="6"/>
      <c r="BT808" s="6"/>
      <c r="CH808" s="6"/>
    </row>
    <row r="809" ht="13.5" customHeight="1">
      <c r="P809" s="6"/>
      <c r="AD809" s="6"/>
      <c r="AR809" s="6"/>
      <c r="BF809" s="6"/>
      <c r="BT809" s="6"/>
      <c r="CH809" s="6"/>
    </row>
    <row r="810" ht="13.5" customHeight="1">
      <c r="P810" s="6"/>
      <c r="AD810" s="6"/>
      <c r="AR810" s="6"/>
      <c r="BF810" s="6"/>
      <c r="BT810" s="6"/>
      <c r="CH810" s="6"/>
    </row>
    <row r="811" ht="13.5" customHeight="1">
      <c r="P811" s="6"/>
      <c r="AD811" s="6"/>
      <c r="AR811" s="6"/>
      <c r="BF811" s="6"/>
      <c r="BT811" s="6"/>
      <c r="CH811" s="6"/>
    </row>
    <row r="812" ht="13.5" customHeight="1">
      <c r="P812" s="6"/>
      <c r="AD812" s="6"/>
      <c r="AR812" s="6"/>
      <c r="BF812" s="6"/>
      <c r="BT812" s="6"/>
      <c r="CH812" s="6"/>
    </row>
    <row r="813" ht="13.5" customHeight="1">
      <c r="P813" s="6"/>
      <c r="AD813" s="6"/>
      <c r="AR813" s="6"/>
      <c r="BF813" s="6"/>
      <c r="BT813" s="6"/>
      <c r="CH813" s="6"/>
    </row>
    <row r="814" ht="13.5" customHeight="1">
      <c r="P814" s="6"/>
      <c r="AD814" s="6"/>
      <c r="AR814" s="6"/>
      <c r="BF814" s="6"/>
      <c r="BT814" s="6"/>
      <c r="CH814" s="6"/>
    </row>
    <row r="815" ht="13.5" customHeight="1">
      <c r="P815" s="6"/>
      <c r="AD815" s="6"/>
      <c r="AR815" s="6"/>
      <c r="BF815" s="6"/>
      <c r="BT815" s="6"/>
      <c r="CH815" s="6"/>
    </row>
    <row r="816" ht="13.5" customHeight="1">
      <c r="P816" s="6"/>
      <c r="AD816" s="6"/>
      <c r="AR816" s="6"/>
      <c r="BF816" s="6"/>
      <c r="BT816" s="6"/>
      <c r="CH816" s="6"/>
    </row>
    <row r="817" ht="13.5" customHeight="1">
      <c r="P817" s="6"/>
      <c r="AD817" s="6"/>
      <c r="AR817" s="6"/>
      <c r="BF817" s="6"/>
      <c r="BT817" s="6"/>
      <c r="CH817" s="6"/>
    </row>
    <row r="818" ht="13.5" customHeight="1">
      <c r="P818" s="6"/>
      <c r="AD818" s="6"/>
      <c r="AR818" s="6"/>
      <c r="BF818" s="6"/>
      <c r="BT818" s="6"/>
      <c r="CH818" s="6"/>
    </row>
    <row r="819" ht="13.5" customHeight="1">
      <c r="P819" s="6"/>
      <c r="AD819" s="6"/>
      <c r="AR819" s="6"/>
      <c r="BF819" s="6"/>
      <c r="BT819" s="6"/>
      <c r="CH819" s="6"/>
    </row>
    <row r="820" ht="13.5" customHeight="1">
      <c r="P820" s="6"/>
      <c r="AD820" s="6"/>
      <c r="AR820" s="6"/>
      <c r="BF820" s="6"/>
      <c r="BT820" s="6"/>
      <c r="CH820" s="6"/>
    </row>
    <row r="821" ht="13.5" customHeight="1">
      <c r="P821" s="6"/>
      <c r="AD821" s="6"/>
      <c r="AR821" s="6"/>
      <c r="BF821" s="6"/>
      <c r="BT821" s="6"/>
      <c r="CH821" s="6"/>
    </row>
    <row r="822" ht="13.5" customHeight="1">
      <c r="P822" s="6"/>
      <c r="AD822" s="6"/>
      <c r="AR822" s="6"/>
      <c r="BF822" s="6"/>
      <c r="BT822" s="6"/>
      <c r="CH822" s="6"/>
    </row>
    <row r="823" ht="13.5" customHeight="1">
      <c r="P823" s="6"/>
      <c r="AD823" s="6"/>
      <c r="AR823" s="6"/>
      <c r="BF823" s="6"/>
      <c r="BT823" s="6"/>
      <c r="CH823" s="6"/>
    </row>
    <row r="824" ht="13.5" customHeight="1">
      <c r="P824" s="6"/>
      <c r="AD824" s="6"/>
      <c r="AR824" s="6"/>
      <c r="BF824" s="6"/>
      <c r="BT824" s="6"/>
      <c r="CH824" s="6"/>
    </row>
    <row r="825" ht="13.5" customHeight="1">
      <c r="P825" s="6"/>
      <c r="AD825" s="6"/>
      <c r="AR825" s="6"/>
      <c r="BF825" s="6"/>
      <c r="BT825" s="6"/>
      <c r="CH825" s="6"/>
    </row>
    <row r="826" ht="13.5" customHeight="1">
      <c r="P826" s="6"/>
      <c r="AD826" s="6"/>
      <c r="AR826" s="6"/>
      <c r="BF826" s="6"/>
      <c r="BT826" s="6"/>
      <c r="CH826" s="6"/>
    </row>
    <row r="827" ht="13.5" customHeight="1">
      <c r="P827" s="6"/>
      <c r="AD827" s="6"/>
      <c r="AR827" s="6"/>
      <c r="BF827" s="6"/>
      <c r="BT827" s="6"/>
      <c r="CH827" s="6"/>
    </row>
    <row r="828" ht="13.5" customHeight="1">
      <c r="P828" s="6"/>
      <c r="AD828" s="6"/>
      <c r="AR828" s="6"/>
      <c r="BF828" s="6"/>
      <c r="BT828" s="6"/>
      <c r="CH828" s="6"/>
    </row>
    <row r="829" ht="13.5" customHeight="1">
      <c r="P829" s="6"/>
      <c r="AD829" s="6"/>
      <c r="AR829" s="6"/>
      <c r="BF829" s="6"/>
      <c r="BT829" s="6"/>
      <c r="CH829" s="6"/>
    </row>
    <row r="830" ht="13.5" customHeight="1">
      <c r="P830" s="6"/>
      <c r="AD830" s="6"/>
      <c r="AR830" s="6"/>
      <c r="BF830" s="6"/>
      <c r="BT830" s="6"/>
      <c r="CH830" s="6"/>
    </row>
    <row r="831" ht="13.5" customHeight="1">
      <c r="P831" s="6"/>
      <c r="AD831" s="6"/>
      <c r="AR831" s="6"/>
      <c r="BF831" s="6"/>
      <c r="BT831" s="6"/>
      <c r="CH831" s="6"/>
    </row>
    <row r="832" ht="13.5" customHeight="1">
      <c r="P832" s="6"/>
      <c r="AD832" s="6"/>
      <c r="AR832" s="6"/>
      <c r="BF832" s="6"/>
      <c r="BT832" s="6"/>
      <c r="CH832" s="6"/>
    </row>
    <row r="833" ht="13.5" customHeight="1">
      <c r="P833" s="6"/>
      <c r="AD833" s="6"/>
      <c r="AR833" s="6"/>
      <c r="BF833" s="6"/>
      <c r="BT833" s="6"/>
      <c r="CH833" s="6"/>
    </row>
    <row r="834" ht="13.5" customHeight="1">
      <c r="P834" s="6"/>
      <c r="AD834" s="6"/>
      <c r="AR834" s="6"/>
      <c r="BF834" s="6"/>
      <c r="BT834" s="6"/>
      <c r="CH834" s="6"/>
    </row>
    <row r="835" ht="13.5" customHeight="1">
      <c r="P835" s="6"/>
      <c r="AD835" s="6"/>
      <c r="AR835" s="6"/>
      <c r="BF835" s="6"/>
      <c r="BT835" s="6"/>
      <c r="CH835" s="6"/>
    </row>
    <row r="836" ht="13.5" customHeight="1">
      <c r="P836" s="6"/>
      <c r="AD836" s="6"/>
      <c r="AR836" s="6"/>
      <c r="BF836" s="6"/>
      <c r="BT836" s="6"/>
      <c r="CH836" s="6"/>
    </row>
    <row r="837" ht="13.5" customHeight="1">
      <c r="P837" s="6"/>
      <c r="AD837" s="6"/>
      <c r="AR837" s="6"/>
      <c r="BF837" s="6"/>
      <c r="BT837" s="6"/>
      <c r="CH837" s="6"/>
    </row>
    <row r="838" ht="13.5" customHeight="1">
      <c r="P838" s="6"/>
      <c r="AD838" s="6"/>
      <c r="AR838" s="6"/>
      <c r="BF838" s="6"/>
      <c r="BT838" s="6"/>
      <c r="CH838" s="6"/>
    </row>
    <row r="839" ht="13.5" customHeight="1">
      <c r="P839" s="6"/>
      <c r="AD839" s="6"/>
      <c r="AR839" s="6"/>
      <c r="BF839" s="6"/>
      <c r="BT839" s="6"/>
      <c r="CH839" s="6"/>
    </row>
    <row r="840" ht="13.5" customHeight="1">
      <c r="P840" s="6"/>
      <c r="AD840" s="6"/>
      <c r="AR840" s="6"/>
      <c r="BF840" s="6"/>
      <c r="BT840" s="6"/>
      <c r="CH840" s="6"/>
    </row>
    <row r="841" ht="13.5" customHeight="1">
      <c r="P841" s="6"/>
      <c r="AD841" s="6"/>
      <c r="AR841" s="6"/>
      <c r="BF841" s="6"/>
      <c r="BT841" s="6"/>
      <c r="CH841" s="6"/>
    </row>
    <row r="842" ht="13.5" customHeight="1">
      <c r="P842" s="6"/>
      <c r="AD842" s="6"/>
      <c r="AR842" s="6"/>
      <c r="BF842" s="6"/>
      <c r="BT842" s="6"/>
      <c r="CH842" s="6"/>
    </row>
    <row r="843" ht="13.5" customHeight="1">
      <c r="P843" s="6"/>
      <c r="AD843" s="6"/>
      <c r="AR843" s="6"/>
      <c r="BF843" s="6"/>
      <c r="BT843" s="6"/>
      <c r="CH843" s="6"/>
    </row>
    <row r="844" ht="13.5" customHeight="1">
      <c r="P844" s="6"/>
      <c r="AD844" s="6"/>
      <c r="AR844" s="6"/>
      <c r="BF844" s="6"/>
      <c r="BT844" s="6"/>
      <c r="CH844" s="6"/>
    </row>
    <row r="845" ht="13.5" customHeight="1">
      <c r="P845" s="6"/>
      <c r="AD845" s="6"/>
      <c r="AR845" s="6"/>
      <c r="BF845" s="6"/>
      <c r="BT845" s="6"/>
      <c r="CH845" s="6"/>
    </row>
    <row r="846" ht="13.5" customHeight="1">
      <c r="P846" s="6"/>
      <c r="AD846" s="6"/>
      <c r="AR846" s="6"/>
      <c r="BF846" s="6"/>
      <c r="BT846" s="6"/>
      <c r="CH846" s="6"/>
    </row>
    <row r="847" ht="13.5" customHeight="1">
      <c r="P847" s="6"/>
      <c r="AD847" s="6"/>
      <c r="AR847" s="6"/>
      <c r="BF847" s="6"/>
      <c r="BT847" s="6"/>
      <c r="CH847" s="6"/>
    </row>
    <row r="848" ht="13.5" customHeight="1">
      <c r="P848" s="6"/>
      <c r="AD848" s="6"/>
      <c r="AR848" s="6"/>
      <c r="BF848" s="6"/>
      <c r="BT848" s="6"/>
      <c r="CH848" s="6"/>
    </row>
    <row r="849" ht="13.5" customHeight="1">
      <c r="P849" s="6"/>
      <c r="AD849" s="6"/>
      <c r="AR849" s="6"/>
      <c r="BF849" s="6"/>
      <c r="BT849" s="6"/>
      <c r="CH849" s="6"/>
    </row>
    <row r="850" ht="13.5" customHeight="1">
      <c r="P850" s="6"/>
      <c r="AD850" s="6"/>
      <c r="AR850" s="6"/>
      <c r="BF850" s="6"/>
      <c r="BT850" s="6"/>
      <c r="CH850" s="6"/>
    </row>
    <row r="851" ht="13.5" customHeight="1">
      <c r="P851" s="6"/>
      <c r="AD851" s="6"/>
      <c r="AR851" s="6"/>
      <c r="BF851" s="6"/>
      <c r="BT851" s="6"/>
      <c r="CH851" s="6"/>
    </row>
    <row r="852" ht="13.5" customHeight="1">
      <c r="P852" s="6"/>
      <c r="AD852" s="6"/>
      <c r="AR852" s="6"/>
      <c r="BF852" s="6"/>
      <c r="BT852" s="6"/>
      <c r="CH852" s="6"/>
    </row>
    <row r="853" ht="13.5" customHeight="1">
      <c r="P853" s="6"/>
      <c r="AD853" s="6"/>
      <c r="AR853" s="6"/>
      <c r="BF853" s="6"/>
      <c r="BT853" s="6"/>
      <c r="CH853" s="6"/>
    </row>
    <row r="854" ht="13.5" customHeight="1">
      <c r="P854" s="6"/>
      <c r="AD854" s="6"/>
      <c r="AR854" s="6"/>
      <c r="BF854" s="6"/>
      <c r="BT854" s="6"/>
      <c r="CH854" s="6"/>
    </row>
    <row r="855" ht="13.5" customHeight="1">
      <c r="P855" s="6"/>
      <c r="AD855" s="6"/>
      <c r="AR855" s="6"/>
      <c r="BF855" s="6"/>
      <c r="BT855" s="6"/>
      <c r="CH855" s="6"/>
    </row>
    <row r="856" ht="13.5" customHeight="1">
      <c r="P856" s="6"/>
      <c r="AD856" s="6"/>
      <c r="AR856" s="6"/>
      <c r="BF856" s="6"/>
      <c r="BT856" s="6"/>
      <c r="CH856" s="6"/>
    </row>
    <row r="857" ht="13.5" customHeight="1">
      <c r="P857" s="6"/>
      <c r="AD857" s="6"/>
      <c r="AR857" s="6"/>
      <c r="BF857" s="6"/>
      <c r="BT857" s="6"/>
      <c r="CH857" s="6"/>
    </row>
    <row r="858" ht="13.5" customHeight="1">
      <c r="P858" s="6"/>
      <c r="AD858" s="6"/>
      <c r="AR858" s="6"/>
      <c r="BF858" s="6"/>
      <c r="BT858" s="6"/>
      <c r="CH858" s="6"/>
    </row>
    <row r="859" ht="13.5" customHeight="1">
      <c r="P859" s="6"/>
      <c r="AD859" s="6"/>
      <c r="AR859" s="6"/>
      <c r="BF859" s="6"/>
      <c r="BT859" s="6"/>
      <c r="CH859" s="6"/>
    </row>
    <row r="860" ht="13.5" customHeight="1">
      <c r="P860" s="6"/>
      <c r="AD860" s="6"/>
      <c r="AR860" s="6"/>
      <c r="BF860" s="6"/>
      <c r="BT860" s="6"/>
      <c r="CH860" s="6"/>
    </row>
    <row r="861" ht="13.5" customHeight="1">
      <c r="P861" s="6"/>
      <c r="AD861" s="6"/>
      <c r="AR861" s="6"/>
      <c r="BF861" s="6"/>
      <c r="BT861" s="6"/>
      <c r="CH861" s="6"/>
    </row>
    <row r="862" ht="13.5" customHeight="1">
      <c r="P862" s="6"/>
      <c r="AD862" s="6"/>
      <c r="AR862" s="6"/>
      <c r="BF862" s="6"/>
      <c r="BT862" s="6"/>
      <c r="CH862" s="6"/>
    </row>
    <row r="863" ht="13.5" customHeight="1">
      <c r="P863" s="6"/>
      <c r="AD863" s="6"/>
      <c r="AR863" s="6"/>
      <c r="BF863" s="6"/>
      <c r="BT863" s="6"/>
      <c r="CH863" s="6"/>
    </row>
    <row r="864" ht="13.5" customHeight="1">
      <c r="P864" s="6"/>
      <c r="AD864" s="6"/>
      <c r="AR864" s="6"/>
      <c r="BF864" s="6"/>
      <c r="BT864" s="6"/>
      <c r="CH864" s="6"/>
    </row>
    <row r="865" ht="13.5" customHeight="1">
      <c r="P865" s="6"/>
      <c r="AD865" s="6"/>
      <c r="AR865" s="6"/>
      <c r="BF865" s="6"/>
      <c r="BT865" s="6"/>
      <c r="CH865" s="6"/>
    </row>
    <row r="866" ht="13.5" customHeight="1">
      <c r="P866" s="6"/>
      <c r="AD866" s="6"/>
      <c r="AR866" s="6"/>
      <c r="BF866" s="6"/>
      <c r="BT866" s="6"/>
      <c r="CH866" s="6"/>
    </row>
    <row r="867" ht="13.5" customHeight="1">
      <c r="P867" s="6"/>
      <c r="AD867" s="6"/>
      <c r="AR867" s="6"/>
      <c r="BF867" s="6"/>
      <c r="BT867" s="6"/>
      <c r="CH867" s="6"/>
    </row>
    <row r="868" ht="13.5" customHeight="1">
      <c r="P868" s="6"/>
      <c r="AD868" s="6"/>
      <c r="AR868" s="6"/>
      <c r="BF868" s="6"/>
      <c r="BT868" s="6"/>
      <c r="CH868" s="6"/>
    </row>
    <row r="869" ht="13.5" customHeight="1">
      <c r="P869" s="6"/>
      <c r="AD869" s="6"/>
      <c r="AR869" s="6"/>
      <c r="BF869" s="6"/>
      <c r="BT869" s="6"/>
      <c r="CH869" s="6"/>
    </row>
    <row r="870" ht="13.5" customHeight="1">
      <c r="P870" s="6"/>
      <c r="AD870" s="6"/>
      <c r="AR870" s="6"/>
      <c r="BF870" s="6"/>
      <c r="BT870" s="6"/>
      <c r="CH870" s="6"/>
    </row>
    <row r="871" ht="13.5" customHeight="1">
      <c r="P871" s="6"/>
      <c r="AD871" s="6"/>
      <c r="AR871" s="6"/>
      <c r="BF871" s="6"/>
      <c r="BT871" s="6"/>
      <c r="CH871" s="6"/>
    </row>
    <row r="872" ht="13.5" customHeight="1">
      <c r="P872" s="6"/>
      <c r="AD872" s="6"/>
      <c r="AR872" s="6"/>
      <c r="BF872" s="6"/>
      <c r="BT872" s="6"/>
      <c r="CH872" s="6"/>
    </row>
    <row r="873" ht="13.5" customHeight="1">
      <c r="P873" s="6"/>
      <c r="AD873" s="6"/>
      <c r="AR873" s="6"/>
      <c r="BF873" s="6"/>
      <c r="BT873" s="6"/>
      <c r="CH873" s="6"/>
    </row>
    <row r="874" ht="13.5" customHeight="1">
      <c r="P874" s="6"/>
      <c r="AD874" s="6"/>
      <c r="AR874" s="6"/>
      <c r="BF874" s="6"/>
      <c r="BT874" s="6"/>
      <c r="CH874" s="6"/>
    </row>
    <row r="875" ht="13.5" customHeight="1">
      <c r="P875" s="6"/>
      <c r="AD875" s="6"/>
      <c r="AR875" s="6"/>
      <c r="BF875" s="6"/>
      <c r="BT875" s="6"/>
      <c r="CH875" s="6"/>
    </row>
    <row r="876" ht="13.5" customHeight="1">
      <c r="P876" s="6"/>
      <c r="AD876" s="6"/>
      <c r="AR876" s="6"/>
      <c r="BF876" s="6"/>
      <c r="BT876" s="6"/>
      <c r="CH876" s="6"/>
    </row>
    <row r="877" ht="13.5" customHeight="1">
      <c r="P877" s="6"/>
      <c r="AD877" s="6"/>
      <c r="AR877" s="6"/>
      <c r="BF877" s="6"/>
      <c r="BT877" s="6"/>
      <c r="CH877" s="6"/>
    </row>
    <row r="878" ht="13.5" customHeight="1">
      <c r="P878" s="6"/>
      <c r="AD878" s="6"/>
      <c r="AR878" s="6"/>
      <c r="BF878" s="6"/>
      <c r="BT878" s="6"/>
      <c r="CH878" s="6"/>
    </row>
    <row r="879" ht="13.5" customHeight="1">
      <c r="P879" s="6"/>
      <c r="AD879" s="6"/>
      <c r="AR879" s="6"/>
      <c r="BF879" s="6"/>
      <c r="BT879" s="6"/>
      <c r="CH879" s="6"/>
    </row>
    <row r="880" ht="13.5" customHeight="1">
      <c r="P880" s="6"/>
      <c r="AD880" s="6"/>
      <c r="AR880" s="6"/>
      <c r="BF880" s="6"/>
      <c r="BT880" s="6"/>
      <c r="CH880" s="6"/>
    </row>
    <row r="881" ht="13.5" customHeight="1">
      <c r="P881" s="6"/>
      <c r="AD881" s="6"/>
      <c r="AR881" s="6"/>
      <c r="BF881" s="6"/>
      <c r="BT881" s="6"/>
      <c r="CH881" s="6"/>
    </row>
    <row r="882" ht="13.5" customHeight="1">
      <c r="P882" s="6"/>
      <c r="AD882" s="6"/>
      <c r="AR882" s="6"/>
      <c r="BF882" s="6"/>
      <c r="BT882" s="6"/>
      <c r="CH882" s="6"/>
    </row>
    <row r="883" ht="13.5" customHeight="1">
      <c r="P883" s="6"/>
      <c r="AD883" s="6"/>
      <c r="AR883" s="6"/>
      <c r="BF883" s="6"/>
      <c r="BT883" s="6"/>
      <c r="CH883" s="6"/>
    </row>
    <row r="884" ht="13.5" customHeight="1">
      <c r="P884" s="6"/>
      <c r="AD884" s="6"/>
      <c r="AR884" s="6"/>
      <c r="BF884" s="6"/>
      <c r="BT884" s="6"/>
      <c r="CH884" s="6"/>
    </row>
    <row r="885" ht="13.5" customHeight="1">
      <c r="P885" s="6"/>
      <c r="AD885" s="6"/>
      <c r="AR885" s="6"/>
      <c r="BF885" s="6"/>
      <c r="BT885" s="6"/>
      <c r="CH885" s="6"/>
    </row>
    <row r="886" ht="13.5" customHeight="1">
      <c r="P886" s="6"/>
      <c r="AD886" s="6"/>
      <c r="AR886" s="6"/>
      <c r="BF886" s="6"/>
      <c r="BT886" s="6"/>
      <c r="CH886" s="6"/>
    </row>
    <row r="887" ht="13.5" customHeight="1">
      <c r="P887" s="6"/>
      <c r="AD887" s="6"/>
      <c r="AR887" s="6"/>
      <c r="BF887" s="6"/>
      <c r="BT887" s="6"/>
      <c r="CH887" s="6"/>
    </row>
    <row r="888" ht="13.5" customHeight="1">
      <c r="P888" s="6"/>
      <c r="AD888" s="6"/>
      <c r="AR888" s="6"/>
      <c r="BF888" s="6"/>
      <c r="BT888" s="6"/>
      <c r="CH888" s="6"/>
    </row>
    <row r="889" ht="13.5" customHeight="1">
      <c r="P889" s="6"/>
      <c r="AD889" s="6"/>
      <c r="AR889" s="6"/>
      <c r="BF889" s="6"/>
      <c r="BT889" s="6"/>
      <c r="CH889" s="6"/>
    </row>
    <row r="890" ht="13.5" customHeight="1">
      <c r="P890" s="6"/>
      <c r="AD890" s="6"/>
      <c r="AR890" s="6"/>
      <c r="BF890" s="6"/>
      <c r="BT890" s="6"/>
      <c r="CH890" s="6"/>
    </row>
    <row r="891" ht="13.5" customHeight="1">
      <c r="P891" s="6"/>
      <c r="AD891" s="6"/>
      <c r="AR891" s="6"/>
      <c r="BF891" s="6"/>
      <c r="BT891" s="6"/>
      <c r="CH891" s="6"/>
    </row>
    <row r="892" ht="13.5" customHeight="1">
      <c r="P892" s="6"/>
      <c r="AD892" s="6"/>
      <c r="AR892" s="6"/>
      <c r="BF892" s="6"/>
      <c r="BT892" s="6"/>
      <c r="CH892" s="6"/>
    </row>
    <row r="893" ht="13.5" customHeight="1">
      <c r="P893" s="6"/>
      <c r="AD893" s="6"/>
      <c r="AR893" s="6"/>
      <c r="BF893" s="6"/>
      <c r="BT893" s="6"/>
      <c r="CH893" s="6"/>
    </row>
    <row r="894" ht="13.5" customHeight="1">
      <c r="P894" s="6"/>
      <c r="AD894" s="6"/>
      <c r="AR894" s="6"/>
      <c r="BF894" s="6"/>
      <c r="BT894" s="6"/>
      <c r="CH894" s="6"/>
    </row>
    <row r="895" ht="13.5" customHeight="1">
      <c r="P895" s="6"/>
      <c r="AD895" s="6"/>
      <c r="AR895" s="6"/>
      <c r="BF895" s="6"/>
      <c r="BT895" s="6"/>
      <c r="CH895" s="6"/>
    </row>
    <row r="896" ht="13.5" customHeight="1">
      <c r="P896" s="6"/>
      <c r="AD896" s="6"/>
      <c r="AR896" s="6"/>
      <c r="BF896" s="6"/>
      <c r="BT896" s="6"/>
      <c r="CH896" s="6"/>
    </row>
    <row r="897" ht="13.5" customHeight="1">
      <c r="P897" s="6"/>
      <c r="AD897" s="6"/>
      <c r="AR897" s="6"/>
      <c r="BF897" s="6"/>
      <c r="BT897" s="6"/>
      <c r="CH897" s="6"/>
    </row>
    <row r="898" ht="13.5" customHeight="1">
      <c r="P898" s="6"/>
      <c r="AD898" s="6"/>
      <c r="AR898" s="6"/>
      <c r="BF898" s="6"/>
      <c r="BT898" s="6"/>
      <c r="CH898" s="6"/>
    </row>
    <row r="899" ht="13.5" customHeight="1">
      <c r="P899" s="6"/>
      <c r="AD899" s="6"/>
      <c r="AR899" s="6"/>
      <c r="BF899" s="6"/>
      <c r="BT899" s="6"/>
      <c r="CH899" s="6"/>
    </row>
    <row r="900" ht="13.5" customHeight="1">
      <c r="P900" s="6"/>
      <c r="AD900" s="6"/>
      <c r="AR900" s="6"/>
      <c r="BF900" s="6"/>
      <c r="BT900" s="6"/>
      <c r="CH900" s="6"/>
    </row>
    <row r="901" ht="13.5" customHeight="1">
      <c r="P901" s="6"/>
      <c r="AD901" s="6"/>
      <c r="AR901" s="6"/>
      <c r="BF901" s="6"/>
      <c r="BT901" s="6"/>
      <c r="CH901" s="6"/>
    </row>
    <row r="902" ht="13.5" customHeight="1">
      <c r="P902" s="6"/>
      <c r="AD902" s="6"/>
      <c r="AR902" s="6"/>
      <c r="BF902" s="6"/>
      <c r="BT902" s="6"/>
      <c r="CH902" s="6"/>
    </row>
    <row r="903" ht="13.5" customHeight="1">
      <c r="P903" s="6"/>
      <c r="AD903" s="6"/>
      <c r="AR903" s="6"/>
      <c r="BF903" s="6"/>
      <c r="BT903" s="6"/>
      <c r="CH903" s="6"/>
    </row>
    <row r="904" ht="13.5" customHeight="1">
      <c r="P904" s="6"/>
      <c r="AD904" s="6"/>
      <c r="AR904" s="6"/>
      <c r="BF904" s="6"/>
      <c r="BT904" s="6"/>
      <c r="CH904" s="6"/>
    </row>
    <row r="905" ht="13.5" customHeight="1">
      <c r="P905" s="6"/>
      <c r="AD905" s="6"/>
      <c r="AR905" s="6"/>
      <c r="BF905" s="6"/>
      <c r="BT905" s="6"/>
      <c r="CH905" s="6"/>
    </row>
    <row r="906" ht="13.5" customHeight="1">
      <c r="P906" s="6"/>
      <c r="AD906" s="6"/>
      <c r="AR906" s="6"/>
      <c r="BF906" s="6"/>
      <c r="BT906" s="6"/>
      <c r="CH906" s="6"/>
    </row>
    <row r="907" ht="13.5" customHeight="1">
      <c r="P907" s="6"/>
      <c r="AD907" s="6"/>
      <c r="AR907" s="6"/>
      <c r="BF907" s="6"/>
      <c r="BT907" s="6"/>
      <c r="CH907" s="6"/>
    </row>
    <row r="908" ht="13.5" customHeight="1">
      <c r="P908" s="6"/>
      <c r="AD908" s="6"/>
      <c r="AR908" s="6"/>
      <c r="BF908" s="6"/>
      <c r="BT908" s="6"/>
      <c r="CH908" s="6"/>
    </row>
    <row r="909" ht="13.5" customHeight="1">
      <c r="P909" s="6"/>
      <c r="AD909" s="6"/>
      <c r="AR909" s="6"/>
      <c r="BF909" s="6"/>
      <c r="BT909" s="6"/>
      <c r="CH909" s="6"/>
    </row>
    <row r="910" ht="13.5" customHeight="1">
      <c r="P910" s="6"/>
      <c r="AD910" s="6"/>
      <c r="AR910" s="6"/>
      <c r="BF910" s="6"/>
      <c r="BT910" s="6"/>
      <c r="CH910" s="6"/>
    </row>
    <row r="911" ht="13.5" customHeight="1">
      <c r="P911" s="6"/>
      <c r="AD911" s="6"/>
      <c r="AR911" s="6"/>
      <c r="BF911" s="6"/>
      <c r="BT911" s="6"/>
      <c r="CH911" s="6"/>
    </row>
    <row r="912" ht="13.5" customHeight="1">
      <c r="P912" s="6"/>
      <c r="AD912" s="6"/>
      <c r="AR912" s="6"/>
      <c r="BF912" s="6"/>
      <c r="BT912" s="6"/>
      <c r="CH912" s="6"/>
    </row>
    <row r="913" ht="13.5" customHeight="1">
      <c r="P913" s="6"/>
      <c r="AD913" s="6"/>
      <c r="AR913" s="6"/>
      <c r="BF913" s="6"/>
      <c r="BT913" s="6"/>
      <c r="CH913" s="6"/>
    </row>
    <row r="914" ht="13.5" customHeight="1">
      <c r="P914" s="6"/>
      <c r="AD914" s="6"/>
      <c r="AR914" s="6"/>
      <c r="BF914" s="6"/>
      <c r="BT914" s="6"/>
      <c r="CH914" s="6"/>
    </row>
    <row r="915" ht="13.5" customHeight="1">
      <c r="P915" s="6"/>
      <c r="AD915" s="6"/>
      <c r="AR915" s="6"/>
      <c r="BF915" s="6"/>
      <c r="BT915" s="6"/>
      <c r="CH915" s="6"/>
    </row>
    <row r="916" ht="13.5" customHeight="1">
      <c r="P916" s="6"/>
      <c r="AD916" s="6"/>
      <c r="AR916" s="6"/>
      <c r="BF916" s="6"/>
      <c r="BT916" s="6"/>
      <c r="CH916" s="6"/>
    </row>
    <row r="917" ht="13.5" customHeight="1">
      <c r="P917" s="6"/>
      <c r="AD917" s="6"/>
      <c r="AR917" s="6"/>
      <c r="BF917" s="6"/>
      <c r="BT917" s="6"/>
      <c r="CH917" s="6"/>
    </row>
    <row r="918" ht="13.5" customHeight="1">
      <c r="P918" s="6"/>
      <c r="AD918" s="6"/>
      <c r="AR918" s="6"/>
      <c r="BF918" s="6"/>
      <c r="BT918" s="6"/>
      <c r="CH918" s="6"/>
    </row>
    <row r="919" ht="13.5" customHeight="1">
      <c r="P919" s="6"/>
      <c r="AD919" s="6"/>
      <c r="AR919" s="6"/>
      <c r="BF919" s="6"/>
      <c r="BT919" s="6"/>
      <c r="CH919" s="6"/>
    </row>
    <row r="920" ht="13.5" customHeight="1">
      <c r="P920" s="6"/>
      <c r="AD920" s="6"/>
      <c r="AR920" s="6"/>
      <c r="BF920" s="6"/>
      <c r="BT920" s="6"/>
      <c r="CH920" s="6"/>
    </row>
    <row r="921" ht="13.5" customHeight="1">
      <c r="P921" s="6"/>
      <c r="AD921" s="6"/>
      <c r="AR921" s="6"/>
      <c r="BF921" s="6"/>
      <c r="BT921" s="6"/>
      <c r="CH921" s="6"/>
    </row>
    <row r="922" ht="13.5" customHeight="1">
      <c r="P922" s="6"/>
      <c r="AD922" s="6"/>
      <c r="AR922" s="6"/>
      <c r="BF922" s="6"/>
      <c r="BT922" s="6"/>
      <c r="CH922" s="6"/>
    </row>
    <row r="923" ht="13.5" customHeight="1">
      <c r="P923" s="6"/>
      <c r="AD923" s="6"/>
      <c r="AR923" s="6"/>
      <c r="BF923" s="6"/>
      <c r="BT923" s="6"/>
      <c r="CH923" s="6"/>
    </row>
    <row r="924" ht="13.5" customHeight="1">
      <c r="P924" s="6"/>
      <c r="AD924" s="6"/>
      <c r="AR924" s="6"/>
      <c r="BF924" s="6"/>
      <c r="BT924" s="6"/>
      <c r="CH924" s="6"/>
    </row>
    <row r="925" ht="13.5" customHeight="1">
      <c r="P925" s="6"/>
      <c r="AD925" s="6"/>
      <c r="AR925" s="6"/>
      <c r="BF925" s="6"/>
      <c r="BT925" s="6"/>
      <c r="CH925" s="6"/>
    </row>
    <row r="926" ht="13.5" customHeight="1">
      <c r="P926" s="6"/>
      <c r="AD926" s="6"/>
      <c r="AR926" s="6"/>
      <c r="BF926" s="6"/>
      <c r="BT926" s="6"/>
      <c r="CH926" s="6"/>
    </row>
    <row r="927" ht="13.5" customHeight="1">
      <c r="P927" s="6"/>
      <c r="AD927" s="6"/>
      <c r="AR927" s="6"/>
      <c r="BF927" s="6"/>
      <c r="BT927" s="6"/>
      <c r="CH927" s="6"/>
    </row>
    <row r="928" ht="13.5" customHeight="1">
      <c r="P928" s="6"/>
      <c r="AD928" s="6"/>
      <c r="AR928" s="6"/>
      <c r="BF928" s="6"/>
      <c r="BT928" s="6"/>
      <c r="CH928" s="6"/>
    </row>
    <row r="929" ht="13.5" customHeight="1">
      <c r="P929" s="6"/>
      <c r="AD929" s="6"/>
      <c r="AR929" s="6"/>
      <c r="BF929" s="6"/>
      <c r="BT929" s="6"/>
      <c r="CH929" s="6"/>
    </row>
    <row r="930" ht="13.5" customHeight="1">
      <c r="P930" s="6"/>
      <c r="AD930" s="6"/>
      <c r="AR930" s="6"/>
      <c r="BF930" s="6"/>
      <c r="BT930" s="6"/>
      <c r="CH930" s="6"/>
    </row>
    <row r="931" ht="13.5" customHeight="1">
      <c r="P931" s="6"/>
      <c r="AD931" s="6"/>
      <c r="AR931" s="6"/>
      <c r="BF931" s="6"/>
      <c r="BT931" s="6"/>
      <c r="CH931" s="6"/>
    </row>
    <row r="932" ht="13.5" customHeight="1">
      <c r="P932" s="6"/>
      <c r="AD932" s="6"/>
      <c r="AR932" s="6"/>
      <c r="BF932" s="6"/>
      <c r="BT932" s="6"/>
      <c r="CH932" s="6"/>
    </row>
    <row r="933" ht="13.5" customHeight="1">
      <c r="P933" s="6"/>
      <c r="AD933" s="6"/>
      <c r="AR933" s="6"/>
      <c r="BF933" s="6"/>
      <c r="BT933" s="6"/>
      <c r="CH933" s="6"/>
    </row>
    <row r="934" ht="13.5" customHeight="1">
      <c r="P934" s="6"/>
      <c r="AD934" s="6"/>
      <c r="AR934" s="6"/>
      <c r="BF934" s="6"/>
      <c r="BT934" s="6"/>
      <c r="CH934" s="6"/>
    </row>
    <row r="935" ht="13.5" customHeight="1">
      <c r="P935" s="6"/>
      <c r="AD935" s="6"/>
      <c r="AR935" s="6"/>
      <c r="BF935" s="6"/>
      <c r="BT935" s="6"/>
      <c r="CH935" s="6"/>
    </row>
    <row r="936" ht="13.5" customHeight="1">
      <c r="P936" s="6"/>
      <c r="AD936" s="6"/>
      <c r="AR936" s="6"/>
      <c r="BF936" s="6"/>
      <c r="BT936" s="6"/>
      <c r="CH936" s="6"/>
    </row>
    <row r="937" ht="13.5" customHeight="1">
      <c r="P937" s="6"/>
      <c r="AD937" s="6"/>
      <c r="AR937" s="6"/>
      <c r="BF937" s="6"/>
      <c r="BT937" s="6"/>
      <c r="CH937" s="6"/>
    </row>
    <row r="938" ht="13.5" customHeight="1">
      <c r="P938" s="6"/>
      <c r="AD938" s="6"/>
      <c r="AR938" s="6"/>
      <c r="BF938" s="6"/>
      <c r="BT938" s="6"/>
      <c r="CH938" s="6"/>
    </row>
    <row r="939" ht="13.5" customHeight="1">
      <c r="P939" s="6"/>
      <c r="AD939" s="6"/>
      <c r="AR939" s="6"/>
      <c r="BF939" s="6"/>
      <c r="BT939" s="6"/>
      <c r="CH939" s="6"/>
    </row>
    <row r="940" ht="13.5" customHeight="1">
      <c r="P940" s="6"/>
      <c r="AD940" s="6"/>
      <c r="AR940" s="6"/>
      <c r="BF940" s="6"/>
      <c r="BT940" s="6"/>
      <c r="CH940" s="6"/>
    </row>
    <row r="941" ht="13.5" customHeight="1">
      <c r="P941" s="6"/>
      <c r="AD941" s="6"/>
      <c r="AR941" s="6"/>
      <c r="BF941" s="6"/>
      <c r="BT941" s="6"/>
      <c r="CH941" s="6"/>
    </row>
    <row r="942" ht="13.5" customHeight="1">
      <c r="P942" s="6"/>
      <c r="AD942" s="6"/>
      <c r="AR942" s="6"/>
      <c r="BF942" s="6"/>
      <c r="BT942" s="6"/>
      <c r="CH942" s="6"/>
    </row>
    <row r="943" ht="13.5" customHeight="1">
      <c r="P943" s="6"/>
      <c r="AD943" s="6"/>
      <c r="AR943" s="6"/>
      <c r="BF943" s="6"/>
      <c r="BT943" s="6"/>
      <c r="CH943" s="6"/>
    </row>
    <row r="944" ht="13.5" customHeight="1">
      <c r="P944" s="6"/>
      <c r="AD944" s="6"/>
      <c r="AR944" s="6"/>
      <c r="BF944" s="6"/>
      <c r="BT944" s="6"/>
      <c r="CH944" s="6"/>
    </row>
    <row r="945" ht="13.5" customHeight="1">
      <c r="P945" s="6"/>
      <c r="AD945" s="6"/>
      <c r="AR945" s="6"/>
      <c r="BF945" s="6"/>
      <c r="BT945" s="6"/>
      <c r="CH945" s="6"/>
    </row>
    <row r="946" ht="13.5" customHeight="1">
      <c r="P946" s="6"/>
      <c r="AD946" s="6"/>
      <c r="AR946" s="6"/>
      <c r="BF946" s="6"/>
      <c r="BT946" s="6"/>
      <c r="CH946" s="6"/>
    </row>
    <row r="947" ht="13.5" customHeight="1">
      <c r="P947" s="6"/>
      <c r="AD947" s="6"/>
      <c r="AR947" s="6"/>
      <c r="BF947" s="6"/>
      <c r="BT947" s="6"/>
      <c r="CH947" s="6"/>
    </row>
    <row r="948" ht="13.5" customHeight="1">
      <c r="P948" s="6"/>
      <c r="AD948" s="6"/>
      <c r="AR948" s="6"/>
      <c r="BF948" s="6"/>
      <c r="BT948" s="6"/>
      <c r="CH948" s="6"/>
    </row>
    <row r="949" ht="13.5" customHeight="1">
      <c r="P949" s="6"/>
      <c r="AD949" s="6"/>
      <c r="AR949" s="6"/>
      <c r="BF949" s="6"/>
      <c r="BT949" s="6"/>
      <c r="CH949" s="6"/>
    </row>
    <row r="950" ht="13.5" customHeight="1">
      <c r="P950" s="6"/>
      <c r="AD950" s="6"/>
      <c r="AR950" s="6"/>
      <c r="BF950" s="6"/>
      <c r="BT950" s="6"/>
      <c r="CH950" s="6"/>
    </row>
    <row r="951" ht="13.5" customHeight="1">
      <c r="P951" s="6"/>
      <c r="AD951" s="6"/>
      <c r="AR951" s="6"/>
      <c r="BF951" s="6"/>
      <c r="BT951" s="6"/>
      <c r="CH951" s="6"/>
    </row>
    <row r="952" ht="13.5" customHeight="1">
      <c r="P952" s="6"/>
      <c r="AD952" s="6"/>
      <c r="AR952" s="6"/>
      <c r="BF952" s="6"/>
      <c r="BT952" s="6"/>
      <c r="CH952" s="6"/>
    </row>
    <row r="953" ht="13.5" customHeight="1">
      <c r="P953" s="6"/>
      <c r="AD953" s="6"/>
      <c r="AR953" s="6"/>
      <c r="BF953" s="6"/>
      <c r="BT953" s="6"/>
      <c r="CH953" s="6"/>
    </row>
    <row r="954" ht="13.5" customHeight="1">
      <c r="P954" s="6"/>
      <c r="AD954" s="6"/>
      <c r="AR954" s="6"/>
      <c r="BF954" s="6"/>
      <c r="BT954" s="6"/>
      <c r="CH954" s="6"/>
    </row>
    <row r="955" ht="13.5" customHeight="1">
      <c r="P955" s="6"/>
      <c r="AD955" s="6"/>
      <c r="AR955" s="6"/>
      <c r="BF955" s="6"/>
      <c r="BT955" s="6"/>
      <c r="CH955" s="6"/>
    </row>
    <row r="956" ht="13.5" customHeight="1">
      <c r="P956" s="6"/>
      <c r="AD956" s="6"/>
      <c r="AR956" s="6"/>
      <c r="BF956" s="6"/>
      <c r="BT956" s="6"/>
      <c r="CH956" s="6"/>
    </row>
    <row r="957" ht="13.5" customHeight="1">
      <c r="P957" s="6"/>
      <c r="AD957" s="6"/>
      <c r="AR957" s="6"/>
      <c r="BF957" s="6"/>
      <c r="BT957" s="6"/>
      <c r="CH957" s="6"/>
    </row>
    <row r="958" ht="13.5" customHeight="1">
      <c r="P958" s="6"/>
      <c r="AD958" s="6"/>
      <c r="AR958" s="6"/>
      <c r="BF958" s="6"/>
      <c r="BT958" s="6"/>
      <c r="CH958" s="6"/>
    </row>
    <row r="959" ht="13.5" customHeight="1">
      <c r="P959" s="6"/>
      <c r="AD959" s="6"/>
      <c r="AR959" s="6"/>
      <c r="BF959" s="6"/>
      <c r="BT959" s="6"/>
      <c r="CH959" s="6"/>
    </row>
    <row r="960" ht="13.5" customHeight="1">
      <c r="P960" s="6"/>
      <c r="AD960" s="6"/>
      <c r="AR960" s="6"/>
      <c r="BF960" s="6"/>
      <c r="BT960" s="6"/>
      <c r="CH960" s="6"/>
    </row>
    <row r="961" ht="13.5" customHeight="1">
      <c r="P961" s="6"/>
      <c r="AD961" s="6"/>
      <c r="AR961" s="6"/>
      <c r="BF961" s="6"/>
      <c r="BT961" s="6"/>
      <c r="CH961" s="6"/>
    </row>
    <row r="962" ht="13.5" customHeight="1">
      <c r="P962" s="6"/>
      <c r="AD962" s="6"/>
      <c r="AR962" s="6"/>
      <c r="BF962" s="6"/>
      <c r="BT962" s="6"/>
      <c r="CH962" s="6"/>
    </row>
    <row r="963" ht="13.5" customHeight="1">
      <c r="P963" s="6"/>
      <c r="AD963" s="6"/>
      <c r="AR963" s="6"/>
      <c r="BF963" s="6"/>
      <c r="BT963" s="6"/>
      <c r="CH963" s="6"/>
    </row>
    <row r="964" ht="13.5" customHeight="1">
      <c r="P964" s="6"/>
      <c r="AD964" s="6"/>
      <c r="AR964" s="6"/>
      <c r="BF964" s="6"/>
      <c r="BT964" s="6"/>
      <c r="CH964" s="6"/>
    </row>
    <row r="965" ht="13.5" customHeight="1">
      <c r="P965" s="6"/>
      <c r="AD965" s="6"/>
      <c r="AR965" s="6"/>
      <c r="BF965" s="6"/>
      <c r="BT965" s="6"/>
      <c r="CH965" s="6"/>
    </row>
    <row r="966" ht="13.5" customHeight="1">
      <c r="P966" s="6"/>
      <c r="AD966" s="6"/>
      <c r="AR966" s="6"/>
      <c r="BF966" s="6"/>
      <c r="BT966" s="6"/>
      <c r="CH966" s="6"/>
    </row>
    <row r="967" ht="13.5" customHeight="1">
      <c r="P967" s="6"/>
      <c r="AD967" s="6"/>
      <c r="AR967" s="6"/>
      <c r="BF967" s="6"/>
      <c r="BT967" s="6"/>
      <c r="CH967" s="6"/>
    </row>
    <row r="968" ht="13.5" customHeight="1">
      <c r="P968" s="6"/>
      <c r="AD968" s="6"/>
      <c r="AR968" s="6"/>
      <c r="BF968" s="6"/>
      <c r="BT968" s="6"/>
      <c r="CH968" s="6"/>
    </row>
    <row r="969" ht="13.5" customHeight="1">
      <c r="P969" s="6"/>
      <c r="AD969" s="6"/>
      <c r="AR969" s="6"/>
      <c r="BF969" s="6"/>
      <c r="BT969" s="6"/>
      <c r="CH969" s="6"/>
    </row>
    <row r="970" ht="13.5" customHeight="1">
      <c r="P970" s="6"/>
      <c r="AD970" s="6"/>
      <c r="AR970" s="6"/>
      <c r="BF970" s="6"/>
      <c r="BT970" s="6"/>
      <c r="CH970" s="6"/>
    </row>
    <row r="971" ht="13.5" customHeight="1">
      <c r="P971" s="6"/>
      <c r="AD971" s="6"/>
      <c r="AR971" s="6"/>
      <c r="BF971" s="6"/>
      <c r="BT971" s="6"/>
      <c r="CH971" s="6"/>
    </row>
    <row r="972" ht="13.5" customHeight="1">
      <c r="P972" s="6"/>
      <c r="AD972" s="6"/>
      <c r="AR972" s="6"/>
      <c r="BF972" s="6"/>
      <c r="BT972" s="6"/>
      <c r="CH972" s="6"/>
    </row>
    <row r="973" ht="13.5" customHeight="1">
      <c r="P973" s="6"/>
      <c r="AD973" s="6"/>
      <c r="AR973" s="6"/>
      <c r="BF973" s="6"/>
      <c r="BT973" s="6"/>
      <c r="CH973" s="6"/>
    </row>
    <row r="974" ht="13.5" customHeight="1">
      <c r="P974" s="6"/>
      <c r="AD974" s="6"/>
      <c r="AR974" s="6"/>
      <c r="BF974" s="6"/>
      <c r="BT974" s="6"/>
      <c r="CH974" s="6"/>
    </row>
    <row r="975" ht="13.5" customHeight="1">
      <c r="P975" s="6"/>
      <c r="AD975" s="6"/>
      <c r="AR975" s="6"/>
      <c r="BF975" s="6"/>
      <c r="BT975" s="6"/>
      <c r="CH975" s="6"/>
    </row>
    <row r="976" ht="13.5" customHeight="1">
      <c r="P976" s="6"/>
      <c r="AD976" s="6"/>
      <c r="AR976" s="6"/>
      <c r="BF976" s="6"/>
      <c r="BT976" s="6"/>
      <c r="CH976" s="6"/>
    </row>
    <row r="977" ht="13.5" customHeight="1">
      <c r="P977" s="6"/>
      <c r="AD977" s="6"/>
      <c r="AR977" s="6"/>
      <c r="BF977" s="6"/>
      <c r="BT977" s="6"/>
      <c r="CH977" s="6"/>
    </row>
    <row r="978" ht="13.5" customHeight="1">
      <c r="P978" s="6"/>
      <c r="AD978" s="6"/>
      <c r="AR978" s="6"/>
      <c r="BF978" s="6"/>
      <c r="BT978" s="6"/>
      <c r="CH978" s="6"/>
    </row>
    <row r="979" ht="13.5" customHeight="1">
      <c r="P979" s="6"/>
      <c r="AD979" s="6"/>
      <c r="AR979" s="6"/>
      <c r="BF979" s="6"/>
      <c r="BT979" s="6"/>
      <c r="CH979" s="6"/>
    </row>
    <row r="980" ht="13.5" customHeight="1">
      <c r="P980" s="6"/>
      <c r="AD980" s="6"/>
      <c r="AR980" s="6"/>
      <c r="BF980" s="6"/>
      <c r="BT980" s="6"/>
      <c r="CH980" s="6"/>
    </row>
    <row r="981" ht="13.5" customHeight="1">
      <c r="P981" s="6"/>
      <c r="AD981" s="6"/>
      <c r="AR981" s="6"/>
      <c r="BF981" s="6"/>
      <c r="BT981" s="6"/>
      <c r="CH981" s="6"/>
    </row>
    <row r="982" ht="13.5" customHeight="1">
      <c r="P982" s="6"/>
      <c r="AD982" s="6"/>
      <c r="AR982" s="6"/>
      <c r="BF982" s="6"/>
      <c r="BT982" s="6"/>
      <c r="CH982" s="6"/>
    </row>
    <row r="983" ht="13.5" customHeight="1">
      <c r="P983" s="6"/>
      <c r="AD983" s="6"/>
      <c r="AR983" s="6"/>
      <c r="BF983" s="6"/>
      <c r="BT983" s="6"/>
      <c r="CH983" s="6"/>
    </row>
    <row r="984" ht="13.5" customHeight="1">
      <c r="P984" s="6"/>
      <c r="AD984" s="6"/>
      <c r="AR984" s="6"/>
      <c r="BF984" s="6"/>
      <c r="BT984" s="6"/>
      <c r="CH984" s="6"/>
    </row>
    <row r="985" ht="13.5" customHeight="1">
      <c r="P985" s="6"/>
      <c r="AD985" s="6"/>
      <c r="AR985" s="6"/>
      <c r="BF985" s="6"/>
      <c r="BT985" s="6"/>
      <c r="CH985" s="6"/>
    </row>
    <row r="986" ht="13.5" customHeight="1">
      <c r="P986" s="6"/>
      <c r="AD986" s="6"/>
      <c r="AR986" s="6"/>
      <c r="BF986" s="6"/>
      <c r="BT986" s="6"/>
      <c r="CH986" s="6"/>
    </row>
    <row r="987" ht="13.5" customHeight="1">
      <c r="P987" s="6"/>
      <c r="AD987" s="6"/>
      <c r="AR987" s="6"/>
      <c r="BF987" s="6"/>
      <c r="BT987" s="6"/>
      <c r="CH987" s="6"/>
    </row>
    <row r="988" ht="13.5" customHeight="1">
      <c r="P988" s="6"/>
      <c r="AD988" s="6"/>
      <c r="AR988" s="6"/>
      <c r="BF988" s="6"/>
      <c r="BT988" s="6"/>
      <c r="CH988" s="6"/>
    </row>
    <row r="989" ht="13.5" customHeight="1">
      <c r="P989" s="6"/>
      <c r="AD989" s="6"/>
      <c r="AR989" s="6"/>
      <c r="BF989" s="6"/>
      <c r="BT989" s="6"/>
      <c r="CH989" s="6"/>
    </row>
    <row r="990" ht="13.5" customHeight="1">
      <c r="P990" s="6"/>
      <c r="AD990" s="6"/>
      <c r="AR990" s="6"/>
      <c r="BF990" s="6"/>
      <c r="BT990" s="6"/>
      <c r="CH990" s="6"/>
    </row>
    <row r="991" ht="13.5" customHeight="1">
      <c r="P991" s="6"/>
      <c r="AD991" s="6"/>
      <c r="AR991" s="6"/>
      <c r="BF991" s="6"/>
      <c r="BT991" s="6"/>
      <c r="CH991" s="6"/>
    </row>
    <row r="992" ht="13.5" customHeight="1">
      <c r="P992" s="6"/>
      <c r="AD992" s="6"/>
      <c r="AR992" s="6"/>
      <c r="BF992" s="6"/>
      <c r="BT992" s="6"/>
      <c r="CH992" s="6"/>
    </row>
    <row r="993" ht="13.5" customHeight="1">
      <c r="P993" s="6"/>
      <c r="AD993" s="6"/>
      <c r="AR993" s="6"/>
      <c r="BF993" s="6"/>
      <c r="BT993" s="6"/>
      <c r="CH993" s="6"/>
    </row>
    <row r="994" ht="13.5" customHeight="1">
      <c r="P994" s="6"/>
      <c r="AD994" s="6"/>
      <c r="AR994" s="6"/>
      <c r="BF994" s="6"/>
      <c r="BT994" s="6"/>
      <c r="CH994" s="6"/>
    </row>
    <row r="995" ht="13.5" customHeight="1">
      <c r="P995" s="6"/>
      <c r="AD995" s="6"/>
      <c r="AR995" s="6"/>
      <c r="BF995" s="6"/>
      <c r="BT995" s="6"/>
      <c r="CH995" s="6"/>
    </row>
    <row r="996" ht="13.5" customHeight="1">
      <c r="P996" s="6"/>
      <c r="AD996" s="6"/>
      <c r="AR996" s="6"/>
      <c r="BF996" s="6"/>
      <c r="BT996" s="6"/>
      <c r="CH996" s="6"/>
    </row>
    <row r="997" ht="13.5" customHeight="1">
      <c r="P997" s="6"/>
      <c r="AD997" s="6"/>
      <c r="AR997" s="6"/>
      <c r="BF997" s="6"/>
      <c r="BT997" s="6"/>
      <c r="CH997" s="6"/>
    </row>
    <row r="998" ht="13.5" customHeight="1">
      <c r="P998" s="6"/>
      <c r="AD998" s="6"/>
      <c r="AR998" s="6"/>
      <c r="BF998" s="6"/>
      <c r="BT998" s="6"/>
      <c r="CH998" s="6"/>
    </row>
    <row r="999" ht="13.5" customHeight="1">
      <c r="P999" s="6"/>
      <c r="AD999" s="6"/>
      <c r="AR999" s="6"/>
      <c r="BF999" s="6"/>
      <c r="BT999" s="6"/>
      <c r="CH999" s="6"/>
    </row>
    <row r="1000" ht="13.5" customHeight="1">
      <c r="P1000" s="6"/>
      <c r="AD1000" s="6"/>
      <c r="AR1000" s="6"/>
      <c r="BF1000" s="6"/>
      <c r="BT1000" s="6"/>
      <c r="CH1000" s="6"/>
    </row>
    <row r="1001" ht="13.5" customHeight="1">
      <c r="P1001" s="6"/>
      <c r="AD1001" s="6"/>
      <c r="AR1001" s="6"/>
      <c r="BF1001" s="6"/>
      <c r="BT1001" s="6"/>
      <c r="CH1001" s="6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A49B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.5"/>
    <col customWidth="1" min="3" max="3" width="50.38"/>
    <col customWidth="1" min="4" max="4" width="7.38"/>
    <col customWidth="1" min="5" max="18" width="10.0"/>
    <col customWidth="1" min="19" max="21" width="8.63"/>
    <col customWidth="1" min="22" max="22" width="12.13"/>
    <col customWidth="1" min="23" max="26" width="8.63"/>
  </cols>
  <sheetData>
    <row r="1" ht="13.5" customHeight="1"/>
    <row r="2" ht="13.5" customHeight="1"/>
    <row r="3" ht="24.0" customHeight="1">
      <c r="A3" s="66"/>
      <c r="B3" s="79" t="s">
        <v>82</v>
      </c>
      <c r="C3" s="79" t="s">
        <v>81</v>
      </c>
      <c r="D3" s="79"/>
      <c r="E3" s="80" t="s">
        <v>92</v>
      </c>
      <c r="F3" s="81" t="s">
        <v>14</v>
      </c>
      <c r="G3" s="80" t="s">
        <v>15</v>
      </c>
      <c r="H3" s="80" t="s">
        <v>16</v>
      </c>
      <c r="I3" s="80" t="s">
        <v>17</v>
      </c>
      <c r="J3" s="80" t="s">
        <v>18</v>
      </c>
      <c r="K3" s="80" t="s">
        <v>19</v>
      </c>
      <c r="L3" s="80" t="s">
        <v>20</v>
      </c>
      <c r="M3" s="80" t="s">
        <v>93</v>
      </c>
      <c r="N3" s="80" t="s">
        <v>22</v>
      </c>
      <c r="O3" s="80" t="s">
        <v>23</v>
      </c>
      <c r="P3" s="80" t="s">
        <v>24</v>
      </c>
      <c r="Q3" s="80" t="s">
        <v>25</v>
      </c>
      <c r="R3" s="66"/>
      <c r="S3" s="66"/>
      <c r="T3" s="66"/>
      <c r="U3" s="66"/>
      <c r="V3" s="66"/>
      <c r="W3" s="66"/>
      <c r="X3" s="66"/>
      <c r="Y3" s="66"/>
      <c r="Z3" s="66"/>
    </row>
    <row r="4" ht="13.5" customHeight="1">
      <c r="C4" s="82" t="s">
        <v>94</v>
      </c>
      <c r="D4" s="82"/>
      <c r="E4" s="83">
        <v>3500.0</v>
      </c>
      <c r="F4" s="84">
        <f t="shared" ref="F4:Q4" si="1">$E$4</f>
        <v>3500</v>
      </c>
      <c r="G4" s="40">
        <f t="shared" si="1"/>
        <v>3500</v>
      </c>
      <c r="H4" s="40">
        <f t="shared" si="1"/>
        <v>3500</v>
      </c>
      <c r="I4" s="40">
        <f t="shared" si="1"/>
        <v>3500</v>
      </c>
      <c r="J4" s="40">
        <f t="shared" si="1"/>
        <v>3500</v>
      </c>
      <c r="K4" s="40">
        <f t="shared" si="1"/>
        <v>3500</v>
      </c>
      <c r="L4" s="40">
        <f t="shared" si="1"/>
        <v>3500</v>
      </c>
      <c r="M4" s="40">
        <f t="shared" si="1"/>
        <v>3500</v>
      </c>
      <c r="N4" s="40">
        <f t="shared" si="1"/>
        <v>3500</v>
      </c>
      <c r="O4" s="40">
        <f t="shared" si="1"/>
        <v>3500</v>
      </c>
      <c r="P4" s="40">
        <f t="shared" si="1"/>
        <v>3500</v>
      </c>
      <c r="Q4" s="40">
        <f t="shared" si="1"/>
        <v>3500</v>
      </c>
    </row>
    <row r="5" ht="13.5" customHeight="1">
      <c r="C5" s="68" t="s">
        <v>95</v>
      </c>
      <c r="D5" s="68"/>
      <c r="E5" s="85">
        <f>E4</f>
        <v>3500</v>
      </c>
      <c r="F5" s="86"/>
      <c r="P5" s="69">
        <f>E5*0.5</f>
        <v>1750</v>
      </c>
      <c r="Q5" s="69">
        <f>E5*0.5</f>
        <v>1750</v>
      </c>
    </row>
    <row r="6" ht="13.5" customHeight="1">
      <c r="C6" s="68" t="s">
        <v>96</v>
      </c>
      <c r="D6" s="87">
        <v>0.028</v>
      </c>
      <c r="E6" s="85"/>
      <c r="F6" s="88">
        <f t="shared" ref="F6:Q6" si="2">(F4+F5)*$D$6</f>
        <v>98</v>
      </c>
      <c r="G6" s="89">
        <f t="shared" si="2"/>
        <v>98</v>
      </c>
      <c r="H6" s="89">
        <f t="shared" si="2"/>
        <v>98</v>
      </c>
      <c r="I6" s="89">
        <f t="shared" si="2"/>
        <v>98</v>
      </c>
      <c r="J6" s="89">
        <f t="shared" si="2"/>
        <v>98</v>
      </c>
      <c r="K6" s="89">
        <f t="shared" si="2"/>
        <v>98</v>
      </c>
      <c r="L6" s="89">
        <f t="shared" si="2"/>
        <v>98</v>
      </c>
      <c r="M6" s="89">
        <f t="shared" si="2"/>
        <v>98</v>
      </c>
      <c r="N6" s="89">
        <f t="shared" si="2"/>
        <v>98</v>
      </c>
      <c r="O6" s="89">
        <f t="shared" si="2"/>
        <v>98</v>
      </c>
      <c r="P6" s="89">
        <f t="shared" si="2"/>
        <v>147</v>
      </c>
      <c r="Q6" s="89">
        <f t="shared" si="2"/>
        <v>147</v>
      </c>
    </row>
    <row r="7" ht="13.5" customHeight="1">
      <c r="C7" s="90" t="s">
        <v>97</v>
      </c>
      <c r="D7" s="90"/>
      <c r="E7" s="91"/>
      <c r="F7" s="92">
        <f t="shared" ref="F7:Q7" si="3">SUM(F4:F6)</f>
        <v>3598</v>
      </c>
      <c r="G7" s="91">
        <f t="shared" si="3"/>
        <v>3598</v>
      </c>
      <c r="H7" s="91">
        <f t="shared" si="3"/>
        <v>3598</v>
      </c>
      <c r="I7" s="91">
        <f t="shared" si="3"/>
        <v>3598</v>
      </c>
      <c r="J7" s="91">
        <f t="shared" si="3"/>
        <v>3598</v>
      </c>
      <c r="K7" s="91">
        <f t="shared" si="3"/>
        <v>3598</v>
      </c>
      <c r="L7" s="91">
        <f t="shared" si="3"/>
        <v>3598</v>
      </c>
      <c r="M7" s="91">
        <f t="shared" si="3"/>
        <v>3598</v>
      </c>
      <c r="N7" s="91">
        <f t="shared" si="3"/>
        <v>3598</v>
      </c>
      <c r="O7" s="91">
        <f t="shared" si="3"/>
        <v>3598</v>
      </c>
      <c r="P7" s="91">
        <f t="shared" si="3"/>
        <v>5397</v>
      </c>
      <c r="Q7" s="91">
        <f t="shared" si="3"/>
        <v>5397</v>
      </c>
    </row>
    <row r="8" ht="13.5" customHeight="1">
      <c r="C8" s="68"/>
      <c r="D8" s="68"/>
      <c r="E8" s="93"/>
      <c r="F8" s="94"/>
      <c r="G8" s="70"/>
      <c r="H8" s="70"/>
      <c r="I8" s="70"/>
      <c r="J8" s="70"/>
      <c r="K8" s="70"/>
      <c r="L8" s="70"/>
      <c r="M8" s="70"/>
      <c r="N8" s="70"/>
      <c r="O8" s="70"/>
    </row>
    <row r="9" ht="13.5" customHeight="1">
      <c r="C9" s="95" t="s">
        <v>98</v>
      </c>
      <c r="D9" s="95"/>
      <c r="E9" s="96"/>
      <c r="F9" s="97"/>
      <c r="G9" s="70"/>
      <c r="H9" s="70"/>
      <c r="I9" s="70"/>
      <c r="J9" s="70"/>
      <c r="K9" s="70"/>
      <c r="L9" s="70"/>
      <c r="M9" s="70"/>
      <c r="N9" s="70"/>
      <c r="O9" s="70"/>
    </row>
    <row r="10" ht="13.5" customHeight="1">
      <c r="C10" s="82" t="s">
        <v>99</v>
      </c>
      <c r="D10" s="98">
        <v>0.2</v>
      </c>
      <c r="E10" s="99"/>
      <c r="F10" s="84">
        <f t="shared" ref="F10:Q10" si="4">F7*$D$10</f>
        <v>719.6</v>
      </c>
      <c r="G10" s="99">
        <f t="shared" si="4"/>
        <v>719.6</v>
      </c>
      <c r="H10" s="99">
        <f t="shared" si="4"/>
        <v>719.6</v>
      </c>
      <c r="I10" s="99">
        <f t="shared" si="4"/>
        <v>719.6</v>
      </c>
      <c r="J10" s="99">
        <f t="shared" si="4"/>
        <v>719.6</v>
      </c>
      <c r="K10" s="99">
        <f t="shared" si="4"/>
        <v>719.6</v>
      </c>
      <c r="L10" s="99">
        <f t="shared" si="4"/>
        <v>719.6</v>
      </c>
      <c r="M10" s="99">
        <f t="shared" si="4"/>
        <v>719.6</v>
      </c>
      <c r="N10" s="99">
        <f t="shared" si="4"/>
        <v>719.6</v>
      </c>
      <c r="O10" s="99">
        <f t="shared" si="4"/>
        <v>719.6</v>
      </c>
      <c r="P10" s="99">
        <f t="shared" si="4"/>
        <v>1079.4</v>
      </c>
      <c r="Q10" s="99">
        <f t="shared" si="4"/>
        <v>1079.4</v>
      </c>
    </row>
    <row r="11" ht="13.5" customHeight="1">
      <c r="C11" s="68" t="s">
        <v>100</v>
      </c>
      <c r="D11" s="100">
        <v>0.08</v>
      </c>
      <c r="E11" s="85"/>
      <c r="F11" s="86">
        <f t="shared" ref="F11:Q11" si="5">F7*$D$11</f>
        <v>287.84</v>
      </c>
      <c r="G11" s="85">
        <f t="shared" si="5"/>
        <v>287.84</v>
      </c>
      <c r="H11" s="85">
        <f t="shared" si="5"/>
        <v>287.84</v>
      </c>
      <c r="I11" s="85">
        <f t="shared" si="5"/>
        <v>287.84</v>
      </c>
      <c r="J11" s="85">
        <f t="shared" si="5"/>
        <v>287.84</v>
      </c>
      <c r="K11" s="85">
        <f t="shared" si="5"/>
        <v>287.84</v>
      </c>
      <c r="L11" s="85">
        <f t="shared" si="5"/>
        <v>287.84</v>
      </c>
      <c r="M11" s="85">
        <f t="shared" si="5"/>
        <v>287.84</v>
      </c>
      <c r="N11" s="85">
        <f t="shared" si="5"/>
        <v>287.84</v>
      </c>
      <c r="O11" s="85">
        <f t="shared" si="5"/>
        <v>287.84</v>
      </c>
      <c r="P11" s="85">
        <f t="shared" si="5"/>
        <v>431.76</v>
      </c>
      <c r="Q11" s="85">
        <f t="shared" si="5"/>
        <v>431.76</v>
      </c>
    </row>
    <row r="12" ht="13.5" customHeight="1">
      <c r="C12" s="68" t="s">
        <v>101</v>
      </c>
      <c r="D12" s="100">
        <v>0.058</v>
      </c>
      <c r="E12" s="85"/>
      <c r="F12" s="86">
        <f t="shared" ref="F12:Q12" si="6">F7*$D$12</f>
        <v>208.684</v>
      </c>
      <c r="G12" s="85">
        <f t="shared" si="6"/>
        <v>208.684</v>
      </c>
      <c r="H12" s="85">
        <f t="shared" si="6"/>
        <v>208.684</v>
      </c>
      <c r="I12" s="85">
        <f t="shared" si="6"/>
        <v>208.684</v>
      </c>
      <c r="J12" s="85">
        <f t="shared" si="6"/>
        <v>208.684</v>
      </c>
      <c r="K12" s="85">
        <f t="shared" si="6"/>
        <v>208.684</v>
      </c>
      <c r="L12" s="85">
        <f t="shared" si="6"/>
        <v>208.684</v>
      </c>
      <c r="M12" s="85">
        <f t="shared" si="6"/>
        <v>208.684</v>
      </c>
      <c r="N12" s="85">
        <f t="shared" si="6"/>
        <v>208.684</v>
      </c>
      <c r="O12" s="85">
        <f t="shared" si="6"/>
        <v>208.684</v>
      </c>
      <c r="P12" s="85">
        <f t="shared" si="6"/>
        <v>313.026</v>
      </c>
      <c r="Q12" s="85">
        <f t="shared" si="6"/>
        <v>313.026</v>
      </c>
    </row>
    <row r="13" ht="13.5" customHeight="1">
      <c r="C13" s="68" t="s">
        <v>102</v>
      </c>
      <c r="D13" s="100">
        <v>0.03</v>
      </c>
      <c r="E13" s="85"/>
      <c r="F13" s="88">
        <f t="shared" ref="F13:Q13" si="7">F7*$D$13</f>
        <v>107.94</v>
      </c>
      <c r="G13" s="89">
        <f t="shared" si="7"/>
        <v>107.94</v>
      </c>
      <c r="H13" s="89">
        <f t="shared" si="7"/>
        <v>107.94</v>
      </c>
      <c r="I13" s="89">
        <f t="shared" si="7"/>
        <v>107.94</v>
      </c>
      <c r="J13" s="89">
        <f t="shared" si="7"/>
        <v>107.94</v>
      </c>
      <c r="K13" s="89">
        <f t="shared" si="7"/>
        <v>107.94</v>
      </c>
      <c r="L13" s="89">
        <f t="shared" si="7"/>
        <v>107.94</v>
      </c>
      <c r="M13" s="89">
        <f t="shared" si="7"/>
        <v>107.94</v>
      </c>
      <c r="N13" s="89">
        <f t="shared" si="7"/>
        <v>107.94</v>
      </c>
      <c r="O13" s="89">
        <f t="shared" si="7"/>
        <v>107.94</v>
      </c>
      <c r="P13" s="89">
        <f t="shared" si="7"/>
        <v>161.91</v>
      </c>
      <c r="Q13" s="89">
        <f t="shared" si="7"/>
        <v>161.91</v>
      </c>
    </row>
    <row r="14" ht="13.5" customHeight="1">
      <c r="C14" s="90"/>
      <c r="D14" s="101">
        <f>SUM(D10:D13)</f>
        <v>0.368</v>
      </c>
      <c r="E14" s="91"/>
      <c r="F14" s="102">
        <f t="shared" ref="F14:Q14" si="8">SUM(F10:F13)</f>
        <v>1324.064</v>
      </c>
      <c r="G14" s="103">
        <f t="shared" si="8"/>
        <v>1324.064</v>
      </c>
      <c r="H14" s="103">
        <f t="shared" si="8"/>
        <v>1324.064</v>
      </c>
      <c r="I14" s="103">
        <f t="shared" si="8"/>
        <v>1324.064</v>
      </c>
      <c r="J14" s="103">
        <f t="shared" si="8"/>
        <v>1324.064</v>
      </c>
      <c r="K14" s="103">
        <f t="shared" si="8"/>
        <v>1324.064</v>
      </c>
      <c r="L14" s="103">
        <f t="shared" si="8"/>
        <v>1324.064</v>
      </c>
      <c r="M14" s="103">
        <f t="shared" si="8"/>
        <v>1324.064</v>
      </c>
      <c r="N14" s="103">
        <f t="shared" si="8"/>
        <v>1324.064</v>
      </c>
      <c r="O14" s="103">
        <f t="shared" si="8"/>
        <v>1324.064</v>
      </c>
      <c r="P14" s="103">
        <f t="shared" si="8"/>
        <v>1986.096</v>
      </c>
      <c r="Q14" s="103">
        <f t="shared" si="8"/>
        <v>1986.096</v>
      </c>
    </row>
    <row r="15" ht="13.5" customHeight="1">
      <c r="C15" s="68"/>
      <c r="D15" s="68"/>
      <c r="E15" s="85"/>
      <c r="F15" s="86"/>
    </row>
    <row r="16" ht="24.0" customHeight="1">
      <c r="B16" s="79"/>
      <c r="C16" s="104" t="s">
        <v>103</v>
      </c>
      <c r="D16" s="104"/>
      <c r="E16" s="105"/>
      <c r="F16" s="106">
        <f t="shared" ref="F16:Q16" si="9">F7+F14</f>
        <v>4922.064</v>
      </c>
      <c r="G16" s="105">
        <f t="shared" si="9"/>
        <v>4922.064</v>
      </c>
      <c r="H16" s="105">
        <f t="shared" si="9"/>
        <v>4922.064</v>
      </c>
      <c r="I16" s="105">
        <f t="shared" si="9"/>
        <v>4922.064</v>
      </c>
      <c r="J16" s="105">
        <f t="shared" si="9"/>
        <v>4922.064</v>
      </c>
      <c r="K16" s="105">
        <f t="shared" si="9"/>
        <v>4922.064</v>
      </c>
      <c r="L16" s="105">
        <f t="shared" si="9"/>
        <v>4922.064</v>
      </c>
      <c r="M16" s="105">
        <f t="shared" si="9"/>
        <v>4922.064</v>
      </c>
      <c r="N16" s="105">
        <f t="shared" si="9"/>
        <v>4922.064</v>
      </c>
      <c r="O16" s="105">
        <f t="shared" si="9"/>
        <v>4922.064</v>
      </c>
      <c r="P16" s="105">
        <f t="shared" si="9"/>
        <v>7383.096</v>
      </c>
      <c r="Q16" s="105">
        <f t="shared" si="9"/>
        <v>7383.096</v>
      </c>
    </row>
    <row r="17" ht="13.5" customHeight="1"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S17" s="70"/>
      <c r="T17" s="70"/>
      <c r="U17" s="70"/>
      <c r="V17" s="70"/>
    </row>
    <row r="18" ht="24.0" customHeight="1">
      <c r="A18" s="66"/>
      <c r="B18" s="107" t="s">
        <v>84</v>
      </c>
      <c r="C18" s="107" t="s">
        <v>83</v>
      </c>
      <c r="D18" s="107"/>
      <c r="E18" s="108" t="s">
        <v>92</v>
      </c>
      <c r="F18" s="109" t="s">
        <v>14</v>
      </c>
      <c r="G18" s="108" t="s">
        <v>15</v>
      </c>
      <c r="H18" s="108" t="s">
        <v>16</v>
      </c>
      <c r="I18" s="108" t="s">
        <v>17</v>
      </c>
      <c r="J18" s="108" t="s">
        <v>18</v>
      </c>
      <c r="K18" s="108" t="s">
        <v>19</v>
      </c>
      <c r="L18" s="108" t="s">
        <v>20</v>
      </c>
      <c r="M18" s="110" t="s">
        <v>93</v>
      </c>
      <c r="N18" s="108" t="s">
        <v>22</v>
      </c>
      <c r="O18" s="108" t="s">
        <v>23</v>
      </c>
      <c r="P18" s="108" t="s">
        <v>24</v>
      </c>
      <c r="Q18" s="108" t="s">
        <v>25</v>
      </c>
      <c r="R18" s="66"/>
      <c r="S18" s="66"/>
      <c r="T18" s="66"/>
      <c r="U18" s="66"/>
      <c r="V18" s="66"/>
      <c r="W18" s="66"/>
      <c r="X18" s="66"/>
      <c r="Y18" s="66"/>
      <c r="Z18" s="66"/>
    </row>
    <row r="19" ht="13.5" customHeight="1">
      <c r="C19" s="82" t="s">
        <v>94</v>
      </c>
      <c r="D19" s="82"/>
      <c r="E19" s="111">
        <v>1600.0</v>
      </c>
      <c r="F19" s="84">
        <f t="shared" ref="F19:Q19" si="10">$E$19</f>
        <v>1600</v>
      </c>
      <c r="G19" s="40">
        <f t="shared" si="10"/>
        <v>1600</v>
      </c>
      <c r="H19" s="40">
        <f t="shared" si="10"/>
        <v>1600</v>
      </c>
      <c r="I19" s="40">
        <f t="shared" si="10"/>
        <v>1600</v>
      </c>
      <c r="J19" s="40">
        <f t="shared" si="10"/>
        <v>1600</v>
      </c>
      <c r="K19" s="40">
        <f t="shared" si="10"/>
        <v>1600</v>
      </c>
      <c r="L19" s="40">
        <f t="shared" si="10"/>
        <v>1600</v>
      </c>
      <c r="M19" s="40">
        <f t="shared" si="10"/>
        <v>1600</v>
      </c>
      <c r="N19" s="40">
        <f t="shared" si="10"/>
        <v>1600</v>
      </c>
      <c r="O19" s="40">
        <f t="shared" si="10"/>
        <v>1600</v>
      </c>
      <c r="P19" s="40">
        <f t="shared" si="10"/>
        <v>1600</v>
      </c>
      <c r="Q19" s="40">
        <f t="shared" si="10"/>
        <v>1600</v>
      </c>
    </row>
    <row r="20" ht="13.5" customHeight="1">
      <c r="C20" s="68" t="s">
        <v>95</v>
      </c>
      <c r="D20" s="68"/>
      <c r="E20" s="112">
        <v>1600.0</v>
      </c>
      <c r="F20" s="86"/>
      <c r="P20" s="69">
        <f>E20*0.5</f>
        <v>800</v>
      </c>
      <c r="Q20" s="69">
        <f>E20*0.5</f>
        <v>800</v>
      </c>
    </row>
    <row r="21" ht="13.5" customHeight="1">
      <c r="C21" s="68" t="s">
        <v>96</v>
      </c>
      <c r="D21" s="87">
        <v>0.028</v>
      </c>
      <c r="E21" s="85"/>
      <c r="F21" s="88">
        <f t="shared" ref="F21:Q21" si="11">(F19+F20)*$D$21</f>
        <v>44.8</v>
      </c>
      <c r="G21" s="89">
        <f t="shared" si="11"/>
        <v>44.8</v>
      </c>
      <c r="H21" s="89">
        <f t="shared" si="11"/>
        <v>44.8</v>
      </c>
      <c r="I21" s="89">
        <f t="shared" si="11"/>
        <v>44.8</v>
      </c>
      <c r="J21" s="89">
        <f t="shared" si="11"/>
        <v>44.8</v>
      </c>
      <c r="K21" s="89">
        <f t="shared" si="11"/>
        <v>44.8</v>
      </c>
      <c r="L21" s="89">
        <f t="shared" si="11"/>
        <v>44.8</v>
      </c>
      <c r="M21" s="89">
        <f t="shared" si="11"/>
        <v>44.8</v>
      </c>
      <c r="N21" s="89">
        <f t="shared" si="11"/>
        <v>44.8</v>
      </c>
      <c r="O21" s="89">
        <f t="shared" si="11"/>
        <v>44.8</v>
      </c>
      <c r="P21" s="89">
        <f t="shared" si="11"/>
        <v>67.2</v>
      </c>
      <c r="Q21" s="89">
        <f t="shared" si="11"/>
        <v>67.2</v>
      </c>
    </row>
    <row r="22" ht="13.5" customHeight="1">
      <c r="C22" s="90" t="s">
        <v>97</v>
      </c>
      <c r="D22" s="90"/>
      <c r="E22" s="91"/>
      <c r="F22" s="92">
        <f t="shared" ref="F22:Q22" si="12">SUM(F19:F21)</f>
        <v>1644.8</v>
      </c>
      <c r="G22" s="91">
        <f t="shared" si="12"/>
        <v>1644.8</v>
      </c>
      <c r="H22" s="91">
        <f t="shared" si="12"/>
        <v>1644.8</v>
      </c>
      <c r="I22" s="91">
        <f t="shared" si="12"/>
        <v>1644.8</v>
      </c>
      <c r="J22" s="91">
        <f t="shared" si="12"/>
        <v>1644.8</v>
      </c>
      <c r="K22" s="91">
        <f t="shared" si="12"/>
        <v>1644.8</v>
      </c>
      <c r="L22" s="91">
        <f t="shared" si="12"/>
        <v>1644.8</v>
      </c>
      <c r="M22" s="91">
        <f t="shared" si="12"/>
        <v>1644.8</v>
      </c>
      <c r="N22" s="91">
        <f t="shared" si="12"/>
        <v>1644.8</v>
      </c>
      <c r="O22" s="91">
        <f t="shared" si="12"/>
        <v>1644.8</v>
      </c>
      <c r="P22" s="91">
        <f t="shared" si="12"/>
        <v>2467.2</v>
      </c>
      <c r="Q22" s="91">
        <f t="shared" si="12"/>
        <v>2467.2</v>
      </c>
    </row>
    <row r="23" ht="13.5" customHeight="1">
      <c r="C23" s="68"/>
      <c r="D23" s="68"/>
      <c r="E23" s="93"/>
      <c r="F23" s="94"/>
      <c r="G23" s="70"/>
      <c r="H23" s="70"/>
      <c r="I23" s="70"/>
      <c r="J23" s="70"/>
      <c r="K23" s="70"/>
      <c r="L23" s="70"/>
      <c r="M23" s="70"/>
      <c r="N23" s="70"/>
      <c r="O23" s="70"/>
    </row>
    <row r="24" ht="13.5" customHeight="1">
      <c r="C24" s="95" t="s">
        <v>98</v>
      </c>
      <c r="D24" s="95"/>
      <c r="E24" s="96"/>
      <c r="F24" s="97"/>
      <c r="G24" s="70"/>
      <c r="H24" s="70"/>
      <c r="I24" s="70"/>
      <c r="J24" s="70"/>
      <c r="K24" s="70"/>
      <c r="L24" s="70"/>
      <c r="M24" s="70"/>
      <c r="N24" s="70"/>
      <c r="O24" s="70"/>
    </row>
    <row r="25" ht="13.5" customHeight="1">
      <c r="C25" s="82" t="s">
        <v>99</v>
      </c>
      <c r="D25" s="98">
        <v>0.2</v>
      </c>
      <c r="E25" s="99"/>
      <c r="F25" s="84">
        <f t="shared" ref="F25:Q25" si="13">F22*$D$25</f>
        <v>328.96</v>
      </c>
      <c r="G25" s="99">
        <f t="shared" si="13"/>
        <v>328.96</v>
      </c>
      <c r="H25" s="99">
        <f t="shared" si="13"/>
        <v>328.96</v>
      </c>
      <c r="I25" s="99">
        <f t="shared" si="13"/>
        <v>328.96</v>
      </c>
      <c r="J25" s="99">
        <f t="shared" si="13"/>
        <v>328.96</v>
      </c>
      <c r="K25" s="99">
        <f t="shared" si="13"/>
        <v>328.96</v>
      </c>
      <c r="L25" s="99">
        <f t="shared" si="13"/>
        <v>328.96</v>
      </c>
      <c r="M25" s="99">
        <f t="shared" si="13"/>
        <v>328.96</v>
      </c>
      <c r="N25" s="99">
        <f t="shared" si="13"/>
        <v>328.96</v>
      </c>
      <c r="O25" s="99">
        <f t="shared" si="13"/>
        <v>328.96</v>
      </c>
      <c r="P25" s="99">
        <f t="shared" si="13"/>
        <v>493.44</v>
      </c>
      <c r="Q25" s="99">
        <f t="shared" si="13"/>
        <v>493.44</v>
      </c>
    </row>
    <row r="26" ht="13.5" customHeight="1">
      <c r="C26" s="68" t="s">
        <v>100</v>
      </c>
      <c r="D26" s="100">
        <v>0.08</v>
      </c>
      <c r="E26" s="85"/>
      <c r="F26" s="86">
        <f t="shared" ref="F26:Q26" si="14">F22*$D$26</f>
        <v>131.584</v>
      </c>
      <c r="G26" s="85">
        <f t="shared" si="14"/>
        <v>131.584</v>
      </c>
      <c r="H26" s="85">
        <f t="shared" si="14"/>
        <v>131.584</v>
      </c>
      <c r="I26" s="85">
        <f t="shared" si="14"/>
        <v>131.584</v>
      </c>
      <c r="J26" s="85">
        <f t="shared" si="14"/>
        <v>131.584</v>
      </c>
      <c r="K26" s="85">
        <f t="shared" si="14"/>
        <v>131.584</v>
      </c>
      <c r="L26" s="85">
        <f t="shared" si="14"/>
        <v>131.584</v>
      </c>
      <c r="M26" s="85">
        <f t="shared" si="14"/>
        <v>131.584</v>
      </c>
      <c r="N26" s="85">
        <f t="shared" si="14"/>
        <v>131.584</v>
      </c>
      <c r="O26" s="85">
        <f t="shared" si="14"/>
        <v>131.584</v>
      </c>
      <c r="P26" s="85">
        <f t="shared" si="14"/>
        <v>197.376</v>
      </c>
      <c r="Q26" s="85">
        <f t="shared" si="14"/>
        <v>197.376</v>
      </c>
    </row>
    <row r="27" ht="13.5" customHeight="1">
      <c r="C27" s="68" t="s">
        <v>101</v>
      </c>
      <c r="D27" s="100">
        <v>0.058</v>
      </c>
      <c r="E27" s="85"/>
      <c r="F27" s="86">
        <f t="shared" ref="F27:Q27" si="15">F22*$D$27</f>
        <v>95.3984</v>
      </c>
      <c r="G27" s="85">
        <f t="shared" si="15"/>
        <v>95.3984</v>
      </c>
      <c r="H27" s="85">
        <f t="shared" si="15"/>
        <v>95.3984</v>
      </c>
      <c r="I27" s="85">
        <f t="shared" si="15"/>
        <v>95.3984</v>
      </c>
      <c r="J27" s="85">
        <f t="shared" si="15"/>
        <v>95.3984</v>
      </c>
      <c r="K27" s="85">
        <f t="shared" si="15"/>
        <v>95.3984</v>
      </c>
      <c r="L27" s="85">
        <f t="shared" si="15"/>
        <v>95.3984</v>
      </c>
      <c r="M27" s="85">
        <f t="shared" si="15"/>
        <v>95.3984</v>
      </c>
      <c r="N27" s="85">
        <f t="shared" si="15"/>
        <v>95.3984</v>
      </c>
      <c r="O27" s="85">
        <f t="shared" si="15"/>
        <v>95.3984</v>
      </c>
      <c r="P27" s="85">
        <f t="shared" si="15"/>
        <v>143.0976</v>
      </c>
      <c r="Q27" s="85">
        <f t="shared" si="15"/>
        <v>143.0976</v>
      </c>
    </row>
    <row r="28" ht="13.5" customHeight="1">
      <c r="C28" s="68" t="s">
        <v>102</v>
      </c>
      <c r="D28" s="100">
        <v>0.03</v>
      </c>
      <c r="E28" s="85"/>
      <c r="F28" s="88">
        <f t="shared" ref="F28:Q28" si="16">F22*$D$28</f>
        <v>49.344</v>
      </c>
      <c r="G28" s="89">
        <f t="shared" si="16"/>
        <v>49.344</v>
      </c>
      <c r="H28" s="89">
        <f t="shared" si="16"/>
        <v>49.344</v>
      </c>
      <c r="I28" s="89">
        <f t="shared" si="16"/>
        <v>49.344</v>
      </c>
      <c r="J28" s="89">
        <f t="shared" si="16"/>
        <v>49.344</v>
      </c>
      <c r="K28" s="89">
        <f t="shared" si="16"/>
        <v>49.344</v>
      </c>
      <c r="L28" s="89">
        <f t="shared" si="16"/>
        <v>49.344</v>
      </c>
      <c r="M28" s="89">
        <f t="shared" si="16"/>
        <v>49.344</v>
      </c>
      <c r="N28" s="89">
        <f t="shared" si="16"/>
        <v>49.344</v>
      </c>
      <c r="O28" s="89">
        <f t="shared" si="16"/>
        <v>49.344</v>
      </c>
      <c r="P28" s="89">
        <f t="shared" si="16"/>
        <v>74.016</v>
      </c>
      <c r="Q28" s="89">
        <f t="shared" si="16"/>
        <v>74.016</v>
      </c>
    </row>
    <row r="29" ht="13.5" customHeight="1">
      <c r="C29" s="90"/>
      <c r="D29" s="101">
        <f>SUM(D25:D28)</f>
        <v>0.368</v>
      </c>
      <c r="E29" s="91"/>
      <c r="F29" s="102">
        <f t="shared" ref="F29:Q29" si="17">SUM(F25:F28)</f>
        <v>605.2864</v>
      </c>
      <c r="G29" s="103">
        <f t="shared" si="17"/>
        <v>605.2864</v>
      </c>
      <c r="H29" s="103">
        <f t="shared" si="17"/>
        <v>605.2864</v>
      </c>
      <c r="I29" s="103">
        <f t="shared" si="17"/>
        <v>605.2864</v>
      </c>
      <c r="J29" s="103">
        <f t="shared" si="17"/>
        <v>605.2864</v>
      </c>
      <c r="K29" s="103">
        <f t="shared" si="17"/>
        <v>605.2864</v>
      </c>
      <c r="L29" s="103">
        <f t="shared" si="17"/>
        <v>605.2864</v>
      </c>
      <c r="M29" s="103">
        <f t="shared" si="17"/>
        <v>605.2864</v>
      </c>
      <c r="N29" s="103">
        <f t="shared" si="17"/>
        <v>605.2864</v>
      </c>
      <c r="O29" s="103">
        <f t="shared" si="17"/>
        <v>605.2864</v>
      </c>
      <c r="P29" s="103">
        <f t="shared" si="17"/>
        <v>907.9296</v>
      </c>
      <c r="Q29" s="103">
        <f t="shared" si="17"/>
        <v>907.9296</v>
      </c>
    </row>
    <row r="30" ht="13.5" customHeight="1">
      <c r="C30" s="68"/>
      <c r="D30" s="68"/>
      <c r="E30" s="85"/>
      <c r="F30" s="86"/>
    </row>
    <row r="31" ht="24.0" customHeight="1">
      <c r="B31" s="113"/>
      <c r="C31" s="113" t="s">
        <v>103</v>
      </c>
      <c r="D31" s="113"/>
      <c r="E31" s="114"/>
      <c r="F31" s="115">
        <f t="shared" ref="F31:Q31" si="18">F22+F29</f>
        <v>2250.0864</v>
      </c>
      <c r="G31" s="114">
        <f t="shared" si="18"/>
        <v>2250.0864</v>
      </c>
      <c r="H31" s="114">
        <f t="shared" si="18"/>
        <v>2250.0864</v>
      </c>
      <c r="I31" s="114">
        <f t="shared" si="18"/>
        <v>2250.0864</v>
      </c>
      <c r="J31" s="114">
        <f t="shared" si="18"/>
        <v>2250.0864</v>
      </c>
      <c r="K31" s="114">
        <f t="shared" si="18"/>
        <v>2250.0864</v>
      </c>
      <c r="L31" s="114">
        <f t="shared" si="18"/>
        <v>2250.0864</v>
      </c>
      <c r="M31" s="114">
        <f t="shared" si="18"/>
        <v>2250.0864</v>
      </c>
      <c r="N31" s="114">
        <f t="shared" si="18"/>
        <v>2250.0864</v>
      </c>
      <c r="O31" s="114">
        <f t="shared" si="18"/>
        <v>2250.0864</v>
      </c>
      <c r="P31" s="114">
        <f t="shared" si="18"/>
        <v>3375.1296</v>
      </c>
      <c r="Q31" s="114">
        <f t="shared" si="18"/>
        <v>3375.1296</v>
      </c>
    </row>
    <row r="32" ht="13.5" customHeight="1"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ht="24.0" customHeight="1">
      <c r="A33" s="66"/>
      <c r="B33" s="116" t="s">
        <v>86</v>
      </c>
      <c r="C33" s="116" t="s">
        <v>85</v>
      </c>
      <c r="D33" s="116"/>
      <c r="E33" s="117" t="s">
        <v>92</v>
      </c>
      <c r="F33" s="118" t="s">
        <v>14</v>
      </c>
      <c r="G33" s="117" t="s">
        <v>15</v>
      </c>
      <c r="H33" s="117" t="s">
        <v>16</v>
      </c>
      <c r="I33" s="117" t="s">
        <v>17</v>
      </c>
      <c r="J33" s="117" t="s">
        <v>18</v>
      </c>
      <c r="K33" s="117" t="s">
        <v>19</v>
      </c>
      <c r="L33" s="117" t="s">
        <v>20</v>
      </c>
      <c r="M33" s="119" t="s">
        <v>93</v>
      </c>
      <c r="N33" s="117" t="s">
        <v>22</v>
      </c>
      <c r="O33" s="117" t="s">
        <v>23</v>
      </c>
      <c r="P33" s="117" t="s">
        <v>24</v>
      </c>
      <c r="Q33" s="117" t="s">
        <v>25</v>
      </c>
      <c r="R33" s="66"/>
      <c r="S33" s="66"/>
      <c r="T33" s="66"/>
      <c r="U33" s="66"/>
      <c r="V33" s="66"/>
      <c r="W33" s="66"/>
      <c r="X33" s="66"/>
      <c r="Y33" s="66"/>
      <c r="Z33" s="66"/>
    </row>
    <row r="34" ht="13.5" customHeight="1">
      <c r="C34" s="82" t="s">
        <v>94</v>
      </c>
      <c r="D34" s="82"/>
      <c r="E34" s="111">
        <v>650.0</v>
      </c>
      <c r="F34" s="84">
        <f t="shared" ref="F34:Q34" si="19">$E$34</f>
        <v>650</v>
      </c>
      <c r="G34" s="40">
        <f t="shared" si="19"/>
        <v>650</v>
      </c>
      <c r="H34" s="40">
        <f t="shared" si="19"/>
        <v>650</v>
      </c>
      <c r="I34" s="40">
        <f t="shared" si="19"/>
        <v>650</v>
      </c>
      <c r="J34" s="40">
        <f t="shared" si="19"/>
        <v>650</v>
      </c>
      <c r="K34" s="40">
        <f t="shared" si="19"/>
        <v>650</v>
      </c>
      <c r="L34" s="40">
        <f t="shared" si="19"/>
        <v>650</v>
      </c>
      <c r="M34" s="40">
        <f t="shared" si="19"/>
        <v>650</v>
      </c>
      <c r="N34" s="40">
        <f t="shared" si="19"/>
        <v>650</v>
      </c>
      <c r="O34" s="40">
        <f t="shared" si="19"/>
        <v>650</v>
      </c>
      <c r="P34" s="40">
        <f t="shared" si="19"/>
        <v>650</v>
      </c>
      <c r="Q34" s="40">
        <f t="shared" si="19"/>
        <v>650</v>
      </c>
    </row>
    <row r="35" ht="13.5" customHeight="1">
      <c r="C35" s="68" t="s">
        <v>95</v>
      </c>
      <c r="D35" s="68"/>
      <c r="E35" s="112">
        <v>650.0</v>
      </c>
      <c r="F35" s="86"/>
      <c r="P35" s="69">
        <f>E35*0.5</f>
        <v>325</v>
      </c>
      <c r="Q35" s="69">
        <f>E35*0.5</f>
        <v>325</v>
      </c>
    </row>
    <row r="36" ht="13.5" customHeight="1">
      <c r="C36" s="68" t="s">
        <v>96</v>
      </c>
      <c r="D36" s="87">
        <v>0.028</v>
      </c>
      <c r="E36" s="85"/>
      <c r="F36" s="88">
        <f t="shared" ref="F36:Q36" si="20">(F34+F35)*$D$36</f>
        <v>18.2</v>
      </c>
      <c r="G36" s="89">
        <f t="shared" si="20"/>
        <v>18.2</v>
      </c>
      <c r="H36" s="89">
        <f t="shared" si="20"/>
        <v>18.2</v>
      </c>
      <c r="I36" s="89">
        <f t="shared" si="20"/>
        <v>18.2</v>
      </c>
      <c r="J36" s="89">
        <f t="shared" si="20"/>
        <v>18.2</v>
      </c>
      <c r="K36" s="89">
        <f t="shared" si="20"/>
        <v>18.2</v>
      </c>
      <c r="L36" s="89">
        <f t="shared" si="20"/>
        <v>18.2</v>
      </c>
      <c r="M36" s="89">
        <f t="shared" si="20"/>
        <v>18.2</v>
      </c>
      <c r="N36" s="89">
        <f t="shared" si="20"/>
        <v>18.2</v>
      </c>
      <c r="O36" s="89">
        <f t="shared" si="20"/>
        <v>18.2</v>
      </c>
      <c r="P36" s="89">
        <f t="shared" si="20"/>
        <v>27.3</v>
      </c>
      <c r="Q36" s="89">
        <f t="shared" si="20"/>
        <v>27.3</v>
      </c>
    </row>
    <row r="37" ht="13.5" customHeight="1">
      <c r="C37" s="90" t="s">
        <v>97</v>
      </c>
      <c r="D37" s="90"/>
      <c r="E37" s="91"/>
      <c r="F37" s="92">
        <f t="shared" ref="F37:Q37" si="21">SUM(F34:F36)</f>
        <v>668.2</v>
      </c>
      <c r="G37" s="91">
        <f t="shared" si="21"/>
        <v>668.2</v>
      </c>
      <c r="H37" s="91">
        <f t="shared" si="21"/>
        <v>668.2</v>
      </c>
      <c r="I37" s="91">
        <f t="shared" si="21"/>
        <v>668.2</v>
      </c>
      <c r="J37" s="91">
        <f t="shared" si="21"/>
        <v>668.2</v>
      </c>
      <c r="K37" s="91">
        <f t="shared" si="21"/>
        <v>668.2</v>
      </c>
      <c r="L37" s="91">
        <f t="shared" si="21"/>
        <v>668.2</v>
      </c>
      <c r="M37" s="91">
        <f t="shared" si="21"/>
        <v>668.2</v>
      </c>
      <c r="N37" s="91">
        <f t="shared" si="21"/>
        <v>668.2</v>
      </c>
      <c r="O37" s="91">
        <f t="shared" si="21"/>
        <v>668.2</v>
      </c>
      <c r="P37" s="91">
        <f t="shared" si="21"/>
        <v>1002.3</v>
      </c>
      <c r="Q37" s="91">
        <f t="shared" si="21"/>
        <v>1002.3</v>
      </c>
    </row>
    <row r="38" ht="13.5" customHeight="1">
      <c r="C38" s="68"/>
      <c r="D38" s="68"/>
      <c r="E38" s="93"/>
      <c r="F38" s="94"/>
      <c r="G38" s="70"/>
      <c r="H38" s="70"/>
      <c r="I38" s="70"/>
      <c r="J38" s="70"/>
      <c r="K38" s="70"/>
      <c r="L38" s="70"/>
      <c r="M38" s="70"/>
      <c r="N38" s="70"/>
      <c r="O38" s="70"/>
    </row>
    <row r="39" ht="13.5" customHeight="1">
      <c r="C39" s="95" t="s">
        <v>98</v>
      </c>
      <c r="D39" s="95"/>
      <c r="E39" s="96"/>
      <c r="F39" s="97"/>
      <c r="G39" s="70"/>
      <c r="H39" s="70"/>
      <c r="I39" s="70"/>
      <c r="J39" s="70"/>
      <c r="K39" s="70"/>
      <c r="L39" s="70"/>
      <c r="M39" s="70"/>
      <c r="N39" s="70"/>
      <c r="O39" s="70"/>
    </row>
    <row r="40" ht="13.5" customHeight="1">
      <c r="C40" s="82" t="s">
        <v>99</v>
      </c>
      <c r="D40" s="98">
        <v>0.2</v>
      </c>
      <c r="E40" s="99"/>
      <c r="F40" s="84">
        <f t="shared" ref="F40:Q40" si="22">F37*$D$40</f>
        <v>133.64</v>
      </c>
      <c r="G40" s="99">
        <f t="shared" si="22"/>
        <v>133.64</v>
      </c>
      <c r="H40" s="99">
        <f t="shared" si="22"/>
        <v>133.64</v>
      </c>
      <c r="I40" s="99">
        <f t="shared" si="22"/>
        <v>133.64</v>
      </c>
      <c r="J40" s="99">
        <f t="shared" si="22"/>
        <v>133.64</v>
      </c>
      <c r="K40" s="99">
        <f t="shared" si="22"/>
        <v>133.64</v>
      </c>
      <c r="L40" s="99">
        <f t="shared" si="22"/>
        <v>133.64</v>
      </c>
      <c r="M40" s="99">
        <f t="shared" si="22"/>
        <v>133.64</v>
      </c>
      <c r="N40" s="99">
        <f t="shared" si="22"/>
        <v>133.64</v>
      </c>
      <c r="O40" s="99">
        <f t="shared" si="22"/>
        <v>133.64</v>
      </c>
      <c r="P40" s="99">
        <f t="shared" si="22"/>
        <v>200.46</v>
      </c>
      <c r="Q40" s="99">
        <f t="shared" si="22"/>
        <v>200.46</v>
      </c>
    </row>
    <row r="41" ht="13.5" customHeight="1">
      <c r="C41" s="68" t="s">
        <v>100</v>
      </c>
      <c r="D41" s="100">
        <v>0.08</v>
      </c>
      <c r="E41" s="85"/>
      <c r="F41" s="86">
        <f t="shared" ref="F41:Q41" si="23">F37*$D$41</f>
        <v>53.456</v>
      </c>
      <c r="G41" s="85">
        <f t="shared" si="23"/>
        <v>53.456</v>
      </c>
      <c r="H41" s="85">
        <f t="shared" si="23"/>
        <v>53.456</v>
      </c>
      <c r="I41" s="85">
        <f t="shared" si="23"/>
        <v>53.456</v>
      </c>
      <c r="J41" s="85">
        <f t="shared" si="23"/>
        <v>53.456</v>
      </c>
      <c r="K41" s="85">
        <f t="shared" si="23"/>
        <v>53.456</v>
      </c>
      <c r="L41" s="85">
        <f t="shared" si="23"/>
        <v>53.456</v>
      </c>
      <c r="M41" s="85">
        <f t="shared" si="23"/>
        <v>53.456</v>
      </c>
      <c r="N41" s="85">
        <f t="shared" si="23"/>
        <v>53.456</v>
      </c>
      <c r="O41" s="85">
        <f t="shared" si="23"/>
        <v>53.456</v>
      </c>
      <c r="P41" s="85">
        <f t="shared" si="23"/>
        <v>80.184</v>
      </c>
      <c r="Q41" s="85">
        <f t="shared" si="23"/>
        <v>80.184</v>
      </c>
    </row>
    <row r="42" ht="13.5" customHeight="1">
      <c r="C42" s="68" t="s">
        <v>101</v>
      </c>
      <c r="D42" s="100">
        <v>0.058</v>
      </c>
      <c r="E42" s="85"/>
      <c r="F42" s="86">
        <f t="shared" ref="F42:Q42" si="24">F37*$D$42</f>
        <v>38.7556</v>
      </c>
      <c r="G42" s="85">
        <f t="shared" si="24"/>
        <v>38.7556</v>
      </c>
      <c r="H42" s="85">
        <f t="shared" si="24"/>
        <v>38.7556</v>
      </c>
      <c r="I42" s="85">
        <f t="shared" si="24"/>
        <v>38.7556</v>
      </c>
      <c r="J42" s="85">
        <f t="shared" si="24"/>
        <v>38.7556</v>
      </c>
      <c r="K42" s="85">
        <f t="shared" si="24"/>
        <v>38.7556</v>
      </c>
      <c r="L42" s="85">
        <f t="shared" si="24"/>
        <v>38.7556</v>
      </c>
      <c r="M42" s="85">
        <f t="shared" si="24"/>
        <v>38.7556</v>
      </c>
      <c r="N42" s="85">
        <f t="shared" si="24"/>
        <v>38.7556</v>
      </c>
      <c r="O42" s="85">
        <f t="shared" si="24"/>
        <v>38.7556</v>
      </c>
      <c r="P42" s="85">
        <f t="shared" si="24"/>
        <v>58.1334</v>
      </c>
      <c r="Q42" s="85">
        <f t="shared" si="24"/>
        <v>58.1334</v>
      </c>
    </row>
    <row r="43" ht="13.5" customHeight="1">
      <c r="C43" s="68" t="s">
        <v>102</v>
      </c>
      <c r="D43" s="100">
        <v>0.03</v>
      </c>
      <c r="E43" s="85"/>
      <c r="F43" s="88">
        <f t="shared" ref="F43:Q43" si="25">F37*$D$43</f>
        <v>20.046</v>
      </c>
      <c r="G43" s="89">
        <f t="shared" si="25"/>
        <v>20.046</v>
      </c>
      <c r="H43" s="89">
        <f t="shared" si="25"/>
        <v>20.046</v>
      </c>
      <c r="I43" s="89">
        <f t="shared" si="25"/>
        <v>20.046</v>
      </c>
      <c r="J43" s="89">
        <f t="shared" si="25"/>
        <v>20.046</v>
      </c>
      <c r="K43" s="89">
        <f t="shared" si="25"/>
        <v>20.046</v>
      </c>
      <c r="L43" s="89">
        <f t="shared" si="25"/>
        <v>20.046</v>
      </c>
      <c r="M43" s="89">
        <f t="shared" si="25"/>
        <v>20.046</v>
      </c>
      <c r="N43" s="89">
        <f t="shared" si="25"/>
        <v>20.046</v>
      </c>
      <c r="O43" s="89">
        <f t="shared" si="25"/>
        <v>20.046</v>
      </c>
      <c r="P43" s="89">
        <f t="shared" si="25"/>
        <v>30.069</v>
      </c>
      <c r="Q43" s="89">
        <f t="shared" si="25"/>
        <v>30.069</v>
      </c>
    </row>
    <row r="44" ht="13.5" customHeight="1">
      <c r="C44" s="90"/>
      <c r="D44" s="101">
        <f>SUM(D40:D43)</f>
        <v>0.368</v>
      </c>
      <c r="E44" s="91"/>
      <c r="F44" s="102">
        <f t="shared" ref="F44:Q44" si="26">SUM(F40:F43)</f>
        <v>245.8976</v>
      </c>
      <c r="G44" s="103">
        <f t="shared" si="26"/>
        <v>245.8976</v>
      </c>
      <c r="H44" s="103">
        <f t="shared" si="26"/>
        <v>245.8976</v>
      </c>
      <c r="I44" s="103">
        <f t="shared" si="26"/>
        <v>245.8976</v>
      </c>
      <c r="J44" s="103">
        <f t="shared" si="26"/>
        <v>245.8976</v>
      </c>
      <c r="K44" s="103">
        <f t="shared" si="26"/>
        <v>245.8976</v>
      </c>
      <c r="L44" s="103">
        <f t="shared" si="26"/>
        <v>245.8976</v>
      </c>
      <c r="M44" s="103">
        <f t="shared" si="26"/>
        <v>245.8976</v>
      </c>
      <c r="N44" s="103">
        <f t="shared" si="26"/>
        <v>245.8976</v>
      </c>
      <c r="O44" s="103">
        <f t="shared" si="26"/>
        <v>245.8976</v>
      </c>
      <c r="P44" s="103">
        <f t="shared" si="26"/>
        <v>368.8464</v>
      </c>
      <c r="Q44" s="103">
        <f t="shared" si="26"/>
        <v>368.8464</v>
      </c>
    </row>
    <row r="45" ht="13.5" customHeight="1">
      <c r="C45" s="68"/>
      <c r="D45" s="68"/>
      <c r="E45" s="85"/>
      <c r="F45" s="86"/>
    </row>
    <row r="46" ht="24.0" customHeight="1">
      <c r="B46" s="120"/>
      <c r="C46" s="120" t="s">
        <v>103</v>
      </c>
      <c r="D46" s="120"/>
      <c r="E46" s="121"/>
      <c r="F46" s="122">
        <f t="shared" ref="F46:Q46" si="27">F37+F44</f>
        <v>914.0976</v>
      </c>
      <c r="G46" s="121">
        <f t="shared" si="27"/>
        <v>914.0976</v>
      </c>
      <c r="H46" s="121">
        <f t="shared" si="27"/>
        <v>914.0976</v>
      </c>
      <c r="I46" s="121">
        <f t="shared" si="27"/>
        <v>914.0976</v>
      </c>
      <c r="J46" s="121">
        <f t="shared" si="27"/>
        <v>914.0976</v>
      </c>
      <c r="K46" s="121">
        <f t="shared" si="27"/>
        <v>914.0976</v>
      </c>
      <c r="L46" s="121">
        <f t="shared" si="27"/>
        <v>914.0976</v>
      </c>
      <c r="M46" s="121">
        <f t="shared" si="27"/>
        <v>914.0976</v>
      </c>
      <c r="N46" s="121">
        <f t="shared" si="27"/>
        <v>914.0976</v>
      </c>
      <c r="O46" s="121">
        <f t="shared" si="27"/>
        <v>914.0976</v>
      </c>
      <c r="P46" s="121">
        <f t="shared" si="27"/>
        <v>1371.1464</v>
      </c>
      <c r="Q46" s="121">
        <f t="shared" si="27"/>
        <v>1371.1464</v>
      </c>
    </row>
    <row r="47" ht="13.5" customHeight="1"/>
    <row r="48" ht="24.0" customHeight="1">
      <c r="A48" s="66"/>
      <c r="B48" s="123" t="s">
        <v>88</v>
      </c>
      <c r="C48" s="123" t="s">
        <v>104</v>
      </c>
      <c r="D48" s="123"/>
      <c r="E48" s="124" t="s">
        <v>92</v>
      </c>
      <c r="F48" s="125" t="s">
        <v>14</v>
      </c>
      <c r="G48" s="124" t="s">
        <v>15</v>
      </c>
      <c r="H48" s="124" t="s">
        <v>16</v>
      </c>
      <c r="I48" s="124" t="s">
        <v>17</v>
      </c>
      <c r="J48" s="124" t="s">
        <v>18</v>
      </c>
      <c r="K48" s="124" t="s">
        <v>19</v>
      </c>
      <c r="L48" s="124" t="s">
        <v>20</v>
      </c>
      <c r="M48" s="126" t="s">
        <v>93</v>
      </c>
      <c r="N48" s="124" t="s">
        <v>22</v>
      </c>
      <c r="O48" s="124" t="s">
        <v>23</v>
      </c>
      <c r="P48" s="124" t="s">
        <v>24</v>
      </c>
      <c r="Q48" s="124" t="s">
        <v>25</v>
      </c>
      <c r="R48" s="66"/>
      <c r="S48" s="66"/>
      <c r="T48" s="66"/>
      <c r="U48" s="66"/>
      <c r="V48" s="66"/>
      <c r="W48" s="66"/>
      <c r="X48" s="66"/>
      <c r="Y48" s="66"/>
      <c r="Z48" s="66"/>
    </row>
    <row r="49" ht="13.5" customHeight="1">
      <c r="C49" s="82" t="s">
        <v>94</v>
      </c>
      <c r="D49" s="82"/>
      <c r="E49" s="111">
        <v>580.0</v>
      </c>
      <c r="F49" s="84">
        <f t="shared" ref="F49:Q49" si="28">$E$49</f>
        <v>580</v>
      </c>
      <c r="G49" s="40">
        <f t="shared" si="28"/>
        <v>580</v>
      </c>
      <c r="H49" s="40">
        <f t="shared" si="28"/>
        <v>580</v>
      </c>
      <c r="I49" s="40">
        <f t="shared" si="28"/>
        <v>580</v>
      </c>
      <c r="J49" s="40">
        <f t="shared" si="28"/>
        <v>580</v>
      </c>
      <c r="K49" s="40">
        <f t="shared" si="28"/>
        <v>580</v>
      </c>
      <c r="L49" s="40">
        <f t="shared" si="28"/>
        <v>580</v>
      </c>
      <c r="M49" s="40">
        <f t="shared" si="28"/>
        <v>580</v>
      </c>
      <c r="N49" s="40">
        <f t="shared" si="28"/>
        <v>580</v>
      </c>
      <c r="O49" s="40">
        <f t="shared" si="28"/>
        <v>580</v>
      </c>
      <c r="P49" s="40">
        <f t="shared" si="28"/>
        <v>580</v>
      </c>
      <c r="Q49" s="40">
        <f t="shared" si="28"/>
        <v>580</v>
      </c>
    </row>
    <row r="50" ht="13.5" customHeight="1">
      <c r="C50" s="68" t="s">
        <v>95</v>
      </c>
      <c r="D50" s="68"/>
      <c r="E50" s="112">
        <v>580.0</v>
      </c>
      <c r="F50" s="86"/>
      <c r="P50" s="69">
        <f>E50*0.5</f>
        <v>290</v>
      </c>
      <c r="Q50" s="69">
        <f>E50*0.5</f>
        <v>290</v>
      </c>
    </row>
    <row r="51" ht="13.5" customHeight="1">
      <c r="C51" s="68" t="s">
        <v>96</v>
      </c>
      <c r="D51" s="87">
        <v>0.028</v>
      </c>
      <c r="E51" s="85"/>
      <c r="F51" s="88">
        <f t="shared" ref="F51:Q51" si="29">(F49+F50)*$D$51</f>
        <v>16.24</v>
      </c>
      <c r="G51" s="89">
        <f t="shared" si="29"/>
        <v>16.24</v>
      </c>
      <c r="H51" s="89">
        <f t="shared" si="29"/>
        <v>16.24</v>
      </c>
      <c r="I51" s="89">
        <f t="shared" si="29"/>
        <v>16.24</v>
      </c>
      <c r="J51" s="89">
        <f t="shared" si="29"/>
        <v>16.24</v>
      </c>
      <c r="K51" s="89">
        <f t="shared" si="29"/>
        <v>16.24</v>
      </c>
      <c r="L51" s="89">
        <f t="shared" si="29"/>
        <v>16.24</v>
      </c>
      <c r="M51" s="89">
        <f t="shared" si="29"/>
        <v>16.24</v>
      </c>
      <c r="N51" s="89">
        <f t="shared" si="29"/>
        <v>16.24</v>
      </c>
      <c r="O51" s="89">
        <f t="shared" si="29"/>
        <v>16.24</v>
      </c>
      <c r="P51" s="89">
        <f t="shared" si="29"/>
        <v>24.36</v>
      </c>
      <c r="Q51" s="89">
        <f t="shared" si="29"/>
        <v>24.36</v>
      </c>
    </row>
    <row r="52" ht="13.5" customHeight="1">
      <c r="C52" s="90" t="s">
        <v>97</v>
      </c>
      <c r="D52" s="90"/>
      <c r="E52" s="91"/>
      <c r="F52" s="92">
        <f t="shared" ref="F52:Q52" si="30">SUM(F49:F51)</f>
        <v>596.24</v>
      </c>
      <c r="G52" s="91">
        <f t="shared" si="30"/>
        <v>596.24</v>
      </c>
      <c r="H52" s="91">
        <f t="shared" si="30"/>
        <v>596.24</v>
      </c>
      <c r="I52" s="91">
        <f t="shared" si="30"/>
        <v>596.24</v>
      </c>
      <c r="J52" s="91">
        <f t="shared" si="30"/>
        <v>596.24</v>
      </c>
      <c r="K52" s="91">
        <f t="shared" si="30"/>
        <v>596.24</v>
      </c>
      <c r="L52" s="91">
        <f t="shared" si="30"/>
        <v>596.24</v>
      </c>
      <c r="M52" s="91">
        <f t="shared" si="30"/>
        <v>596.24</v>
      </c>
      <c r="N52" s="91">
        <f t="shared" si="30"/>
        <v>596.24</v>
      </c>
      <c r="O52" s="91">
        <f t="shared" si="30"/>
        <v>596.24</v>
      </c>
      <c r="P52" s="91">
        <f t="shared" si="30"/>
        <v>894.36</v>
      </c>
      <c r="Q52" s="91">
        <f t="shared" si="30"/>
        <v>894.36</v>
      </c>
    </row>
    <row r="53" ht="13.5" customHeight="1">
      <c r="C53" s="68"/>
      <c r="D53" s="68"/>
      <c r="E53" s="93"/>
      <c r="F53" s="94"/>
      <c r="G53" s="70"/>
      <c r="H53" s="70"/>
      <c r="I53" s="70"/>
      <c r="J53" s="70"/>
      <c r="K53" s="70"/>
      <c r="L53" s="70"/>
      <c r="M53" s="70"/>
      <c r="N53" s="70"/>
      <c r="O53" s="70"/>
    </row>
    <row r="54" ht="13.5" customHeight="1">
      <c r="C54" s="95" t="s">
        <v>98</v>
      </c>
      <c r="D54" s="95"/>
      <c r="E54" s="96"/>
      <c r="F54" s="97"/>
      <c r="G54" s="70"/>
      <c r="H54" s="70"/>
      <c r="I54" s="70"/>
      <c r="J54" s="70"/>
      <c r="K54" s="70"/>
      <c r="L54" s="70"/>
      <c r="M54" s="70"/>
      <c r="N54" s="70"/>
      <c r="O54" s="70"/>
    </row>
    <row r="55" ht="13.5" customHeight="1">
      <c r="C55" s="82" t="s">
        <v>99</v>
      </c>
      <c r="D55" s="98">
        <v>0.2</v>
      </c>
      <c r="E55" s="99"/>
      <c r="F55" s="84">
        <f t="shared" ref="F55:Q55" si="31">F52*$D$55</f>
        <v>119.248</v>
      </c>
      <c r="G55" s="99">
        <f t="shared" si="31"/>
        <v>119.248</v>
      </c>
      <c r="H55" s="99">
        <f t="shared" si="31"/>
        <v>119.248</v>
      </c>
      <c r="I55" s="99">
        <f t="shared" si="31"/>
        <v>119.248</v>
      </c>
      <c r="J55" s="99">
        <f t="shared" si="31"/>
        <v>119.248</v>
      </c>
      <c r="K55" s="99">
        <f t="shared" si="31"/>
        <v>119.248</v>
      </c>
      <c r="L55" s="99">
        <f t="shared" si="31"/>
        <v>119.248</v>
      </c>
      <c r="M55" s="99">
        <f t="shared" si="31"/>
        <v>119.248</v>
      </c>
      <c r="N55" s="99">
        <f t="shared" si="31"/>
        <v>119.248</v>
      </c>
      <c r="O55" s="99">
        <f t="shared" si="31"/>
        <v>119.248</v>
      </c>
      <c r="P55" s="99">
        <f t="shared" si="31"/>
        <v>178.872</v>
      </c>
      <c r="Q55" s="99">
        <f t="shared" si="31"/>
        <v>178.872</v>
      </c>
    </row>
    <row r="56" ht="13.5" customHeight="1">
      <c r="C56" s="68" t="s">
        <v>100</v>
      </c>
      <c r="D56" s="100">
        <v>0.08</v>
      </c>
      <c r="E56" s="85"/>
      <c r="F56" s="86">
        <f t="shared" ref="F56:Q56" si="32">F52*$D$56</f>
        <v>47.6992</v>
      </c>
      <c r="G56" s="85">
        <f t="shared" si="32"/>
        <v>47.6992</v>
      </c>
      <c r="H56" s="85">
        <f t="shared" si="32"/>
        <v>47.6992</v>
      </c>
      <c r="I56" s="85">
        <f t="shared" si="32"/>
        <v>47.6992</v>
      </c>
      <c r="J56" s="85">
        <f t="shared" si="32"/>
        <v>47.6992</v>
      </c>
      <c r="K56" s="85">
        <f t="shared" si="32"/>
        <v>47.6992</v>
      </c>
      <c r="L56" s="85">
        <f t="shared" si="32"/>
        <v>47.6992</v>
      </c>
      <c r="M56" s="85">
        <f t="shared" si="32"/>
        <v>47.6992</v>
      </c>
      <c r="N56" s="85">
        <f t="shared" si="32"/>
        <v>47.6992</v>
      </c>
      <c r="O56" s="85">
        <f t="shared" si="32"/>
        <v>47.6992</v>
      </c>
      <c r="P56" s="85">
        <f t="shared" si="32"/>
        <v>71.5488</v>
      </c>
      <c r="Q56" s="85">
        <f t="shared" si="32"/>
        <v>71.5488</v>
      </c>
    </row>
    <row r="57" ht="13.5" customHeight="1">
      <c r="C57" s="68" t="s">
        <v>101</v>
      </c>
      <c r="D57" s="100">
        <v>0.058</v>
      </c>
      <c r="E57" s="85"/>
      <c r="F57" s="86">
        <f t="shared" ref="F57:Q57" si="33">F52*$D$57</f>
        <v>34.58192</v>
      </c>
      <c r="G57" s="85">
        <f t="shared" si="33"/>
        <v>34.58192</v>
      </c>
      <c r="H57" s="85">
        <f t="shared" si="33"/>
        <v>34.58192</v>
      </c>
      <c r="I57" s="85">
        <f t="shared" si="33"/>
        <v>34.58192</v>
      </c>
      <c r="J57" s="85">
        <f t="shared" si="33"/>
        <v>34.58192</v>
      </c>
      <c r="K57" s="85">
        <f t="shared" si="33"/>
        <v>34.58192</v>
      </c>
      <c r="L57" s="85">
        <f t="shared" si="33"/>
        <v>34.58192</v>
      </c>
      <c r="M57" s="85">
        <f t="shared" si="33"/>
        <v>34.58192</v>
      </c>
      <c r="N57" s="85">
        <f t="shared" si="33"/>
        <v>34.58192</v>
      </c>
      <c r="O57" s="85">
        <f t="shared" si="33"/>
        <v>34.58192</v>
      </c>
      <c r="P57" s="85">
        <f t="shared" si="33"/>
        <v>51.87288</v>
      </c>
      <c r="Q57" s="85">
        <f t="shared" si="33"/>
        <v>51.87288</v>
      </c>
    </row>
    <row r="58" ht="13.5" customHeight="1">
      <c r="C58" s="68" t="s">
        <v>102</v>
      </c>
      <c r="D58" s="100">
        <v>0.03</v>
      </c>
      <c r="E58" s="85"/>
      <c r="F58" s="88">
        <f t="shared" ref="F58:Q58" si="34">F52*$D$58</f>
        <v>17.8872</v>
      </c>
      <c r="G58" s="89">
        <f t="shared" si="34"/>
        <v>17.8872</v>
      </c>
      <c r="H58" s="89">
        <f t="shared" si="34"/>
        <v>17.8872</v>
      </c>
      <c r="I58" s="89">
        <f t="shared" si="34"/>
        <v>17.8872</v>
      </c>
      <c r="J58" s="89">
        <f t="shared" si="34"/>
        <v>17.8872</v>
      </c>
      <c r="K58" s="89">
        <f t="shared" si="34"/>
        <v>17.8872</v>
      </c>
      <c r="L58" s="89">
        <f t="shared" si="34"/>
        <v>17.8872</v>
      </c>
      <c r="M58" s="89">
        <f t="shared" si="34"/>
        <v>17.8872</v>
      </c>
      <c r="N58" s="89">
        <f t="shared" si="34"/>
        <v>17.8872</v>
      </c>
      <c r="O58" s="89">
        <f t="shared" si="34"/>
        <v>17.8872</v>
      </c>
      <c r="P58" s="89">
        <f t="shared" si="34"/>
        <v>26.8308</v>
      </c>
      <c r="Q58" s="89">
        <f t="shared" si="34"/>
        <v>26.8308</v>
      </c>
    </row>
    <row r="59" ht="13.5" customHeight="1">
      <c r="C59" s="90"/>
      <c r="D59" s="101">
        <f>SUM(D55:D58)</f>
        <v>0.368</v>
      </c>
      <c r="E59" s="91"/>
      <c r="F59" s="102">
        <f t="shared" ref="F59:Q59" si="35">SUM(F55:F58)</f>
        <v>219.41632</v>
      </c>
      <c r="G59" s="103">
        <f t="shared" si="35"/>
        <v>219.41632</v>
      </c>
      <c r="H59" s="103">
        <f t="shared" si="35"/>
        <v>219.41632</v>
      </c>
      <c r="I59" s="103">
        <f t="shared" si="35"/>
        <v>219.41632</v>
      </c>
      <c r="J59" s="103">
        <f t="shared" si="35"/>
        <v>219.41632</v>
      </c>
      <c r="K59" s="103">
        <f t="shared" si="35"/>
        <v>219.41632</v>
      </c>
      <c r="L59" s="103">
        <f t="shared" si="35"/>
        <v>219.41632</v>
      </c>
      <c r="M59" s="103">
        <f t="shared" si="35"/>
        <v>219.41632</v>
      </c>
      <c r="N59" s="103">
        <f t="shared" si="35"/>
        <v>219.41632</v>
      </c>
      <c r="O59" s="103">
        <f t="shared" si="35"/>
        <v>219.41632</v>
      </c>
      <c r="P59" s="103">
        <f t="shared" si="35"/>
        <v>329.12448</v>
      </c>
      <c r="Q59" s="103">
        <f t="shared" si="35"/>
        <v>329.12448</v>
      </c>
    </row>
    <row r="60" ht="13.5" customHeight="1">
      <c r="C60" s="68"/>
      <c r="D60" s="68"/>
      <c r="E60" s="85"/>
      <c r="F60" s="86"/>
    </row>
    <row r="61" ht="24.0" customHeight="1">
      <c r="B61" s="127"/>
      <c r="C61" s="127" t="s">
        <v>103</v>
      </c>
      <c r="D61" s="127"/>
      <c r="E61" s="128"/>
      <c r="F61" s="129">
        <f t="shared" ref="F61:Q61" si="36">F52+F59</f>
        <v>815.65632</v>
      </c>
      <c r="G61" s="128">
        <f t="shared" si="36"/>
        <v>815.65632</v>
      </c>
      <c r="H61" s="128">
        <f t="shared" si="36"/>
        <v>815.65632</v>
      </c>
      <c r="I61" s="128">
        <f t="shared" si="36"/>
        <v>815.65632</v>
      </c>
      <c r="J61" s="128">
        <f t="shared" si="36"/>
        <v>815.65632</v>
      </c>
      <c r="K61" s="128">
        <f t="shared" si="36"/>
        <v>815.65632</v>
      </c>
      <c r="L61" s="128">
        <f t="shared" si="36"/>
        <v>815.65632</v>
      </c>
      <c r="M61" s="128">
        <f t="shared" si="36"/>
        <v>815.65632</v>
      </c>
      <c r="N61" s="128">
        <f t="shared" si="36"/>
        <v>815.65632</v>
      </c>
      <c r="O61" s="128">
        <f t="shared" si="36"/>
        <v>815.65632</v>
      </c>
      <c r="P61" s="128">
        <f t="shared" si="36"/>
        <v>1223.48448</v>
      </c>
      <c r="Q61" s="128">
        <f t="shared" si="36"/>
        <v>1223.48448</v>
      </c>
    </row>
    <row r="62" ht="13.5" customHeight="1"/>
    <row r="63" ht="24.0" customHeight="1">
      <c r="A63" s="66"/>
      <c r="B63" s="130" t="s">
        <v>90</v>
      </c>
      <c r="C63" s="130" t="s">
        <v>89</v>
      </c>
      <c r="D63" s="130"/>
      <c r="E63" s="131" t="s">
        <v>92</v>
      </c>
      <c r="F63" s="132" t="s">
        <v>14</v>
      </c>
      <c r="G63" s="131" t="s">
        <v>15</v>
      </c>
      <c r="H63" s="131" t="s">
        <v>16</v>
      </c>
      <c r="I63" s="131" t="s">
        <v>17</v>
      </c>
      <c r="J63" s="131" t="s">
        <v>18</v>
      </c>
      <c r="K63" s="131" t="s">
        <v>19</v>
      </c>
      <c r="L63" s="131" t="s">
        <v>20</v>
      </c>
      <c r="M63" s="133" t="s">
        <v>93</v>
      </c>
      <c r="N63" s="131" t="s">
        <v>22</v>
      </c>
      <c r="O63" s="131" t="s">
        <v>23</v>
      </c>
      <c r="P63" s="131" t="s">
        <v>24</v>
      </c>
      <c r="Q63" s="131" t="s">
        <v>25</v>
      </c>
      <c r="R63" s="66"/>
      <c r="S63" s="66"/>
      <c r="T63" s="66"/>
      <c r="U63" s="66"/>
      <c r="V63" s="66"/>
      <c r="W63" s="66"/>
      <c r="X63" s="66"/>
      <c r="Y63" s="66"/>
      <c r="Z63" s="66"/>
    </row>
    <row r="64" ht="13.5" customHeight="1">
      <c r="C64" s="82" t="s">
        <v>94</v>
      </c>
      <c r="D64" s="82"/>
      <c r="E64" s="111">
        <v>635.0</v>
      </c>
      <c r="F64" s="84">
        <f t="shared" ref="F64:Q64" si="37">$E$64</f>
        <v>635</v>
      </c>
      <c r="G64" s="99">
        <f t="shared" si="37"/>
        <v>635</v>
      </c>
      <c r="H64" s="99">
        <f t="shared" si="37"/>
        <v>635</v>
      </c>
      <c r="I64" s="99">
        <f t="shared" si="37"/>
        <v>635</v>
      </c>
      <c r="J64" s="99">
        <f t="shared" si="37"/>
        <v>635</v>
      </c>
      <c r="K64" s="99">
        <f t="shared" si="37"/>
        <v>635</v>
      </c>
      <c r="L64" s="99">
        <f t="shared" si="37"/>
        <v>635</v>
      </c>
      <c r="M64" s="99">
        <f t="shared" si="37"/>
        <v>635</v>
      </c>
      <c r="N64" s="99">
        <f t="shared" si="37"/>
        <v>635</v>
      </c>
      <c r="O64" s="99">
        <f t="shared" si="37"/>
        <v>635</v>
      </c>
      <c r="P64" s="99">
        <f t="shared" si="37"/>
        <v>635</v>
      </c>
      <c r="Q64" s="99">
        <f t="shared" si="37"/>
        <v>635</v>
      </c>
    </row>
    <row r="65" ht="13.5" customHeight="1">
      <c r="C65" s="68" t="s">
        <v>95</v>
      </c>
      <c r="D65" s="68"/>
      <c r="E65" s="112">
        <v>635.0</v>
      </c>
      <c r="F65" s="86"/>
      <c r="G65" s="85"/>
      <c r="H65" s="85"/>
      <c r="I65" s="85"/>
      <c r="J65" s="85"/>
      <c r="K65" s="85"/>
      <c r="L65" s="85"/>
      <c r="M65" s="85"/>
      <c r="N65" s="85"/>
      <c r="O65" s="85"/>
      <c r="P65" s="69">
        <f>E65*0.5</f>
        <v>317.5</v>
      </c>
      <c r="Q65" s="69">
        <f>E65*0.5</f>
        <v>317.5</v>
      </c>
    </row>
    <row r="66" ht="13.5" customHeight="1">
      <c r="C66" s="68" t="s">
        <v>96</v>
      </c>
      <c r="D66" s="87">
        <v>0.028</v>
      </c>
      <c r="E66" s="85"/>
      <c r="F66" s="88">
        <f t="shared" ref="F66:Q66" si="38">(F64+F65)*$D$66</f>
        <v>17.78</v>
      </c>
      <c r="G66" s="89">
        <f t="shared" si="38"/>
        <v>17.78</v>
      </c>
      <c r="H66" s="89">
        <f t="shared" si="38"/>
        <v>17.78</v>
      </c>
      <c r="I66" s="89">
        <f t="shared" si="38"/>
        <v>17.78</v>
      </c>
      <c r="J66" s="89">
        <f t="shared" si="38"/>
        <v>17.78</v>
      </c>
      <c r="K66" s="89">
        <f t="shared" si="38"/>
        <v>17.78</v>
      </c>
      <c r="L66" s="89">
        <f t="shared" si="38"/>
        <v>17.78</v>
      </c>
      <c r="M66" s="89">
        <f t="shared" si="38"/>
        <v>17.78</v>
      </c>
      <c r="N66" s="89">
        <f t="shared" si="38"/>
        <v>17.78</v>
      </c>
      <c r="O66" s="89">
        <f t="shared" si="38"/>
        <v>17.78</v>
      </c>
      <c r="P66" s="89">
        <f t="shared" si="38"/>
        <v>26.67</v>
      </c>
      <c r="Q66" s="89">
        <f t="shared" si="38"/>
        <v>26.67</v>
      </c>
    </row>
    <row r="67" ht="13.5" customHeight="1">
      <c r="C67" s="90" t="s">
        <v>97</v>
      </c>
      <c r="D67" s="90"/>
      <c r="E67" s="91"/>
      <c r="F67" s="92">
        <f t="shared" ref="F67:Q67" si="39">SUM(F64:F66)</f>
        <v>652.78</v>
      </c>
      <c r="G67" s="91">
        <f t="shared" si="39"/>
        <v>652.78</v>
      </c>
      <c r="H67" s="91">
        <f t="shared" si="39"/>
        <v>652.78</v>
      </c>
      <c r="I67" s="91">
        <f t="shared" si="39"/>
        <v>652.78</v>
      </c>
      <c r="J67" s="91">
        <f t="shared" si="39"/>
        <v>652.78</v>
      </c>
      <c r="K67" s="91">
        <f t="shared" si="39"/>
        <v>652.78</v>
      </c>
      <c r="L67" s="91">
        <f t="shared" si="39"/>
        <v>652.78</v>
      </c>
      <c r="M67" s="91">
        <f t="shared" si="39"/>
        <v>652.78</v>
      </c>
      <c r="N67" s="91">
        <f t="shared" si="39"/>
        <v>652.78</v>
      </c>
      <c r="O67" s="91">
        <f t="shared" si="39"/>
        <v>652.78</v>
      </c>
      <c r="P67" s="91">
        <f t="shared" si="39"/>
        <v>979.17</v>
      </c>
      <c r="Q67" s="91">
        <f t="shared" si="39"/>
        <v>979.17</v>
      </c>
    </row>
    <row r="68" ht="13.5" customHeight="1">
      <c r="C68" s="68"/>
      <c r="D68" s="68"/>
      <c r="E68" s="93"/>
      <c r="F68" s="94"/>
      <c r="G68" s="70"/>
      <c r="H68" s="70"/>
      <c r="I68" s="70"/>
      <c r="J68" s="70"/>
      <c r="K68" s="70"/>
      <c r="L68" s="70"/>
      <c r="M68" s="70"/>
      <c r="N68" s="70"/>
      <c r="O68" s="70"/>
    </row>
    <row r="69" ht="13.5" customHeight="1">
      <c r="C69" s="95" t="s">
        <v>98</v>
      </c>
      <c r="D69" s="95"/>
      <c r="E69" s="96"/>
      <c r="F69" s="97"/>
      <c r="G69" s="70"/>
      <c r="H69" s="70"/>
      <c r="I69" s="70"/>
      <c r="J69" s="70"/>
      <c r="K69" s="70"/>
      <c r="L69" s="70"/>
      <c r="M69" s="70"/>
      <c r="N69" s="70"/>
      <c r="O69" s="70"/>
    </row>
    <row r="70" ht="13.5" customHeight="1">
      <c r="C70" s="82" t="s">
        <v>99</v>
      </c>
      <c r="D70" s="98">
        <v>0.2</v>
      </c>
      <c r="E70" s="99"/>
      <c r="F70" s="84">
        <f t="shared" ref="F70:Q70" si="40">F67*$D$70</f>
        <v>130.556</v>
      </c>
      <c r="G70" s="99">
        <f t="shared" si="40"/>
        <v>130.556</v>
      </c>
      <c r="H70" s="99">
        <f t="shared" si="40"/>
        <v>130.556</v>
      </c>
      <c r="I70" s="99">
        <f t="shared" si="40"/>
        <v>130.556</v>
      </c>
      <c r="J70" s="99">
        <f t="shared" si="40"/>
        <v>130.556</v>
      </c>
      <c r="K70" s="99">
        <f t="shared" si="40"/>
        <v>130.556</v>
      </c>
      <c r="L70" s="99">
        <f t="shared" si="40"/>
        <v>130.556</v>
      </c>
      <c r="M70" s="99">
        <f t="shared" si="40"/>
        <v>130.556</v>
      </c>
      <c r="N70" s="99">
        <f t="shared" si="40"/>
        <v>130.556</v>
      </c>
      <c r="O70" s="99">
        <f t="shared" si="40"/>
        <v>130.556</v>
      </c>
      <c r="P70" s="99">
        <f t="shared" si="40"/>
        <v>195.834</v>
      </c>
      <c r="Q70" s="99">
        <f t="shared" si="40"/>
        <v>195.834</v>
      </c>
    </row>
    <row r="71" ht="13.5" customHeight="1">
      <c r="C71" s="68" t="s">
        <v>100</v>
      </c>
      <c r="D71" s="100">
        <v>0.08</v>
      </c>
      <c r="E71" s="85"/>
      <c r="F71" s="86">
        <f t="shared" ref="F71:Q71" si="41">F67*$D$71</f>
        <v>52.2224</v>
      </c>
      <c r="G71" s="85">
        <f t="shared" si="41"/>
        <v>52.2224</v>
      </c>
      <c r="H71" s="85">
        <f t="shared" si="41"/>
        <v>52.2224</v>
      </c>
      <c r="I71" s="85">
        <f t="shared" si="41"/>
        <v>52.2224</v>
      </c>
      <c r="J71" s="85">
        <f t="shared" si="41"/>
        <v>52.2224</v>
      </c>
      <c r="K71" s="85">
        <f t="shared" si="41"/>
        <v>52.2224</v>
      </c>
      <c r="L71" s="85">
        <f t="shared" si="41"/>
        <v>52.2224</v>
      </c>
      <c r="M71" s="85">
        <f t="shared" si="41"/>
        <v>52.2224</v>
      </c>
      <c r="N71" s="85">
        <f t="shared" si="41"/>
        <v>52.2224</v>
      </c>
      <c r="O71" s="85">
        <f t="shared" si="41"/>
        <v>52.2224</v>
      </c>
      <c r="P71" s="85">
        <f t="shared" si="41"/>
        <v>78.3336</v>
      </c>
      <c r="Q71" s="85">
        <f t="shared" si="41"/>
        <v>78.3336</v>
      </c>
    </row>
    <row r="72" ht="13.5" customHeight="1">
      <c r="C72" s="68" t="s">
        <v>101</v>
      </c>
      <c r="D72" s="100">
        <v>0.058</v>
      </c>
      <c r="E72" s="85"/>
      <c r="F72" s="86">
        <f t="shared" ref="F72:Q72" si="42">F67*$D$72</f>
        <v>37.86124</v>
      </c>
      <c r="G72" s="85">
        <f t="shared" si="42"/>
        <v>37.86124</v>
      </c>
      <c r="H72" s="85">
        <f t="shared" si="42"/>
        <v>37.86124</v>
      </c>
      <c r="I72" s="85">
        <f t="shared" si="42"/>
        <v>37.86124</v>
      </c>
      <c r="J72" s="85">
        <f t="shared" si="42"/>
        <v>37.86124</v>
      </c>
      <c r="K72" s="85">
        <f t="shared" si="42"/>
        <v>37.86124</v>
      </c>
      <c r="L72" s="85">
        <f t="shared" si="42"/>
        <v>37.86124</v>
      </c>
      <c r="M72" s="85">
        <f t="shared" si="42"/>
        <v>37.86124</v>
      </c>
      <c r="N72" s="85">
        <f t="shared" si="42"/>
        <v>37.86124</v>
      </c>
      <c r="O72" s="85">
        <f t="shared" si="42"/>
        <v>37.86124</v>
      </c>
      <c r="P72" s="85">
        <f t="shared" si="42"/>
        <v>56.79186</v>
      </c>
      <c r="Q72" s="85">
        <f t="shared" si="42"/>
        <v>56.79186</v>
      </c>
    </row>
    <row r="73" ht="13.5" customHeight="1">
      <c r="C73" s="68" t="s">
        <v>102</v>
      </c>
      <c r="D73" s="100">
        <v>0.03</v>
      </c>
      <c r="E73" s="85"/>
      <c r="F73" s="88">
        <f t="shared" ref="F73:Q73" si="43">F67*$D$73</f>
        <v>19.5834</v>
      </c>
      <c r="G73" s="89">
        <f t="shared" si="43"/>
        <v>19.5834</v>
      </c>
      <c r="H73" s="89">
        <f t="shared" si="43"/>
        <v>19.5834</v>
      </c>
      <c r="I73" s="89">
        <f t="shared" si="43"/>
        <v>19.5834</v>
      </c>
      <c r="J73" s="89">
        <f t="shared" si="43"/>
        <v>19.5834</v>
      </c>
      <c r="K73" s="89">
        <f t="shared" si="43"/>
        <v>19.5834</v>
      </c>
      <c r="L73" s="89">
        <f t="shared" si="43"/>
        <v>19.5834</v>
      </c>
      <c r="M73" s="89">
        <f t="shared" si="43"/>
        <v>19.5834</v>
      </c>
      <c r="N73" s="89">
        <f t="shared" si="43"/>
        <v>19.5834</v>
      </c>
      <c r="O73" s="89">
        <f t="shared" si="43"/>
        <v>19.5834</v>
      </c>
      <c r="P73" s="89">
        <f t="shared" si="43"/>
        <v>29.3751</v>
      </c>
      <c r="Q73" s="89">
        <f t="shared" si="43"/>
        <v>29.3751</v>
      </c>
    </row>
    <row r="74" ht="13.5" customHeight="1">
      <c r="C74" s="90"/>
      <c r="D74" s="101">
        <f>SUM(D70:D73)</f>
        <v>0.368</v>
      </c>
      <c r="E74" s="91"/>
      <c r="F74" s="102">
        <f t="shared" ref="F74:Q74" si="44">SUM(F70:F73)</f>
        <v>240.22304</v>
      </c>
      <c r="G74" s="103">
        <f t="shared" si="44"/>
        <v>240.22304</v>
      </c>
      <c r="H74" s="103">
        <f t="shared" si="44"/>
        <v>240.22304</v>
      </c>
      <c r="I74" s="103">
        <f t="shared" si="44"/>
        <v>240.22304</v>
      </c>
      <c r="J74" s="103">
        <f t="shared" si="44"/>
        <v>240.22304</v>
      </c>
      <c r="K74" s="103">
        <f t="shared" si="44"/>
        <v>240.22304</v>
      </c>
      <c r="L74" s="103">
        <f t="shared" si="44"/>
        <v>240.22304</v>
      </c>
      <c r="M74" s="103">
        <f t="shared" si="44"/>
        <v>240.22304</v>
      </c>
      <c r="N74" s="103">
        <f t="shared" si="44"/>
        <v>240.22304</v>
      </c>
      <c r="O74" s="103">
        <f t="shared" si="44"/>
        <v>240.22304</v>
      </c>
      <c r="P74" s="103">
        <f t="shared" si="44"/>
        <v>360.33456</v>
      </c>
      <c r="Q74" s="103">
        <f t="shared" si="44"/>
        <v>360.33456</v>
      </c>
    </row>
    <row r="75" ht="13.5" customHeight="1">
      <c r="C75" s="68"/>
      <c r="D75" s="68"/>
      <c r="E75" s="85"/>
      <c r="F75" s="86"/>
    </row>
    <row r="76" ht="24.0" customHeight="1">
      <c r="B76" s="134"/>
      <c r="C76" s="134" t="s">
        <v>103</v>
      </c>
      <c r="D76" s="134"/>
      <c r="E76" s="135"/>
      <c r="F76" s="136">
        <f t="shared" ref="F76:Q76" si="45">F67+F74</f>
        <v>893.00304</v>
      </c>
      <c r="G76" s="135">
        <f t="shared" si="45"/>
        <v>893.00304</v>
      </c>
      <c r="H76" s="135">
        <f t="shared" si="45"/>
        <v>893.00304</v>
      </c>
      <c r="I76" s="135">
        <f t="shared" si="45"/>
        <v>893.00304</v>
      </c>
      <c r="J76" s="135">
        <f t="shared" si="45"/>
        <v>893.00304</v>
      </c>
      <c r="K76" s="135">
        <f t="shared" si="45"/>
        <v>893.00304</v>
      </c>
      <c r="L76" s="135">
        <f t="shared" si="45"/>
        <v>893.00304</v>
      </c>
      <c r="M76" s="135">
        <f t="shared" si="45"/>
        <v>893.00304</v>
      </c>
      <c r="N76" s="135">
        <f t="shared" si="45"/>
        <v>893.00304</v>
      </c>
      <c r="O76" s="135">
        <f t="shared" si="45"/>
        <v>893.00304</v>
      </c>
      <c r="P76" s="135">
        <f t="shared" si="45"/>
        <v>1339.50456</v>
      </c>
      <c r="Q76" s="135">
        <f t="shared" si="45"/>
        <v>1339.50456</v>
      </c>
    </row>
    <row r="77" ht="13.5" customHeight="1"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8"/>
      <c r="P77" s="139"/>
    </row>
    <row r="78" ht="28.5" customHeight="1">
      <c r="B78" s="140" t="s">
        <v>105</v>
      </c>
      <c r="C78" s="140" t="s">
        <v>106</v>
      </c>
      <c r="D78" s="130"/>
      <c r="E78" s="131" t="s">
        <v>92</v>
      </c>
      <c r="F78" s="132" t="s">
        <v>14</v>
      </c>
      <c r="G78" s="131" t="s">
        <v>15</v>
      </c>
      <c r="H78" s="131" t="s">
        <v>16</v>
      </c>
      <c r="I78" s="131" t="s">
        <v>17</v>
      </c>
      <c r="J78" s="131" t="s">
        <v>18</v>
      </c>
      <c r="K78" s="131" t="s">
        <v>19</v>
      </c>
      <c r="L78" s="131" t="s">
        <v>20</v>
      </c>
      <c r="M78" s="133" t="s">
        <v>93</v>
      </c>
      <c r="N78" s="131" t="s">
        <v>22</v>
      </c>
      <c r="O78" s="131" t="s">
        <v>23</v>
      </c>
      <c r="P78" s="131" t="s">
        <v>24</v>
      </c>
      <c r="Q78" s="131" t="s">
        <v>25</v>
      </c>
    </row>
    <row r="79" ht="13.5" customHeight="1">
      <c r="C79" s="82" t="s">
        <v>94</v>
      </c>
      <c r="D79" s="82"/>
      <c r="E79" s="111">
        <v>635.0</v>
      </c>
      <c r="F79" s="84">
        <f t="shared" ref="F79:Q79" si="46">E79</f>
        <v>635</v>
      </c>
      <c r="G79" s="84">
        <f t="shared" si="46"/>
        <v>635</v>
      </c>
      <c r="H79" s="84">
        <f t="shared" si="46"/>
        <v>635</v>
      </c>
      <c r="I79" s="84">
        <f t="shared" si="46"/>
        <v>635</v>
      </c>
      <c r="J79" s="84">
        <f t="shared" si="46"/>
        <v>635</v>
      </c>
      <c r="K79" s="84">
        <f t="shared" si="46"/>
        <v>635</v>
      </c>
      <c r="L79" s="84">
        <f t="shared" si="46"/>
        <v>635</v>
      </c>
      <c r="M79" s="84">
        <f t="shared" si="46"/>
        <v>635</v>
      </c>
      <c r="N79" s="84">
        <f t="shared" si="46"/>
        <v>635</v>
      </c>
      <c r="O79" s="84">
        <f t="shared" si="46"/>
        <v>635</v>
      </c>
      <c r="P79" s="84">
        <f t="shared" si="46"/>
        <v>635</v>
      </c>
      <c r="Q79" s="84">
        <f t="shared" si="46"/>
        <v>635</v>
      </c>
    </row>
    <row r="80" ht="13.5" customHeight="1">
      <c r="C80" s="68" t="s">
        <v>95</v>
      </c>
      <c r="D80" s="68"/>
      <c r="E80" s="112">
        <v>635.0</v>
      </c>
      <c r="F80" s="86"/>
      <c r="G80" s="85"/>
      <c r="H80" s="85"/>
      <c r="I80" s="85"/>
      <c r="J80" s="85"/>
      <c r="K80" s="85"/>
      <c r="L80" s="85"/>
      <c r="M80" s="85"/>
      <c r="N80" s="85"/>
      <c r="O80" s="85"/>
      <c r="P80" s="69">
        <f>E80*0.5</f>
        <v>317.5</v>
      </c>
      <c r="Q80" s="69">
        <f>E80*0.5</f>
        <v>317.5</v>
      </c>
    </row>
    <row r="81" ht="13.5" customHeight="1">
      <c r="C81" s="68" t="s">
        <v>96</v>
      </c>
      <c r="D81" s="87">
        <v>0.028</v>
      </c>
      <c r="E81" s="85"/>
      <c r="F81" s="88">
        <f t="shared" ref="F81:Q81" si="47">(F79+F80)*$D$66</f>
        <v>17.78</v>
      </c>
      <c r="G81" s="89">
        <f t="shared" si="47"/>
        <v>17.78</v>
      </c>
      <c r="H81" s="89">
        <f t="shared" si="47"/>
        <v>17.78</v>
      </c>
      <c r="I81" s="89">
        <f t="shared" si="47"/>
        <v>17.78</v>
      </c>
      <c r="J81" s="89">
        <f t="shared" si="47"/>
        <v>17.78</v>
      </c>
      <c r="K81" s="89">
        <f t="shared" si="47"/>
        <v>17.78</v>
      </c>
      <c r="L81" s="89">
        <f t="shared" si="47"/>
        <v>17.78</v>
      </c>
      <c r="M81" s="89">
        <f t="shared" si="47"/>
        <v>17.78</v>
      </c>
      <c r="N81" s="89">
        <f t="shared" si="47"/>
        <v>17.78</v>
      </c>
      <c r="O81" s="89">
        <f t="shared" si="47"/>
        <v>17.78</v>
      </c>
      <c r="P81" s="89">
        <f t="shared" si="47"/>
        <v>26.67</v>
      </c>
      <c r="Q81" s="89">
        <f t="shared" si="47"/>
        <v>26.67</v>
      </c>
    </row>
    <row r="82" ht="13.5" customHeight="1">
      <c r="C82" s="90" t="s">
        <v>97</v>
      </c>
      <c r="D82" s="90"/>
      <c r="E82" s="91"/>
      <c r="F82" s="92">
        <f t="shared" ref="F82:Q82" si="48">SUM(F79:F81)</f>
        <v>652.78</v>
      </c>
      <c r="G82" s="91">
        <f t="shared" si="48"/>
        <v>652.78</v>
      </c>
      <c r="H82" s="91">
        <f t="shared" si="48"/>
        <v>652.78</v>
      </c>
      <c r="I82" s="91">
        <f t="shared" si="48"/>
        <v>652.78</v>
      </c>
      <c r="J82" s="91">
        <f t="shared" si="48"/>
        <v>652.78</v>
      </c>
      <c r="K82" s="91">
        <f t="shared" si="48"/>
        <v>652.78</v>
      </c>
      <c r="L82" s="91">
        <f t="shared" si="48"/>
        <v>652.78</v>
      </c>
      <c r="M82" s="91">
        <f t="shared" si="48"/>
        <v>652.78</v>
      </c>
      <c r="N82" s="91">
        <f t="shared" si="48"/>
        <v>652.78</v>
      </c>
      <c r="O82" s="91">
        <f t="shared" si="48"/>
        <v>652.78</v>
      </c>
      <c r="P82" s="91">
        <f t="shared" si="48"/>
        <v>979.17</v>
      </c>
      <c r="Q82" s="91">
        <f t="shared" si="48"/>
        <v>979.17</v>
      </c>
    </row>
    <row r="83" ht="13.5" customHeight="1">
      <c r="C83" s="68"/>
      <c r="D83" s="68"/>
      <c r="E83" s="93"/>
      <c r="F83" s="94"/>
      <c r="G83" s="70"/>
      <c r="H83" s="70"/>
      <c r="I83" s="70"/>
      <c r="J83" s="70"/>
      <c r="K83" s="70"/>
      <c r="L83" s="70"/>
      <c r="M83" s="70"/>
      <c r="N83" s="70"/>
      <c r="O83" s="70"/>
    </row>
    <row r="84" ht="13.5" customHeight="1">
      <c r="C84" s="95" t="s">
        <v>98</v>
      </c>
      <c r="D84" s="95"/>
      <c r="E84" s="96"/>
      <c r="F84" s="97"/>
      <c r="G84" s="70"/>
      <c r="H84" s="70"/>
      <c r="I84" s="70"/>
      <c r="J84" s="70"/>
      <c r="K84" s="70"/>
      <c r="L84" s="70"/>
      <c r="M84" s="70"/>
      <c r="N84" s="70"/>
      <c r="O84" s="70"/>
    </row>
    <row r="85" ht="13.5" customHeight="1">
      <c r="C85" s="82" t="s">
        <v>99</v>
      </c>
      <c r="D85" s="98">
        <v>0.2</v>
      </c>
      <c r="E85" s="99"/>
      <c r="F85" s="84">
        <f t="shared" ref="F85:Q85" si="49">F82*$D$70</f>
        <v>130.556</v>
      </c>
      <c r="G85" s="99">
        <f t="shared" si="49"/>
        <v>130.556</v>
      </c>
      <c r="H85" s="99">
        <f t="shared" si="49"/>
        <v>130.556</v>
      </c>
      <c r="I85" s="99">
        <f t="shared" si="49"/>
        <v>130.556</v>
      </c>
      <c r="J85" s="99">
        <f t="shared" si="49"/>
        <v>130.556</v>
      </c>
      <c r="K85" s="99">
        <f t="shared" si="49"/>
        <v>130.556</v>
      </c>
      <c r="L85" s="99">
        <f t="shared" si="49"/>
        <v>130.556</v>
      </c>
      <c r="M85" s="99">
        <f t="shared" si="49"/>
        <v>130.556</v>
      </c>
      <c r="N85" s="99">
        <f t="shared" si="49"/>
        <v>130.556</v>
      </c>
      <c r="O85" s="99">
        <f t="shared" si="49"/>
        <v>130.556</v>
      </c>
      <c r="P85" s="99">
        <f t="shared" si="49"/>
        <v>195.834</v>
      </c>
      <c r="Q85" s="99">
        <f t="shared" si="49"/>
        <v>195.834</v>
      </c>
    </row>
    <row r="86" ht="13.5" customHeight="1">
      <c r="C86" s="68" t="s">
        <v>100</v>
      </c>
      <c r="D86" s="100">
        <v>0.08</v>
      </c>
      <c r="E86" s="85"/>
      <c r="F86" s="86">
        <f t="shared" ref="F86:Q86" si="50">F82*$D$71</f>
        <v>52.2224</v>
      </c>
      <c r="G86" s="85">
        <f t="shared" si="50"/>
        <v>52.2224</v>
      </c>
      <c r="H86" s="85">
        <f t="shared" si="50"/>
        <v>52.2224</v>
      </c>
      <c r="I86" s="85">
        <f t="shared" si="50"/>
        <v>52.2224</v>
      </c>
      <c r="J86" s="85">
        <f t="shared" si="50"/>
        <v>52.2224</v>
      </c>
      <c r="K86" s="85">
        <f t="shared" si="50"/>
        <v>52.2224</v>
      </c>
      <c r="L86" s="85">
        <f t="shared" si="50"/>
        <v>52.2224</v>
      </c>
      <c r="M86" s="85">
        <f t="shared" si="50"/>
        <v>52.2224</v>
      </c>
      <c r="N86" s="85">
        <f t="shared" si="50"/>
        <v>52.2224</v>
      </c>
      <c r="O86" s="85">
        <f t="shared" si="50"/>
        <v>52.2224</v>
      </c>
      <c r="P86" s="85">
        <f t="shared" si="50"/>
        <v>78.3336</v>
      </c>
      <c r="Q86" s="85">
        <f t="shared" si="50"/>
        <v>78.3336</v>
      </c>
    </row>
    <row r="87" ht="13.5" customHeight="1">
      <c r="C87" s="68" t="s">
        <v>101</v>
      </c>
      <c r="D87" s="100">
        <v>0.058</v>
      </c>
      <c r="E87" s="85"/>
      <c r="F87" s="86">
        <f t="shared" ref="F87:Q87" si="51">F82*$D$72</f>
        <v>37.86124</v>
      </c>
      <c r="G87" s="85">
        <f t="shared" si="51"/>
        <v>37.86124</v>
      </c>
      <c r="H87" s="85">
        <f t="shared" si="51"/>
        <v>37.86124</v>
      </c>
      <c r="I87" s="85">
        <f t="shared" si="51"/>
        <v>37.86124</v>
      </c>
      <c r="J87" s="85">
        <f t="shared" si="51"/>
        <v>37.86124</v>
      </c>
      <c r="K87" s="85">
        <f t="shared" si="51"/>
        <v>37.86124</v>
      </c>
      <c r="L87" s="85">
        <f t="shared" si="51"/>
        <v>37.86124</v>
      </c>
      <c r="M87" s="85">
        <f t="shared" si="51"/>
        <v>37.86124</v>
      </c>
      <c r="N87" s="85">
        <f t="shared" si="51"/>
        <v>37.86124</v>
      </c>
      <c r="O87" s="85">
        <f t="shared" si="51"/>
        <v>37.86124</v>
      </c>
      <c r="P87" s="85">
        <f t="shared" si="51"/>
        <v>56.79186</v>
      </c>
      <c r="Q87" s="85">
        <f t="shared" si="51"/>
        <v>56.79186</v>
      </c>
    </row>
    <row r="88" ht="13.5" customHeight="1">
      <c r="C88" s="68" t="s">
        <v>102</v>
      </c>
      <c r="D88" s="100">
        <v>0.03</v>
      </c>
      <c r="E88" s="85"/>
      <c r="F88" s="88">
        <f t="shared" ref="F88:Q88" si="52">F82*$D$73</f>
        <v>19.5834</v>
      </c>
      <c r="G88" s="89">
        <f t="shared" si="52"/>
        <v>19.5834</v>
      </c>
      <c r="H88" s="89">
        <f t="shared" si="52"/>
        <v>19.5834</v>
      </c>
      <c r="I88" s="89">
        <f t="shared" si="52"/>
        <v>19.5834</v>
      </c>
      <c r="J88" s="89">
        <f t="shared" si="52"/>
        <v>19.5834</v>
      </c>
      <c r="K88" s="89">
        <f t="shared" si="52"/>
        <v>19.5834</v>
      </c>
      <c r="L88" s="89">
        <f t="shared" si="52"/>
        <v>19.5834</v>
      </c>
      <c r="M88" s="89">
        <f t="shared" si="52"/>
        <v>19.5834</v>
      </c>
      <c r="N88" s="89">
        <f t="shared" si="52"/>
        <v>19.5834</v>
      </c>
      <c r="O88" s="89">
        <f t="shared" si="52"/>
        <v>19.5834</v>
      </c>
      <c r="P88" s="89">
        <f t="shared" si="52"/>
        <v>29.3751</v>
      </c>
      <c r="Q88" s="89">
        <f t="shared" si="52"/>
        <v>29.3751</v>
      </c>
    </row>
    <row r="89" ht="13.5" customHeight="1">
      <c r="C89" s="90"/>
      <c r="D89" s="101">
        <f>SUM(D85:D88)</f>
        <v>0.368</v>
      </c>
      <c r="E89" s="91"/>
      <c r="F89" s="102">
        <f t="shared" ref="F89:Q89" si="53">SUM(F85:F88)</f>
        <v>240.22304</v>
      </c>
      <c r="G89" s="103">
        <f t="shared" si="53"/>
        <v>240.22304</v>
      </c>
      <c r="H89" s="103">
        <f t="shared" si="53"/>
        <v>240.22304</v>
      </c>
      <c r="I89" s="103">
        <f t="shared" si="53"/>
        <v>240.22304</v>
      </c>
      <c r="J89" s="103">
        <f t="shared" si="53"/>
        <v>240.22304</v>
      </c>
      <c r="K89" s="103">
        <f t="shared" si="53"/>
        <v>240.22304</v>
      </c>
      <c r="L89" s="103">
        <f t="shared" si="53"/>
        <v>240.22304</v>
      </c>
      <c r="M89" s="103">
        <f t="shared" si="53"/>
        <v>240.22304</v>
      </c>
      <c r="N89" s="103">
        <f t="shared" si="53"/>
        <v>240.22304</v>
      </c>
      <c r="O89" s="103">
        <f t="shared" si="53"/>
        <v>240.22304</v>
      </c>
      <c r="P89" s="103">
        <f t="shared" si="53"/>
        <v>360.33456</v>
      </c>
      <c r="Q89" s="103">
        <f t="shared" si="53"/>
        <v>360.33456</v>
      </c>
    </row>
    <row r="90" ht="13.5" customHeight="1">
      <c r="C90" s="68"/>
      <c r="D90" s="68"/>
      <c r="E90" s="85"/>
      <c r="F90" s="86"/>
    </row>
    <row r="91" ht="30.0" customHeight="1">
      <c r="B91" s="134"/>
      <c r="C91" s="134" t="s">
        <v>103</v>
      </c>
      <c r="D91" s="134"/>
      <c r="E91" s="135"/>
      <c r="F91" s="136">
        <f t="shared" ref="F91:Q91" si="54">F82+F89</f>
        <v>893.00304</v>
      </c>
      <c r="G91" s="135">
        <f t="shared" si="54"/>
        <v>893.00304</v>
      </c>
      <c r="H91" s="135">
        <f t="shared" si="54"/>
        <v>893.00304</v>
      </c>
      <c r="I91" s="135">
        <f t="shared" si="54"/>
        <v>893.00304</v>
      </c>
      <c r="J91" s="135">
        <f t="shared" si="54"/>
        <v>893.00304</v>
      </c>
      <c r="K91" s="135">
        <f t="shared" si="54"/>
        <v>893.00304</v>
      </c>
      <c r="L91" s="135">
        <f t="shared" si="54"/>
        <v>893.00304</v>
      </c>
      <c r="M91" s="135">
        <f t="shared" si="54"/>
        <v>893.00304</v>
      </c>
      <c r="N91" s="135">
        <f t="shared" si="54"/>
        <v>893.00304</v>
      </c>
      <c r="O91" s="135">
        <f t="shared" si="54"/>
        <v>893.00304</v>
      </c>
      <c r="P91" s="135">
        <f t="shared" si="54"/>
        <v>1339.50456</v>
      </c>
      <c r="Q91" s="135">
        <f t="shared" si="54"/>
        <v>1339.50456</v>
      </c>
    </row>
    <row r="92" ht="13.5" customHeight="1"/>
    <row r="93" ht="24.75" customHeight="1">
      <c r="B93" s="140" t="s">
        <v>91</v>
      </c>
      <c r="C93" s="140" t="s">
        <v>107</v>
      </c>
      <c r="D93" s="130"/>
      <c r="E93" s="131" t="s">
        <v>92</v>
      </c>
      <c r="F93" s="132" t="s">
        <v>14</v>
      </c>
      <c r="G93" s="131" t="s">
        <v>15</v>
      </c>
      <c r="H93" s="131" t="s">
        <v>16</v>
      </c>
      <c r="I93" s="131" t="s">
        <v>17</v>
      </c>
      <c r="J93" s="131" t="s">
        <v>18</v>
      </c>
      <c r="K93" s="131" t="s">
        <v>19</v>
      </c>
      <c r="L93" s="131" t="s">
        <v>20</v>
      </c>
      <c r="M93" s="133" t="s">
        <v>93</v>
      </c>
      <c r="N93" s="131" t="s">
        <v>22</v>
      </c>
      <c r="O93" s="131" t="s">
        <v>23</v>
      </c>
      <c r="P93" s="131" t="s">
        <v>24</v>
      </c>
      <c r="Q93" s="131" t="s">
        <v>25</v>
      </c>
    </row>
    <row r="94" ht="13.5" customHeight="1">
      <c r="C94" s="82" t="s">
        <v>94</v>
      </c>
      <c r="D94" s="82"/>
      <c r="E94" s="111">
        <v>635.0</v>
      </c>
      <c r="F94" s="84">
        <f t="shared" ref="F94:Q94" si="55">E94</f>
        <v>635</v>
      </c>
      <c r="G94" s="84">
        <f t="shared" si="55"/>
        <v>635</v>
      </c>
      <c r="H94" s="84">
        <f t="shared" si="55"/>
        <v>635</v>
      </c>
      <c r="I94" s="84">
        <f t="shared" si="55"/>
        <v>635</v>
      </c>
      <c r="J94" s="84">
        <f t="shared" si="55"/>
        <v>635</v>
      </c>
      <c r="K94" s="84">
        <f t="shared" si="55"/>
        <v>635</v>
      </c>
      <c r="L94" s="84">
        <f t="shared" si="55"/>
        <v>635</v>
      </c>
      <c r="M94" s="84">
        <f t="shared" si="55"/>
        <v>635</v>
      </c>
      <c r="N94" s="84">
        <f t="shared" si="55"/>
        <v>635</v>
      </c>
      <c r="O94" s="84">
        <f t="shared" si="55"/>
        <v>635</v>
      </c>
      <c r="P94" s="84">
        <f t="shared" si="55"/>
        <v>635</v>
      </c>
      <c r="Q94" s="84">
        <f t="shared" si="55"/>
        <v>635</v>
      </c>
    </row>
    <row r="95" ht="13.5" customHeight="1">
      <c r="C95" s="68" t="s">
        <v>95</v>
      </c>
      <c r="D95" s="68"/>
      <c r="E95" s="112">
        <v>635.0</v>
      </c>
      <c r="F95" s="86"/>
      <c r="G95" s="85"/>
      <c r="H95" s="85"/>
      <c r="I95" s="85"/>
      <c r="J95" s="85"/>
      <c r="K95" s="85"/>
      <c r="L95" s="85"/>
      <c r="M95" s="85"/>
      <c r="N95" s="85"/>
      <c r="O95" s="85"/>
      <c r="P95" s="69">
        <f>E95*0.5</f>
        <v>317.5</v>
      </c>
      <c r="Q95" s="69">
        <f>E95*0.5</f>
        <v>317.5</v>
      </c>
    </row>
    <row r="96" ht="13.5" customHeight="1">
      <c r="C96" s="68" t="s">
        <v>96</v>
      </c>
      <c r="D96" s="87">
        <v>0.028</v>
      </c>
      <c r="E96" s="85"/>
      <c r="F96" s="88">
        <f t="shared" ref="F96:Q96" si="56">(F94+F95)*$D$66</f>
        <v>17.78</v>
      </c>
      <c r="G96" s="89">
        <f t="shared" si="56"/>
        <v>17.78</v>
      </c>
      <c r="H96" s="89">
        <f t="shared" si="56"/>
        <v>17.78</v>
      </c>
      <c r="I96" s="89">
        <f t="shared" si="56"/>
        <v>17.78</v>
      </c>
      <c r="J96" s="89">
        <f t="shared" si="56"/>
        <v>17.78</v>
      </c>
      <c r="K96" s="89">
        <f t="shared" si="56"/>
        <v>17.78</v>
      </c>
      <c r="L96" s="89">
        <f t="shared" si="56"/>
        <v>17.78</v>
      </c>
      <c r="M96" s="89">
        <f t="shared" si="56"/>
        <v>17.78</v>
      </c>
      <c r="N96" s="89">
        <f t="shared" si="56"/>
        <v>17.78</v>
      </c>
      <c r="O96" s="89">
        <f t="shared" si="56"/>
        <v>17.78</v>
      </c>
      <c r="P96" s="89">
        <f t="shared" si="56"/>
        <v>26.67</v>
      </c>
      <c r="Q96" s="89">
        <f t="shared" si="56"/>
        <v>26.67</v>
      </c>
    </row>
    <row r="97" ht="13.5" customHeight="1">
      <c r="C97" s="90" t="s">
        <v>97</v>
      </c>
      <c r="D97" s="90"/>
      <c r="E97" s="91"/>
      <c r="F97" s="92">
        <f t="shared" ref="F97:Q97" si="57">SUM(F94:F96)</f>
        <v>652.78</v>
      </c>
      <c r="G97" s="91">
        <f t="shared" si="57"/>
        <v>652.78</v>
      </c>
      <c r="H97" s="91">
        <f t="shared" si="57"/>
        <v>652.78</v>
      </c>
      <c r="I97" s="91">
        <f t="shared" si="57"/>
        <v>652.78</v>
      </c>
      <c r="J97" s="91">
        <f t="shared" si="57"/>
        <v>652.78</v>
      </c>
      <c r="K97" s="91">
        <f t="shared" si="57"/>
        <v>652.78</v>
      </c>
      <c r="L97" s="91">
        <f t="shared" si="57"/>
        <v>652.78</v>
      </c>
      <c r="M97" s="91">
        <f t="shared" si="57"/>
        <v>652.78</v>
      </c>
      <c r="N97" s="91">
        <f t="shared" si="57"/>
        <v>652.78</v>
      </c>
      <c r="O97" s="91">
        <f t="shared" si="57"/>
        <v>652.78</v>
      </c>
      <c r="P97" s="91">
        <f t="shared" si="57"/>
        <v>979.17</v>
      </c>
      <c r="Q97" s="91">
        <f t="shared" si="57"/>
        <v>979.17</v>
      </c>
    </row>
    <row r="98" ht="13.5" customHeight="1">
      <c r="C98" s="68"/>
      <c r="D98" s="68"/>
      <c r="E98" s="93"/>
      <c r="F98" s="94"/>
      <c r="G98" s="70"/>
      <c r="H98" s="70"/>
      <c r="I98" s="70"/>
      <c r="J98" s="70"/>
      <c r="K98" s="70"/>
      <c r="L98" s="70"/>
      <c r="M98" s="70"/>
      <c r="N98" s="70"/>
      <c r="O98" s="70"/>
    </row>
    <row r="99" ht="13.5" customHeight="1">
      <c r="C99" s="95" t="s">
        <v>98</v>
      </c>
      <c r="D99" s="95"/>
      <c r="E99" s="96"/>
      <c r="F99" s="97"/>
      <c r="G99" s="70"/>
      <c r="H99" s="70"/>
      <c r="I99" s="70"/>
      <c r="J99" s="70"/>
      <c r="K99" s="70"/>
      <c r="L99" s="70"/>
      <c r="M99" s="70"/>
      <c r="N99" s="70"/>
      <c r="O99" s="70"/>
    </row>
    <row r="100" ht="13.5" customHeight="1">
      <c r="C100" s="82" t="s">
        <v>99</v>
      </c>
      <c r="D100" s="98">
        <v>0.2</v>
      </c>
      <c r="E100" s="99"/>
      <c r="F100" s="84">
        <f t="shared" ref="F100:Q100" si="58">F97*$D$70</f>
        <v>130.556</v>
      </c>
      <c r="G100" s="99">
        <f t="shared" si="58"/>
        <v>130.556</v>
      </c>
      <c r="H100" s="99">
        <f t="shared" si="58"/>
        <v>130.556</v>
      </c>
      <c r="I100" s="99">
        <f t="shared" si="58"/>
        <v>130.556</v>
      </c>
      <c r="J100" s="99">
        <f t="shared" si="58"/>
        <v>130.556</v>
      </c>
      <c r="K100" s="99">
        <f t="shared" si="58"/>
        <v>130.556</v>
      </c>
      <c r="L100" s="99">
        <f t="shared" si="58"/>
        <v>130.556</v>
      </c>
      <c r="M100" s="99">
        <f t="shared" si="58"/>
        <v>130.556</v>
      </c>
      <c r="N100" s="99">
        <f t="shared" si="58"/>
        <v>130.556</v>
      </c>
      <c r="O100" s="99">
        <f t="shared" si="58"/>
        <v>130.556</v>
      </c>
      <c r="P100" s="99">
        <f t="shared" si="58"/>
        <v>195.834</v>
      </c>
      <c r="Q100" s="99">
        <f t="shared" si="58"/>
        <v>195.834</v>
      </c>
    </row>
    <row r="101" ht="13.5" customHeight="1">
      <c r="C101" s="68" t="s">
        <v>100</v>
      </c>
      <c r="D101" s="100">
        <v>0.08</v>
      </c>
      <c r="E101" s="85"/>
      <c r="F101" s="86">
        <f t="shared" ref="F101:Q101" si="59">F97*$D$71</f>
        <v>52.2224</v>
      </c>
      <c r="G101" s="85">
        <f t="shared" si="59"/>
        <v>52.2224</v>
      </c>
      <c r="H101" s="85">
        <f t="shared" si="59"/>
        <v>52.2224</v>
      </c>
      <c r="I101" s="85">
        <f t="shared" si="59"/>
        <v>52.2224</v>
      </c>
      <c r="J101" s="85">
        <f t="shared" si="59"/>
        <v>52.2224</v>
      </c>
      <c r="K101" s="85">
        <f t="shared" si="59"/>
        <v>52.2224</v>
      </c>
      <c r="L101" s="85">
        <f t="shared" si="59"/>
        <v>52.2224</v>
      </c>
      <c r="M101" s="85">
        <f t="shared" si="59"/>
        <v>52.2224</v>
      </c>
      <c r="N101" s="85">
        <f t="shared" si="59"/>
        <v>52.2224</v>
      </c>
      <c r="O101" s="85">
        <f t="shared" si="59"/>
        <v>52.2224</v>
      </c>
      <c r="P101" s="85">
        <f t="shared" si="59"/>
        <v>78.3336</v>
      </c>
      <c r="Q101" s="85">
        <f t="shared" si="59"/>
        <v>78.3336</v>
      </c>
    </row>
    <row r="102" ht="13.5" customHeight="1">
      <c r="C102" s="68" t="s">
        <v>101</v>
      </c>
      <c r="D102" s="100">
        <v>0.058</v>
      </c>
      <c r="E102" s="85"/>
      <c r="F102" s="86">
        <f t="shared" ref="F102:Q102" si="60">F97*$D$72</f>
        <v>37.86124</v>
      </c>
      <c r="G102" s="85">
        <f t="shared" si="60"/>
        <v>37.86124</v>
      </c>
      <c r="H102" s="85">
        <f t="shared" si="60"/>
        <v>37.86124</v>
      </c>
      <c r="I102" s="85">
        <f t="shared" si="60"/>
        <v>37.86124</v>
      </c>
      <c r="J102" s="85">
        <f t="shared" si="60"/>
        <v>37.86124</v>
      </c>
      <c r="K102" s="85">
        <f t="shared" si="60"/>
        <v>37.86124</v>
      </c>
      <c r="L102" s="85">
        <f t="shared" si="60"/>
        <v>37.86124</v>
      </c>
      <c r="M102" s="85">
        <f t="shared" si="60"/>
        <v>37.86124</v>
      </c>
      <c r="N102" s="85">
        <f t="shared" si="60"/>
        <v>37.86124</v>
      </c>
      <c r="O102" s="85">
        <f t="shared" si="60"/>
        <v>37.86124</v>
      </c>
      <c r="P102" s="85">
        <f t="shared" si="60"/>
        <v>56.79186</v>
      </c>
      <c r="Q102" s="85">
        <f t="shared" si="60"/>
        <v>56.79186</v>
      </c>
    </row>
    <row r="103" ht="13.5" customHeight="1">
      <c r="C103" s="68" t="s">
        <v>102</v>
      </c>
      <c r="D103" s="100">
        <v>0.03</v>
      </c>
      <c r="E103" s="85"/>
      <c r="F103" s="88">
        <f t="shared" ref="F103:Q103" si="61">F97*$D$73</f>
        <v>19.5834</v>
      </c>
      <c r="G103" s="89">
        <f t="shared" si="61"/>
        <v>19.5834</v>
      </c>
      <c r="H103" s="89">
        <f t="shared" si="61"/>
        <v>19.5834</v>
      </c>
      <c r="I103" s="89">
        <f t="shared" si="61"/>
        <v>19.5834</v>
      </c>
      <c r="J103" s="89">
        <f t="shared" si="61"/>
        <v>19.5834</v>
      </c>
      <c r="K103" s="89">
        <f t="shared" si="61"/>
        <v>19.5834</v>
      </c>
      <c r="L103" s="89">
        <f t="shared" si="61"/>
        <v>19.5834</v>
      </c>
      <c r="M103" s="89">
        <f t="shared" si="61"/>
        <v>19.5834</v>
      </c>
      <c r="N103" s="89">
        <f t="shared" si="61"/>
        <v>19.5834</v>
      </c>
      <c r="O103" s="89">
        <f t="shared" si="61"/>
        <v>19.5834</v>
      </c>
      <c r="P103" s="89">
        <f t="shared" si="61"/>
        <v>29.3751</v>
      </c>
      <c r="Q103" s="89">
        <f t="shared" si="61"/>
        <v>29.3751</v>
      </c>
    </row>
    <row r="104" ht="13.5" customHeight="1">
      <c r="C104" s="90"/>
      <c r="D104" s="101">
        <f>SUM(D100:D103)</f>
        <v>0.368</v>
      </c>
      <c r="E104" s="91"/>
      <c r="F104" s="102">
        <f t="shared" ref="F104:Q104" si="62">SUM(F100:F103)</f>
        <v>240.22304</v>
      </c>
      <c r="G104" s="103">
        <f t="shared" si="62"/>
        <v>240.22304</v>
      </c>
      <c r="H104" s="103">
        <f t="shared" si="62"/>
        <v>240.22304</v>
      </c>
      <c r="I104" s="103">
        <f t="shared" si="62"/>
        <v>240.22304</v>
      </c>
      <c r="J104" s="103">
        <f t="shared" si="62"/>
        <v>240.22304</v>
      </c>
      <c r="K104" s="103">
        <f t="shared" si="62"/>
        <v>240.22304</v>
      </c>
      <c r="L104" s="103">
        <f t="shared" si="62"/>
        <v>240.22304</v>
      </c>
      <c r="M104" s="103">
        <f t="shared" si="62"/>
        <v>240.22304</v>
      </c>
      <c r="N104" s="103">
        <f t="shared" si="62"/>
        <v>240.22304</v>
      </c>
      <c r="O104" s="103">
        <f t="shared" si="62"/>
        <v>240.22304</v>
      </c>
      <c r="P104" s="103">
        <f t="shared" si="62"/>
        <v>360.33456</v>
      </c>
      <c r="Q104" s="103">
        <f t="shared" si="62"/>
        <v>360.33456</v>
      </c>
    </row>
    <row r="105" ht="13.5" customHeight="1">
      <c r="C105" s="68"/>
      <c r="D105" s="68"/>
      <c r="E105" s="85"/>
      <c r="F105" s="86"/>
    </row>
    <row r="106" ht="27.0" customHeight="1">
      <c r="B106" s="134"/>
      <c r="C106" s="134" t="s">
        <v>103</v>
      </c>
      <c r="D106" s="134"/>
      <c r="E106" s="135"/>
      <c r="F106" s="136">
        <f t="shared" ref="F106:Q106" si="63">F97+F104</f>
        <v>893.00304</v>
      </c>
      <c r="G106" s="135">
        <f t="shared" si="63"/>
        <v>893.00304</v>
      </c>
      <c r="H106" s="135">
        <f t="shared" si="63"/>
        <v>893.00304</v>
      </c>
      <c r="I106" s="135">
        <f t="shared" si="63"/>
        <v>893.00304</v>
      </c>
      <c r="J106" s="135">
        <f t="shared" si="63"/>
        <v>893.00304</v>
      </c>
      <c r="K106" s="135">
        <f t="shared" si="63"/>
        <v>893.00304</v>
      </c>
      <c r="L106" s="135">
        <f t="shared" si="63"/>
        <v>893.00304</v>
      </c>
      <c r="M106" s="135">
        <f t="shared" si="63"/>
        <v>893.00304</v>
      </c>
      <c r="N106" s="135">
        <f t="shared" si="63"/>
        <v>893.00304</v>
      </c>
      <c r="O106" s="135">
        <f t="shared" si="63"/>
        <v>893.00304</v>
      </c>
      <c r="P106" s="135">
        <f t="shared" si="63"/>
        <v>1339.50456</v>
      </c>
      <c r="Q106" s="135">
        <f t="shared" si="63"/>
        <v>1339.50456</v>
      </c>
    </row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0DD"/>
    <pageSetUpPr/>
  </sheetPr>
  <sheetViews>
    <sheetView workbookViewId="0"/>
  </sheetViews>
  <sheetFormatPr customHeight="1" defaultColWidth="12.63" defaultRowHeight="15.0" outlineLevelCol="1"/>
  <cols>
    <col customWidth="1" min="1" max="1" width="8.63"/>
    <col customWidth="1" min="2" max="3" width="18.63"/>
    <col customWidth="1" min="4" max="15" width="12.88" outlineLevel="1"/>
    <col customWidth="1" min="16" max="16" width="12.88"/>
    <col customWidth="1" min="17" max="17" width="1.63"/>
    <col customWidth="1" min="18" max="29" width="12.88" outlineLevel="1"/>
    <col customWidth="1" min="30" max="30" width="12.88"/>
    <col customWidth="1" min="31" max="31" width="1.13"/>
    <col customWidth="1" min="32" max="43" width="12.88" outlineLevel="1"/>
    <col customWidth="1" min="44" max="44" width="12.88"/>
    <col customWidth="1" min="45" max="45" width="1.13"/>
    <col customWidth="1" min="46" max="57" width="12.88" outlineLevel="1"/>
    <col customWidth="1" min="58" max="58" width="12.88"/>
    <col customWidth="1" min="59" max="59" width="1.13"/>
    <col customWidth="1" min="60" max="71" width="12.88" outlineLevel="1"/>
    <col customWidth="1" min="72" max="72" width="12.88"/>
    <col customWidth="1" min="73" max="73" width="1.5"/>
    <col customWidth="1" min="74" max="85" width="12.88" outlineLevel="1"/>
    <col customWidth="1" min="86" max="86" width="12.88"/>
    <col customWidth="1" min="87" max="87" width="1.13"/>
  </cols>
  <sheetData>
    <row r="1" ht="20.25" customHeight="1">
      <c r="B1" s="2" t="s">
        <v>0</v>
      </c>
      <c r="C1" s="2"/>
      <c r="D1" s="3" t="str">
        <f>+COMP</f>
        <v>ZHY</v>
      </c>
      <c r="E1" s="3" t="str">
        <f>+COMP</f>
        <v>ZHY</v>
      </c>
      <c r="F1" s="3" t="str">
        <f>+COMP</f>
        <v>ZHY</v>
      </c>
      <c r="G1" s="3" t="str">
        <f>+COMP</f>
        <v>ZHY</v>
      </c>
      <c r="H1" s="3" t="str">
        <f>+COMP</f>
        <v>ZHY</v>
      </c>
      <c r="I1" s="3" t="str">
        <f>+COMP</f>
        <v>ZHY</v>
      </c>
      <c r="J1" s="3" t="str">
        <f>+COMP</f>
        <v>ZHY</v>
      </c>
      <c r="K1" s="3" t="str">
        <f>+COMP</f>
        <v>ZHY</v>
      </c>
      <c r="L1" s="3" t="str">
        <f>+COMP</f>
        <v>ZHY</v>
      </c>
      <c r="M1" s="3" t="str">
        <f>+COMP</f>
        <v>ZHY</v>
      </c>
      <c r="N1" s="3" t="str">
        <f>+COMP</f>
        <v>ZHY</v>
      </c>
      <c r="O1" s="3" t="str">
        <f>+COMP</f>
        <v>ZHY</v>
      </c>
      <c r="P1" s="4" t="str">
        <f>+COMP</f>
        <v>ZHY</v>
      </c>
      <c r="R1" s="3" t="str">
        <f>+COMP</f>
        <v>ZHY</v>
      </c>
      <c r="S1" s="3" t="str">
        <f>+COMP</f>
        <v>ZHY</v>
      </c>
      <c r="T1" s="3" t="str">
        <f>+COMP</f>
        <v>ZHY</v>
      </c>
      <c r="U1" s="3" t="str">
        <f>+COMP</f>
        <v>ZHY</v>
      </c>
      <c r="V1" s="3" t="str">
        <f>+COMP</f>
        <v>ZHY</v>
      </c>
      <c r="W1" s="3" t="str">
        <f>+COMP</f>
        <v>ZHY</v>
      </c>
      <c r="X1" s="3" t="str">
        <f>+COMP</f>
        <v>ZHY</v>
      </c>
      <c r="Y1" s="3" t="str">
        <f>+COMP</f>
        <v>ZHY</v>
      </c>
      <c r="Z1" s="3" t="str">
        <f>+COMP</f>
        <v>ZHY</v>
      </c>
      <c r="AA1" s="3" t="str">
        <f>+COMP</f>
        <v>ZHY</v>
      </c>
      <c r="AB1" s="3" t="str">
        <f>+COMP</f>
        <v>ZHY</v>
      </c>
      <c r="AC1" s="3" t="str">
        <f>+COMP</f>
        <v>ZHY</v>
      </c>
      <c r="AD1" s="4" t="str">
        <f>+COMP</f>
        <v>ZHY</v>
      </c>
      <c r="AF1" s="3" t="str">
        <f>+COMP</f>
        <v>ZHY</v>
      </c>
      <c r="AG1" s="3" t="str">
        <f>+COMP</f>
        <v>ZHY</v>
      </c>
      <c r="AH1" s="3" t="str">
        <f>+COMP</f>
        <v>ZHY</v>
      </c>
      <c r="AI1" s="3" t="str">
        <f>+COMP</f>
        <v>ZHY</v>
      </c>
      <c r="AJ1" s="3" t="str">
        <f>+COMP</f>
        <v>ZHY</v>
      </c>
      <c r="AK1" s="3" t="str">
        <f>+COMP</f>
        <v>ZHY</v>
      </c>
      <c r="AL1" s="3" t="str">
        <f>+COMP</f>
        <v>ZHY</v>
      </c>
      <c r="AM1" s="3" t="str">
        <f>+COMP</f>
        <v>ZHY</v>
      </c>
      <c r="AN1" s="3" t="str">
        <f>+COMP</f>
        <v>ZHY</v>
      </c>
      <c r="AO1" s="3" t="str">
        <f>+COMP</f>
        <v>ZHY</v>
      </c>
      <c r="AP1" s="3" t="str">
        <f>+COMP</f>
        <v>ZHY</v>
      </c>
      <c r="AQ1" s="3" t="str">
        <f>+COMP</f>
        <v>ZHY</v>
      </c>
      <c r="AR1" s="4" t="str">
        <f>+COMP</f>
        <v>ZHY</v>
      </c>
      <c r="AT1" s="3" t="str">
        <f>+COMP</f>
        <v>ZHY</v>
      </c>
      <c r="AU1" s="3" t="str">
        <f>+COMP</f>
        <v>ZHY</v>
      </c>
      <c r="AV1" s="3" t="str">
        <f>+COMP</f>
        <v>ZHY</v>
      </c>
      <c r="AW1" s="3" t="str">
        <f>+COMP</f>
        <v>ZHY</v>
      </c>
      <c r="AX1" s="3" t="str">
        <f>+COMP</f>
        <v>ZHY</v>
      </c>
      <c r="AY1" s="3" t="str">
        <f>+COMP</f>
        <v>ZHY</v>
      </c>
      <c r="AZ1" s="3" t="str">
        <f>+COMP</f>
        <v>ZHY</v>
      </c>
      <c r="BA1" s="3" t="str">
        <f>+COMP</f>
        <v>ZHY</v>
      </c>
      <c r="BB1" s="3" t="str">
        <f>+COMP</f>
        <v>ZHY</v>
      </c>
      <c r="BC1" s="3" t="str">
        <f>+COMP</f>
        <v>ZHY</v>
      </c>
      <c r="BD1" s="3" t="str">
        <f>+COMP</f>
        <v>ZHY</v>
      </c>
      <c r="BE1" s="3" t="str">
        <f>+COMP</f>
        <v>ZHY</v>
      </c>
      <c r="BF1" s="4" t="str">
        <f>+COMP</f>
        <v>ZHY</v>
      </c>
      <c r="BH1" s="3" t="str">
        <f>+COMP</f>
        <v>ZHY</v>
      </c>
      <c r="BI1" s="3" t="str">
        <f>+COMP</f>
        <v>ZHY</v>
      </c>
      <c r="BJ1" s="3" t="str">
        <f>+COMP</f>
        <v>ZHY</v>
      </c>
      <c r="BK1" s="3" t="str">
        <f>+COMP</f>
        <v>ZHY</v>
      </c>
      <c r="BL1" s="3" t="str">
        <f>+COMP</f>
        <v>ZHY</v>
      </c>
      <c r="BM1" s="3" t="str">
        <f>+COMP</f>
        <v>ZHY</v>
      </c>
      <c r="BN1" s="3" t="str">
        <f>+COMP</f>
        <v>ZHY</v>
      </c>
      <c r="BO1" s="3" t="str">
        <f>+COMP</f>
        <v>ZHY</v>
      </c>
      <c r="BP1" s="3" t="str">
        <f>+COMP</f>
        <v>ZHY</v>
      </c>
      <c r="BQ1" s="3" t="str">
        <f>+COMP</f>
        <v>ZHY</v>
      </c>
      <c r="BR1" s="3" t="str">
        <f>+COMP</f>
        <v>ZHY</v>
      </c>
      <c r="BS1" s="3" t="str">
        <f>+COMP</f>
        <v>ZHY</v>
      </c>
      <c r="BT1" s="4" t="str">
        <f>+COMP</f>
        <v>ZHY</v>
      </c>
      <c r="BV1" s="3" t="str">
        <f>+COMP</f>
        <v>ZHY</v>
      </c>
      <c r="BW1" s="3" t="str">
        <f>+COMP</f>
        <v>ZHY</v>
      </c>
      <c r="BX1" s="3" t="str">
        <f>+COMP</f>
        <v>ZHY</v>
      </c>
      <c r="BY1" s="3" t="str">
        <f>+COMP</f>
        <v>ZHY</v>
      </c>
      <c r="BZ1" s="3" t="str">
        <f>+COMP</f>
        <v>ZHY</v>
      </c>
      <c r="CA1" s="3" t="str">
        <f>+COMP</f>
        <v>ZHY</v>
      </c>
      <c r="CB1" s="3" t="str">
        <f>+COMP</f>
        <v>ZHY</v>
      </c>
      <c r="CC1" s="3" t="str">
        <f>+COMP</f>
        <v>ZHY</v>
      </c>
      <c r="CD1" s="3" t="str">
        <f>+COMP</f>
        <v>ZHY</v>
      </c>
      <c r="CE1" s="3" t="str">
        <f>+COMP</f>
        <v>ZHY</v>
      </c>
      <c r="CF1" s="3" t="str">
        <f>+COMP</f>
        <v>ZHY</v>
      </c>
      <c r="CG1" s="3" t="str">
        <f>+COMP</f>
        <v>ZHY</v>
      </c>
      <c r="CH1" s="4" t="str">
        <f>+COMP</f>
        <v>ZHY</v>
      </c>
    </row>
    <row r="2" ht="20.25" customHeight="1">
      <c r="B2" s="2" t="s">
        <v>1</v>
      </c>
      <c r="C2" s="2"/>
      <c r="D2" s="3">
        <f>+YEAR</f>
        <v>2025</v>
      </c>
      <c r="E2" s="3">
        <f>+YEAR</f>
        <v>2025</v>
      </c>
      <c r="F2" s="3">
        <f>+YEAR</f>
        <v>2025</v>
      </c>
      <c r="G2" s="3">
        <f>+YEAR</f>
        <v>2025</v>
      </c>
      <c r="H2" s="3">
        <f>+YEAR</f>
        <v>2025</v>
      </c>
      <c r="I2" s="3">
        <f>+YEAR</f>
        <v>2025</v>
      </c>
      <c r="J2" s="3">
        <f>+YEAR</f>
        <v>2025</v>
      </c>
      <c r="K2" s="3">
        <f>+YEAR</f>
        <v>2025</v>
      </c>
      <c r="L2" s="3">
        <f>+YEAR</f>
        <v>2025</v>
      </c>
      <c r="M2" s="3">
        <f>+YEAR</f>
        <v>2025</v>
      </c>
      <c r="N2" s="3">
        <f>+YEAR</f>
        <v>2025</v>
      </c>
      <c r="O2" s="3">
        <f>+YEAR</f>
        <v>2025</v>
      </c>
      <c r="P2" s="4">
        <f>+YEAR</f>
        <v>2025</v>
      </c>
      <c r="R2" s="3">
        <f>+YEAR_1</f>
        <v>2026</v>
      </c>
      <c r="S2" s="3">
        <f>+YEAR_1</f>
        <v>2026</v>
      </c>
      <c r="T2" s="3">
        <f>+YEAR_1</f>
        <v>2026</v>
      </c>
      <c r="U2" s="3">
        <f>+YEAR_1</f>
        <v>2026</v>
      </c>
      <c r="V2" s="3">
        <f>+YEAR_1</f>
        <v>2026</v>
      </c>
      <c r="W2" s="3">
        <f>+YEAR_1</f>
        <v>2026</v>
      </c>
      <c r="X2" s="3">
        <f>+YEAR_1</f>
        <v>2026</v>
      </c>
      <c r="Y2" s="3">
        <f>+YEAR_1</f>
        <v>2026</v>
      </c>
      <c r="Z2" s="3">
        <f>+YEAR_1</f>
        <v>2026</v>
      </c>
      <c r="AA2" s="3">
        <f>+YEAR_1</f>
        <v>2026</v>
      </c>
      <c r="AB2" s="3">
        <f>+YEAR_1</f>
        <v>2026</v>
      </c>
      <c r="AC2" s="3">
        <f>+YEAR_1</f>
        <v>2026</v>
      </c>
      <c r="AD2" s="4">
        <f>+YEAR+1</f>
        <v>2026</v>
      </c>
      <c r="AF2" s="3">
        <f>+YEAR_2</f>
        <v>2027</v>
      </c>
      <c r="AG2" s="3">
        <f>+YEAR_2</f>
        <v>2027</v>
      </c>
      <c r="AH2" s="3">
        <f>+YEAR_2</f>
        <v>2027</v>
      </c>
      <c r="AI2" s="3">
        <f>+YEAR_2</f>
        <v>2027</v>
      </c>
      <c r="AJ2" s="3">
        <f>+YEAR_2</f>
        <v>2027</v>
      </c>
      <c r="AK2" s="3">
        <f>+YEAR_2</f>
        <v>2027</v>
      </c>
      <c r="AL2" s="3">
        <f>+YEAR_2</f>
        <v>2027</v>
      </c>
      <c r="AM2" s="3">
        <f>+YEAR_2</f>
        <v>2027</v>
      </c>
      <c r="AN2" s="3">
        <f>+YEAR_2</f>
        <v>2027</v>
      </c>
      <c r="AO2" s="3">
        <f>+YEAR_2</f>
        <v>2027</v>
      </c>
      <c r="AP2" s="3">
        <f>+YEAR_2</f>
        <v>2027</v>
      </c>
      <c r="AQ2" s="3">
        <f>+YEAR_2</f>
        <v>2027</v>
      </c>
      <c r="AR2" s="4">
        <f>+YEAR+2</f>
        <v>2027</v>
      </c>
      <c r="AT2" s="3">
        <f>+YEAR_3</f>
        <v>2028</v>
      </c>
      <c r="AU2" s="3">
        <f>+YEAR_3</f>
        <v>2028</v>
      </c>
      <c r="AV2" s="3">
        <f>+YEAR_3</f>
        <v>2028</v>
      </c>
      <c r="AW2" s="3">
        <f>+YEAR_3</f>
        <v>2028</v>
      </c>
      <c r="AX2" s="3">
        <f>+YEAR_3</f>
        <v>2028</v>
      </c>
      <c r="AY2" s="3">
        <f>+YEAR_3</f>
        <v>2028</v>
      </c>
      <c r="AZ2" s="3">
        <f>+YEAR_3</f>
        <v>2028</v>
      </c>
      <c r="BA2" s="3">
        <f>+YEAR_3</f>
        <v>2028</v>
      </c>
      <c r="BB2" s="3">
        <f>+YEAR_3</f>
        <v>2028</v>
      </c>
      <c r="BC2" s="3">
        <f>+YEAR_3</f>
        <v>2028</v>
      </c>
      <c r="BD2" s="3">
        <f>+YEAR_3</f>
        <v>2028</v>
      </c>
      <c r="BE2" s="3">
        <f>+YEAR_3</f>
        <v>2028</v>
      </c>
      <c r="BF2" s="4">
        <f>+YEAR+3</f>
        <v>2028</v>
      </c>
      <c r="BH2" s="3">
        <f>+YEAR_4</f>
        <v>2029</v>
      </c>
      <c r="BI2" s="3">
        <f>+YEAR_4</f>
        <v>2029</v>
      </c>
      <c r="BJ2" s="3">
        <f>+YEAR_4</f>
        <v>2029</v>
      </c>
      <c r="BK2" s="3">
        <f>+YEAR_4</f>
        <v>2029</v>
      </c>
      <c r="BL2" s="3">
        <f>+YEAR_4</f>
        <v>2029</v>
      </c>
      <c r="BM2" s="3">
        <f>+YEAR_4</f>
        <v>2029</v>
      </c>
      <c r="BN2" s="3">
        <f>+YEAR_4</f>
        <v>2029</v>
      </c>
      <c r="BO2" s="3">
        <f>+YEAR_4</f>
        <v>2029</v>
      </c>
      <c r="BP2" s="3">
        <f>+YEAR_4</f>
        <v>2029</v>
      </c>
      <c r="BQ2" s="3">
        <f>+YEAR_4</f>
        <v>2029</v>
      </c>
      <c r="BR2" s="3">
        <f>+YEAR_4</f>
        <v>2029</v>
      </c>
      <c r="BS2" s="3">
        <f>+YEAR_4</f>
        <v>2029</v>
      </c>
      <c r="BT2" s="4">
        <f>+YEAR+4</f>
        <v>2029</v>
      </c>
      <c r="BV2" s="3">
        <f>+YEAR_5</f>
        <v>2030</v>
      </c>
      <c r="BW2" s="3">
        <f>+YEAR_5</f>
        <v>2030</v>
      </c>
      <c r="BX2" s="3">
        <f>+YEAR_5</f>
        <v>2030</v>
      </c>
      <c r="BY2" s="3">
        <f>+YEAR_5</f>
        <v>2030</v>
      </c>
      <c r="BZ2" s="3">
        <f>+YEAR_5</f>
        <v>2030</v>
      </c>
      <c r="CA2" s="3">
        <f>+YEAR_5</f>
        <v>2030</v>
      </c>
      <c r="CB2" s="3">
        <f>+YEAR_5</f>
        <v>2030</v>
      </c>
      <c r="CC2" s="3">
        <f>+YEAR_5</f>
        <v>2030</v>
      </c>
      <c r="CD2" s="3">
        <f>+YEAR_5</f>
        <v>2030</v>
      </c>
      <c r="CE2" s="3">
        <f>+YEAR_5</f>
        <v>2030</v>
      </c>
      <c r="CF2" s="3">
        <f>+YEAR_5</f>
        <v>2030</v>
      </c>
      <c r="CG2" s="3">
        <f>+YEAR_5</f>
        <v>2030</v>
      </c>
      <c r="CH2" s="4">
        <f>+YEAR+5</f>
        <v>2030</v>
      </c>
    </row>
    <row r="3" ht="20.25" customHeight="1">
      <c r="B3" s="2" t="s">
        <v>2</v>
      </c>
      <c r="C3" s="2"/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4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4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4" t="s">
        <v>3</v>
      </c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4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4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4" t="s">
        <v>3</v>
      </c>
    </row>
    <row r="4" ht="20.25" customHeight="1">
      <c r="B4" s="2" t="s">
        <v>4</v>
      </c>
      <c r="C4" s="2"/>
      <c r="D4" s="3">
        <v>1.0</v>
      </c>
      <c r="E4" s="3">
        <f t="shared" ref="E4:O4" si="1">+D4+1</f>
        <v>2</v>
      </c>
      <c r="F4" s="3">
        <f t="shared" si="1"/>
        <v>3</v>
      </c>
      <c r="G4" s="3">
        <f t="shared" si="1"/>
        <v>4</v>
      </c>
      <c r="H4" s="3">
        <f t="shared" si="1"/>
        <v>5</v>
      </c>
      <c r="I4" s="3">
        <f t="shared" si="1"/>
        <v>6</v>
      </c>
      <c r="J4" s="3">
        <f t="shared" si="1"/>
        <v>7</v>
      </c>
      <c r="K4" s="3">
        <f t="shared" si="1"/>
        <v>8</v>
      </c>
      <c r="L4" s="3">
        <f t="shared" si="1"/>
        <v>9</v>
      </c>
      <c r="M4" s="3">
        <f t="shared" si="1"/>
        <v>10</v>
      </c>
      <c r="N4" s="3">
        <f t="shared" si="1"/>
        <v>11</v>
      </c>
      <c r="O4" s="3">
        <f t="shared" si="1"/>
        <v>12</v>
      </c>
      <c r="P4" s="4" t="s">
        <v>5</v>
      </c>
      <c r="R4" s="3">
        <v>1.0</v>
      </c>
      <c r="S4" s="3">
        <f t="shared" ref="S4:AC4" si="2">+R4+1</f>
        <v>2</v>
      </c>
      <c r="T4" s="3">
        <f t="shared" si="2"/>
        <v>3</v>
      </c>
      <c r="U4" s="3">
        <f t="shared" si="2"/>
        <v>4</v>
      </c>
      <c r="V4" s="3">
        <f t="shared" si="2"/>
        <v>5</v>
      </c>
      <c r="W4" s="3">
        <f t="shared" si="2"/>
        <v>6</v>
      </c>
      <c r="X4" s="3">
        <f t="shared" si="2"/>
        <v>7</v>
      </c>
      <c r="Y4" s="3">
        <f t="shared" si="2"/>
        <v>8</v>
      </c>
      <c r="Z4" s="3">
        <f t="shared" si="2"/>
        <v>9</v>
      </c>
      <c r="AA4" s="3">
        <f t="shared" si="2"/>
        <v>10</v>
      </c>
      <c r="AB4" s="3">
        <f t="shared" si="2"/>
        <v>11</v>
      </c>
      <c r="AC4" s="3">
        <f t="shared" si="2"/>
        <v>12</v>
      </c>
      <c r="AD4" s="4" t="s">
        <v>5</v>
      </c>
      <c r="AF4" s="3">
        <v>1.0</v>
      </c>
      <c r="AG4" s="3">
        <f t="shared" ref="AG4:AQ4" si="3">+AF4+1</f>
        <v>2</v>
      </c>
      <c r="AH4" s="3">
        <f t="shared" si="3"/>
        <v>3</v>
      </c>
      <c r="AI4" s="3">
        <f t="shared" si="3"/>
        <v>4</v>
      </c>
      <c r="AJ4" s="3">
        <f t="shared" si="3"/>
        <v>5</v>
      </c>
      <c r="AK4" s="3">
        <f t="shared" si="3"/>
        <v>6</v>
      </c>
      <c r="AL4" s="3">
        <f t="shared" si="3"/>
        <v>7</v>
      </c>
      <c r="AM4" s="3">
        <f t="shared" si="3"/>
        <v>8</v>
      </c>
      <c r="AN4" s="3">
        <f t="shared" si="3"/>
        <v>9</v>
      </c>
      <c r="AO4" s="3">
        <f t="shared" si="3"/>
        <v>10</v>
      </c>
      <c r="AP4" s="3">
        <f t="shared" si="3"/>
        <v>11</v>
      </c>
      <c r="AQ4" s="3">
        <f t="shared" si="3"/>
        <v>12</v>
      </c>
      <c r="AR4" s="4" t="s">
        <v>5</v>
      </c>
      <c r="AT4" s="3">
        <v>1.0</v>
      </c>
      <c r="AU4" s="3">
        <f t="shared" ref="AU4:BE4" si="4">+AT4+1</f>
        <v>2</v>
      </c>
      <c r="AV4" s="3">
        <f t="shared" si="4"/>
        <v>3</v>
      </c>
      <c r="AW4" s="3">
        <f t="shared" si="4"/>
        <v>4</v>
      </c>
      <c r="AX4" s="3">
        <f t="shared" si="4"/>
        <v>5</v>
      </c>
      <c r="AY4" s="3">
        <f t="shared" si="4"/>
        <v>6</v>
      </c>
      <c r="AZ4" s="3">
        <f t="shared" si="4"/>
        <v>7</v>
      </c>
      <c r="BA4" s="3">
        <f t="shared" si="4"/>
        <v>8</v>
      </c>
      <c r="BB4" s="3">
        <f t="shared" si="4"/>
        <v>9</v>
      </c>
      <c r="BC4" s="3">
        <f t="shared" si="4"/>
        <v>10</v>
      </c>
      <c r="BD4" s="3">
        <f t="shared" si="4"/>
        <v>11</v>
      </c>
      <c r="BE4" s="3">
        <f t="shared" si="4"/>
        <v>12</v>
      </c>
      <c r="BF4" s="4" t="s">
        <v>5</v>
      </c>
      <c r="BH4" s="3">
        <v>1.0</v>
      </c>
      <c r="BI4" s="3">
        <f t="shared" ref="BI4:BS4" si="5">+BH4+1</f>
        <v>2</v>
      </c>
      <c r="BJ4" s="3">
        <f t="shared" si="5"/>
        <v>3</v>
      </c>
      <c r="BK4" s="3">
        <f t="shared" si="5"/>
        <v>4</v>
      </c>
      <c r="BL4" s="3">
        <f t="shared" si="5"/>
        <v>5</v>
      </c>
      <c r="BM4" s="3">
        <f t="shared" si="5"/>
        <v>6</v>
      </c>
      <c r="BN4" s="3">
        <f t="shared" si="5"/>
        <v>7</v>
      </c>
      <c r="BO4" s="3">
        <f t="shared" si="5"/>
        <v>8</v>
      </c>
      <c r="BP4" s="3">
        <f t="shared" si="5"/>
        <v>9</v>
      </c>
      <c r="BQ4" s="3">
        <f t="shared" si="5"/>
        <v>10</v>
      </c>
      <c r="BR4" s="3">
        <f t="shared" si="5"/>
        <v>11</v>
      </c>
      <c r="BS4" s="3">
        <f t="shared" si="5"/>
        <v>12</v>
      </c>
      <c r="BT4" s="4" t="s">
        <v>5</v>
      </c>
      <c r="BV4" s="3">
        <v>1.0</v>
      </c>
      <c r="BW4" s="3">
        <f t="shared" ref="BW4:CF4" si="6">+BV4+1</f>
        <v>2</v>
      </c>
      <c r="BX4" s="3">
        <f t="shared" si="6"/>
        <v>3</v>
      </c>
      <c r="BY4" s="3">
        <f t="shared" si="6"/>
        <v>4</v>
      </c>
      <c r="BZ4" s="3">
        <f t="shared" si="6"/>
        <v>5</v>
      </c>
      <c r="CA4" s="3">
        <f t="shared" si="6"/>
        <v>6</v>
      </c>
      <c r="CB4" s="3">
        <f t="shared" si="6"/>
        <v>7</v>
      </c>
      <c r="CC4" s="3">
        <f t="shared" si="6"/>
        <v>8</v>
      </c>
      <c r="CD4" s="3">
        <f t="shared" si="6"/>
        <v>9</v>
      </c>
      <c r="CE4" s="3">
        <f t="shared" si="6"/>
        <v>10</v>
      </c>
      <c r="CF4" s="3">
        <f t="shared" si="6"/>
        <v>11</v>
      </c>
      <c r="CG4" s="3">
        <f>+CE4+1</f>
        <v>11</v>
      </c>
      <c r="CH4" s="4" t="s">
        <v>5</v>
      </c>
    </row>
    <row r="5" ht="20.25" customHeight="1">
      <c r="B5" s="2" t="s">
        <v>6</v>
      </c>
      <c r="C5" s="2"/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9</v>
      </c>
      <c r="K5" s="3" t="s">
        <v>9</v>
      </c>
      <c r="L5" s="3" t="s">
        <v>9</v>
      </c>
      <c r="M5" s="3" t="s">
        <v>10</v>
      </c>
      <c r="N5" s="3" t="s">
        <v>10</v>
      </c>
      <c r="O5" s="3" t="s">
        <v>10</v>
      </c>
      <c r="P5" s="4"/>
      <c r="R5" s="3" t="s">
        <v>7</v>
      </c>
      <c r="S5" s="3" t="s">
        <v>7</v>
      </c>
      <c r="T5" s="3" t="s">
        <v>7</v>
      </c>
      <c r="U5" s="3" t="s">
        <v>8</v>
      </c>
      <c r="V5" s="3" t="s">
        <v>8</v>
      </c>
      <c r="W5" s="3" t="s">
        <v>8</v>
      </c>
      <c r="X5" s="3" t="s">
        <v>9</v>
      </c>
      <c r="Y5" s="3" t="s">
        <v>9</v>
      </c>
      <c r="Z5" s="3" t="s">
        <v>9</v>
      </c>
      <c r="AA5" s="3" t="s">
        <v>10</v>
      </c>
      <c r="AB5" s="3" t="s">
        <v>10</v>
      </c>
      <c r="AC5" s="3" t="s">
        <v>10</v>
      </c>
      <c r="AD5" s="4"/>
      <c r="AF5" s="3" t="s">
        <v>7</v>
      </c>
      <c r="AG5" s="3" t="s">
        <v>7</v>
      </c>
      <c r="AH5" s="3" t="s">
        <v>7</v>
      </c>
      <c r="AI5" s="3" t="s">
        <v>8</v>
      </c>
      <c r="AJ5" s="3" t="s">
        <v>8</v>
      </c>
      <c r="AK5" s="3" t="s">
        <v>8</v>
      </c>
      <c r="AL5" s="3" t="s">
        <v>9</v>
      </c>
      <c r="AM5" s="3" t="s">
        <v>9</v>
      </c>
      <c r="AN5" s="3" t="s">
        <v>9</v>
      </c>
      <c r="AO5" s="3" t="s">
        <v>10</v>
      </c>
      <c r="AP5" s="3" t="s">
        <v>10</v>
      </c>
      <c r="AQ5" s="3" t="s">
        <v>10</v>
      </c>
      <c r="AR5" s="4"/>
      <c r="AT5" s="3" t="s">
        <v>7</v>
      </c>
      <c r="AU5" s="3" t="s">
        <v>7</v>
      </c>
      <c r="AV5" s="3" t="s">
        <v>7</v>
      </c>
      <c r="AW5" s="3" t="s">
        <v>8</v>
      </c>
      <c r="AX5" s="3" t="s">
        <v>8</v>
      </c>
      <c r="AY5" s="3" t="s">
        <v>8</v>
      </c>
      <c r="AZ5" s="3" t="s">
        <v>9</v>
      </c>
      <c r="BA5" s="3" t="s">
        <v>9</v>
      </c>
      <c r="BB5" s="3" t="s">
        <v>9</v>
      </c>
      <c r="BC5" s="3" t="s">
        <v>10</v>
      </c>
      <c r="BD5" s="3" t="s">
        <v>10</v>
      </c>
      <c r="BE5" s="3" t="s">
        <v>10</v>
      </c>
      <c r="BF5" s="4"/>
      <c r="BH5" s="3" t="s">
        <v>7</v>
      </c>
      <c r="BI5" s="3" t="s">
        <v>7</v>
      </c>
      <c r="BJ5" s="3" t="s">
        <v>7</v>
      </c>
      <c r="BK5" s="3" t="s">
        <v>8</v>
      </c>
      <c r="BL5" s="3" t="s">
        <v>8</v>
      </c>
      <c r="BM5" s="3" t="s">
        <v>8</v>
      </c>
      <c r="BN5" s="3" t="s">
        <v>9</v>
      </c>
      <c r="BO5" s="3" t="s">
        <v>9</v>
      </c>
      <c r="BP5" s="3" t="s">
        <v>9</v>
      </c>
      <c r="BQ5" s="3" t="s">
        <v>10</v>
      </c>
      <c r="BR5" s="3" t="s">
        <v>10</v>
      </c>
      <c r="BS5" s="3" t="s">
        <v>10</v>
      </c>
      <c r="BT5" s="4"/>
      <c r="BV5" s="3" t="s">
        <v>7</v>
      </c>
      <c r="BW5" s="3" t="s">
        <v>7</v>
      </c>
      <c r="BX5" s="3" t="s">
        <v>7</v>
      </c>
      <c r="BY5" s="3" t="s">
        <v>8</v>
      </c>
      <c r="BZ5" s="3" t="s">
        <v>8</v>
      </c>
      <c r="CA5" s="3" t="s">
        <v>8</v>
      </c>
      <c r="CB5" s="3" t="s">
        <v>9</v>
      </c>
      <c r="CC5" s="3" t="s">
        <v>9</v>
      </c>
      <c r="CD5" s="3" t="s">
        <v>9</v>
      </c>
      <c r="CE5" s="3" t="s">
        <v>10</v>
      </c>
      <c r="CF5" s="3" t="s">
        <v>10</v>
      </c>
      <c r="CG5" s="3" t="s">
        <v>10</v>
      </c>
      <c r="CH5" s="4"/>
    </row>
    <row r="6" ht="20.25" customHeight="1">
      <c r="B6" s="2" t="s">
        <v>11</v>
      </c>
      <c r="C6" s="2"/>
      <c r="D6" s="3">
        <f>+IF(D4&lt;=MONTH,1,0)</f>
        <v>1</v>
      </c>
      <c r="E6" s="3">
        <f>+IF(E4&lt;=MONTH,1,0)</f>
        <v>1</v>
      </c>
      <c r="F6" s="3">
        <f>+IF(F4&lt;=MONTH,1,0)</f>
        <v>1</v>
      </c>
      <c r="G6" s="3">
        <f>+IF(G4&lt;=MONTH,1,0)</f>
        <v>1</v>
      </c>
      <c r="H6" s="3">
        <f>+IF(H4&lt;=MONTH,1,0)</f>
        <v>1</v>
      </c>
      <c r="I6" s="3">
        <f>+IF(I4&lt;=MONTH,1,0)</f>
        <v>1</v>
      </c>
      <c r="J6" s="3">
        <f>+IF(J4&lt;=MONTH,1,0)</f>
        <v>1</v>
      </c>
      <c r="K6" s="3">
        <f>+IF(K4&lt;=MONTH,1,0)</f>
        <v>1</v>
      </c>
      <c r="L6" s="3">
        <f>+IF(L4&lt;=MONTH,1,0)</f>
        <v>1</v>
      </c>
      <c r="M6" s="3">
        <f>+IF(M4&lt;=MONTH,1,0)</f>
        <v>1</v>
      </c>
      <c r="N6" s="3">
        <f>+IF(N4&lt;=MONTH,1,0)</f>
        <v>1</v>
      </c>
      <c r="O6" s="3">
        <f>+IF(O4&lt;=MONTH,1,0)</f>
        <v>1</v>
      </c>
      <c r="P6" s="4"/>
      <c r="R6" s="3">
        <f>+IF(R4&lt;=MONTH,1,0)</f>
        <v>1</v>
      </c>
      <c r="S6" s="3">
        <f>+IF(S4&lt;=MONTH,1,0)</f>
        <v>1</v>
      </c>
      <c r="T6" s="3">
        <f>+IF(T4&lt;=MONTH,1,0)</f>
        <v>1</v>
      </c>
      <c r="U6" s="3">
        <f>+IF(U4&lt;=MONTH,1,0)</f>
        <v>1</v>
      </c>
      <c r="V6" s="3">
        <f>+IF(V4&lt;=MONTH,1,0)</f>
        <v>1</v>
      </c>
      <c r="W6" s="3">
        <f>+IF(W4&lt;=MONTH,1,0)</f>
        <v>1</v>
      </c>
      <c r="X6" s="3">
        <f>+IF(X4&lt;=MONTH,1,0)</f>
        <v>1</v>
      </c>
      <c r="Y6" s="3">
        <f>+IF(Y4&lt;=MONTH,1,0)</f>
        <v>1</v>
      </c>
      <c r="Z6" s="3">
        <f>+IF(Z4&lt;=MONTH,1,0)</f>
        <v>1</v>
      </c>
      <c r="AA6" s="3">
        <f>+IF(AA4&lt;=MONTH,1,0)</f>
        <v>1</v>
      </c>
      <c r="AB6" s="3">
        <f>+IF(AB4&lt;=MONTH,1,0)</f>
        <v>1</v>
      </c>
      <c r="AC6" s="3">
        <f>+IF(AC4&lt;=MONTH,1,0)</f>
        <v>1</v>
      </c>
      <c r="AD6" s="4"/>
      <c r="AF6" s="3">
        <f>+IF(AF4&lt;=MONTH,1,0)</f>
        <v>1</v>
      </c>
      <c r="AG6" s="3">
        <f>+IF(AG4&lt;=MONTH,1,0)</f>
        <v>1</v>
      </c>
      <c r="AH6" s="3">
        <f>+IF(AH4&lt;=MONTH,1,0)</f>
        <v>1</v>
      </c>
      <c r="AI6" s="3">
        <f>+IF(AI4&lt;=MONTH,1,0)</f>
        <v>1</v>
      </c>
      <c r="AJ6" s="3">
        <f>+IF(AJ4&lt;=MONTH,1,0)</f>
        <v>1</v>
      </c>
      <c r="AK6" s="3">
        <f>+IF(AK4&lt;=MONTH,1,0)</f>
        <v>1</v>
      </c>
      <c r="AL6" s="3">
        <f>+IF(AL4&lt;=MONTH,1,0)</f>
        <v>1</v>
      </c>
      <c r="AM6" s="3">
        <f>+IF(AM4&lt;=MONTH,1,0)</f>
        <v>1</v>
      </c>
      <c r="AN6" s="3">
        <f>+IF(AN4&lt;=MONTH,1,0)</f>
        <v>1</v>
      </c>
      <c r="AO6" s="3">
        <f>+IF(AO4&lt;=MONTH,1,0)</f>
        <v>1</v>
      </c>
      <c r="AP6" s="3">
        <f>+IF(AP4&lt;=MONTH,1,0)</f>
        <v>1</v>
      </c>
      <c r="AQ6" s="3">
        <f>+IF(AQ4&lt;=MONTH,1,0)</f>
        <v>1</v>
      </c>
      <c r="AR6" s="4"/>
      <c r="AT6" s="3">
        <f>+IF(AT4&lt;=MONTH,1,0)</f>
        <v>1</v>
      </c>
      <c r="AU6" s="3">
        <f>+IF(AU4&lt;=MONTH,1,0)</f>
        <v>1</v>
      </c>
      <c r="AV6" s="3">
        <f>+IF(AV4&lt;=MONTH,1,0)</f>
        <v>1</v>
      </c>
      <c r="AW6" s="3">
        <f>+IF(AW4&lt;=MONTH,1,0)</f>
        <v>1</v>
      </c>
      <c r="AX6" s="3">
        <f>+IF(AX4&lt;=MONTH,1,0)</f>
        <v>1</v>
      </c>
      <c r="AY6" s="3">
        <f>+IF(AY4&lt;=MONTH,1,0)</f>
        <v>1</v>
      </c>
      <c r="AZ6" s="3">
        <f>+IF(AZ4&lt;=MONTH,1,0)</f>
        <v>1</v>
      </c>
      <c r="BA6" s="3">
        <f>+IF(BA4&lt;=MONTH,1,0)</f>
        <v>1</v>
      </c>
      <c r="BB6" s="3">
        <f>+IF(BB4&lt;=MONTH,1,0)</f>
        <v>1</v>
      </c>
      <c r="BC6" s="3">
        <f>+IF(BC4&lt;=MONTH,1,0)</f>
        <v>1</v>
      </c>
      <c r="BD6" s="3">
        <f>+IF(BD4&lt;=MONTH,1,0)</f>
        <v>1</v>
      </c>
      <c r="BE6" s="3">
        <f>+IF(BE4&lt;=MONTH,1,0)</f>
        <v>1</v>
      </c>
      <c r="BF6" s="4"/>
      <c r="BH6" s="3">
        <f>+IF(BH4&lt;=MONTH,1,0)</f>
        <v>1</v>
      </c>
      <c r="BI6" s="3">
        <f>+IF(BI4&lt;=MONTH,1,0)</f>
        <v>1</v>
      </c>
      <c r="BJ6" s="3">
        <f>+IF(BJ4&lt;=MONTH,1,0)</f>
        <v>1</v>
      </c>
      <c r="BK6" s="3">
        <f>+IF(BK4&lt;=MONTH,1,0)</f>
        <v>1</v>
      </c>
      <c r="BL6" s="3">
        <f>+IF(BL4&lt;=MONTH,1,0)</f>
        <v>1</v>
      </c>
      <c r="BM6" s="3">
        <f>+IF(BM4&lt;=MONTH,1,0)</f>
        <v>1</v>
      </c>
      <c r="BN6" s="3">
        <f>+IF(BN4&lt;=MONTH,1,0)</f>
        <v>1</v>
      </c>
      <c r="BO6" s="3">
        <f>+IF(BO4&lt;=MONTH,1,0)</f>
        <v>1</v>
      </c>
      <c r="BP6" s="3">
        <f>+IF(BP4&lt;=MONTH,1,0)</f>
        <v>1</v>
      </c>
      <c r="BQ6" s="3">
        <f>+IF(BQ4&lt;=MONTH,1,0)</f>
        <v>1</v>
      </c>
      <c r="BR6" s="3">
        <f>+IF(BR4&lt;=MONTH,1,0)</f>
        <v>1</v>
      </c>
      <c r="BS6" s="3">
        <f>+IF(BS4&lt;=MONTH,1,0)</f>
        <v>1</v>
      </c>
      <c r="BT6" s="4"/>
      <c r="BV6" s="3">
        <f>+IF(BV4&lt;=MONTH,1,0)</f>
        <v>1</v>
      </c>
      <c r="BW6" s="3">
        <f>+IF(BW4&lt;=MONTH,1,0)</f>
        <v>1</v>
      </c>
      <c r="BX6" s="3">
        <f>+IF(BX4&lt;=MONTH,1,0)</f>
        <v>1</v>
      </c>
      <c r="BY6" s="3">
        <f>+IF(BY4&lt;=MONTH,1,0)</f>
        <v>1</v>
      </c>
      <c r="BZ6" s="3">
        <f>+IF(BZ4&lt;=MONTH,1,0)</f>
        <v>1</v>
      </c>
      <c r="CA6" s="3">
        <f>+IF(CA4&lt;=MONTH,1,0)</f>
        <v>1</v>
      </c>
      <c r="CB6" s="3">
        <f>+IF(CB4&lt;=MONTH,1,0)</f>
        <v>1</v>
      </c>
      <c r="CC6" s="3">
        <f>+IF(CC4&lt;=MONTH,1,0)</f>
        <v>1</v>
      </c>
      <c r="CD6" s="3">
        <f>+IF(CD4&lt;=MONTH,1,0)</f>
        <v>1</v>
      </c>
      <c r="CE6" s="3">
        <f>+IF(CE4&lt;=MONTH,1,0)</f>
        <v>1</v>
      </c>
      <c r="CF6" s="3">
        <f>+IF(CF4&lt;=MONTH,1,0)</f>
        <v>1</v>
      </c>
      <c r="CG6" s="3">
        <f>+IF(CG4&lt;=MONTH,1,0)</f>
        <v>1</v>
      </c>
      <c r="CH6" s="4"/>
    </row>
    <row r="7" ht="31.5" customHeight="1">
      <c r="P7" s="6"/>
      <c r="R7" s="65">
        <f>IND_YEAR_1</f>
        <v>0.056</v>
      </c>
      <c r="S7" s="65" t="s">
        <v>65</v>
      </c>
      <c r="AD7" s="6"/>
      <c r="AF7" s="65">
        <f>IND_YEAR_2</f>
        <v>0.051</v>
      </c>
      <c r="AG7" s="65" t="s">
        <v>65</v>
      </c>
      <c r="AR7" s="6"/>
      <c r="AT7" s="65">
        <f>IND_YEAR_3</f>
        <v>0.036</v>
      </c>
      <c r="AU7" s="65" t="s">
        <v>65</v>
      </c>
      <c r="BF7" s="6"/>
      <c r="BH7" s="65">
        <f>IND_YEAR_4</f>
        <v>0.035</v>
      </c>
      <c r="BI7" s="65" t="s">
        <v>65</v>
      </c>
      <c r="BT7" s="6"/>
      <c r="BV7" s="65">
        <f>IND_YEAR_4</f>
        <v>0.035</v>
      </c>
      <c r="BW7" s="65" t="s">
        <v>65</v>
      </c>
      <c r="CH7" s="6"/>
    </row>
    <row r="8" ht="13.5" customHeight="1">
      <c r="A8" s="62"/>
      <c r="B8" s="20" t="s">
        <v>66</v>
      </c>
      <c r="C8" s="20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9"/>
      <c r="Q8" s="66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9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9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9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9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9"/>
      <c r="CI8" s="62"/>
    </row>
    <row r="9" ht="13.5" customHeight="1">
      <c r="P9" s="6"/>
      <c r="AD9" s="6"/>
      <c r="AR9" s="6"/>
      <c r="BF9" s="6"/>
      <c r="BT9" s="6"/>
      <c r="CH9" s="6"/>
    </row>
    <row r="10" ht="21.75" customHeight="1">
      <c r="A10" s="68"/>
      <c r="B10" s="68"/>
      <c r="C10" s="68"/>
      <c r="D10" s="22">
        <f t="shared" ref="D10:P10" si="7">+D2</f>
        <v>2025</v>
      </c>
      <c r="E10" s="22">
        <f t="shared" si="7"/>
        <v>2025</v>
      </c>
      <c r="F10" s="22">
        <f t="shared" si="7"/>
        <v>2025</v>
      </c>
      <c r="G10" s="22">
        <f t="shared" si="7"/>
        <v>2025</v>
      </c>
      <c r="H10" s="22">
        <f t="shared" si="7"/>
        <v>2025</v>
      </c>
      <c r="I10" s="22">
        <f t="shared" si="7"/>
        <v>2025</v>
      </c>
      <c r="J10" s="22">
        <f t="shared" si="7"/>
        <v>2025</v>
      </c>
      <c r="K10" s="22">
        <f t="shared" si="7"/>
        <v>2025</v>
      </c>
      <c r="L10" s="22">
        <f t="shared" si="7"/>
        <v>2025</v>
      </c>
      <c r="M10" s="22">
        <f t="shared" si="7"/>
        <v>2025</v>
      </c>
      <c r="N10" s="22">
        <f t="shared" si="7"/>
        <v>2025</v>
      </c>
      <c r="O10" s="22">
        <f t="shared" si="7"/>
        <v>2025</v>
      </c>
      <c r="P10" s="21">
        <f t="shared" si="7"/>
        <v>2025</v>
      </c>
      <c r="Q10" s="68"/>
      <c r="R10" s="22">
        <f t="shared" ref="R10:AD10" si="8">+R2</f>
        <v>2026</v>
      </c>
      <c r="S10" s="22">
        <f t="shared" si="8"/>
        <v>2026</v>
      </c>
      <c r="T10" s="22">
        <f t="shared" si="8"/>
        <v>2026</v>
      </c>
      <c r="U10" s="22">
        <f t="shared" si="8"/>
        <v>2026</v>
      </c>
      <c r="V10" s="22">
        <f t="shared" si="8"/>
        <v>2026</v>
      </c>
      <c r="W10" s="22">
        <f t="shared" si="8"/>
        <v>2026</v>
      </c>
      <c r="X10" s="22">
        <f t="shared" si="8"/>
        <v>2026</v>
      </c>
      <c r="Y10" s="22">
        <f t="shared" si="8"/>
        <v>2026</v>
      </c>
      <c r="Z10" s="22">
        <f t="shared" si="8"/>
        <v>2026</v>
      </c>
      <c r="AA10" s="22">
        <f t="shared" si="8"/>
        <v>2026</v>
      </c>
      <c r="AB10" s="22">
        <f t="shared" si="8"/>
        <v>2026</v>
      </c>
      <c r="AC10" s="22">
        <f t="shared" si="8"/>
        <v>2026</v>
      </c>
      <c r="AD10" s="21">
        <f t="shared" si="8"/>
        <v>2026</v>
      </c>
      <c r="AE10" s="68"/>
      <c r="AF10" s="22">
        <f t="shared" ref="AF10:AR10" si="9">+AF2</f>
        <v>2027</v>
      </c>
      <c r="AG10" s="22">
        <f t="shared" si="9"/>
        <v>2027</v>
      </c>
      <c r="AH10" s="22">
        <f t="shared" si="9"/>
        <v>2027</v>
      </c>
      <c r="AI10" s="22">
        <f t="shared" si="9"/>
        <v>2027</v>
      </c>
      <c r="AJ10" s="22">
        <f t="shared" si="9"/>
        <v>2027</v>
      </c>
      <c r="AK10" s="22">
        <f t="shared" si="9"/>
        <v>2027</v>
      </c>
      <c r="AL10" s="22">
        <f t="shared" si="9"/>
        <v>2027</v>
      </c>
      <c r="AM10" s="22">
        <f t="shared" si="9"/>
        <v>2027</v>
      </c>
      <c r="AN10" s="22">
        <f t="shared" si="9"/>
        <v>2027</v>
      </c>
      <c r="AO10" s="22">
        <f t="shared" si="9"/>
        <v>2027</v>
      </c>
      <c r="AP10" s="22">
        <f t="shared" si="9"/>
        <v>2027</v>
      </c>
      <c r="AQ10" s="22">
        <f t="shared" si="9"/>
        <v>2027</v>
      </c>
      <c r="AR10" s="21">
        <f t="shared" si="9"/>
        <v>2027</v>
      </c>
      <c r="AS10" s="68"/>
      <c r="AT10" s="22">
        <f t="shared" ref="AT10:BF10" si="10">+AT2</f>
        <v>2028</v>
      </c>
      <c r="AU10" s="22">
        <f t="shared" si="10"/>
        <v>2028</v>
      </c>
      <c r="AV10" s="22">
        <f t="shared" si="10"/>
        <v>2028</v>
      </c>
      <c r="AW10" s="22">
        <f t="shared" si="10"/>
        <v>2028</v>
      </c>
      <c r="AX10" s="22">
        <f t="shared" si="10"/>
        <v>2028</v>
      </c>
      <c r="AY10" s="22">
        <f t="shared" si="10"/>
        <v>2028</v>
      </c>
      <c r="AZ10" s="22">
        <f t="shared" si="10"/>
        <v>2028</v>
      </c>
      <c r="BA10" s="22">
        <f t="shared" si="10"/>
        <v>2028</v>
      </c>
      <c r="BB10" s="22">
        <f t="shared" si="10"/>
        <v>2028</v>
      </c>
      <c r="BC10" s="22">
        <f t="shared" si="10"/>
        <v>2028</v>
      </c>
      <c r="BD10" s="22">
        <f t="shared" si="10"/>
        <v>2028</v>
      </c>
      <c r="BE10" s="22">
        <f t="shared" si="10"/>
        <v>2028</v>
      </c>
      <c r="BF10" s="21">
        <f t="shared" si="10"/>
        <v>2028</v>
      </c>
      <c r="BG10" s="68"/>
      <c r="BH10" s="22">
        <f t="shared" ref="BH10:BT10" si="11">+BH2</f>
        <v>2029</v>
      </c>
      <c r="BI10" s="22">
        <f t="shared" si="11"/>
        <v>2029</v>
      </c>
      <c r="BJ10" s="22">
        <f t="shared" si="11"/>
        <v>2029</v>
      </c>
      <c r="BK10" s="22">
        <f t="shared" si="11"/>
        <v>2029</v>
      </c>
      <c r="BL10" s="22">
        <f t="shared" si="11"/>
        <v>2029</v>
      </c>
      <c r="BM10" s="22">
        <f t="shared" si="11"/>
        <v>2029</v>
      </c>
      <c r="BN10" s="22">
        <f t="shared" si="11"/>
        <v>2029</v>
      </c>
      <c r="BO10" s="22">
        <f t="shared" si="11"/>
        <v>2029</v>
      </c>
      <c r="BP10" s="22">
        <f t="shared" si="11"/>
        <v>2029</v>
      </c>
      <c r="BQ10" s="22">
        <f t="shared" si="11"/>
        <v>2029</v>
      </c>
      <c r="BR10" s="22">
        <f t="shared" si="11"/>
        <v>2029</v>
      </c>
      <c r="BS10" s="22">
        <f t="shared" si="11"/>
        <v>2029</v>
      </c>
      <c r="BT10" s="21">
        <f t="shared" si="11"/>
        <v>2029</v>
      </c>
      <c r="BU10" s="68"/>
      <c r="BV10" s="22">
        <f t="shared" ref="BV10:CH10" si="12">+BV2</f>
        <v>2030</v>
      </c>
      <c r="BW10" s="22">
        <f t="shared" si="12"/>
        <v>2030</v>
      </c>
      <c r="BX10" s="22">
        <f t="shared" si="12"/>
        <v>2030</v>
      </c>
      <c r="BY10" s="22">
        <f t="shared" si="12"/>
        <v>2030</v>
      </c>
      <c r="BZ10" s="22">
        <f t="shared" si="12"/>
        <v>2030</v>
      </c>
      <c r="CA10" s="22">
        <f t="shared" si="12"/>
        <v>2030</v>
      </c>
      <c r="CB10" s="22">
        <f t="shared" si="12"/>
        <v>2030</v>
      </c>
      <c r="CC10" s="22">
        <f t="shared" si="12"/>
        <v>2030</v>
      </c>
      <c r="CD10" s="22">
        <f t="shared" si="12"/>
        <v>2030</v>
      </c>
      <c r="CE10" s="22">
        <f t="shared" si="12"/>
        <v>2030</v>
      </c>
      <c r="CF10" s="22">
        <f t="shared" si="12"/>
        <v>2030</v>
      </c>
      <c r="CG10" s="22">
        <f t="shared" si="12"/>
        <v>2030</v>
      </c>
      <c r="CH10" s="21">
        <f t="shared" si="12"/>
        <v>2030</v>
      </c>
      <c r="CI10" s="68"/>
    </row>
    <row r="11" ht="21.75" customHeight="1">
      <c r="A11" s="68"/>
      <c r="B11" s="68"/>
      <c r="C11" s="68"/>
      <c r="D11" s="22" t="s">
        <v>14</v>
      </c>
      <c r="E11" s="22" t="s">
        <v>15</v>
      </c>
      <c r="F11" s="22" t="s">
        <v>16</v>
      </c>
      <c r="G11" s="22" t="s">
        <v>17</v>
      </c>
      <c r="H11" s="22" t="s">
        <v>18</v>
      </c>
      <c r="I11" s="22" t="s">
        <v>19</v>
      </c>
      <c r="J11" s="22" t="s">
        <v>20</v>
      </c>
      <c r="K11" s="22" t="s">
        <v>21</v>
      </c>
      <c r="L11" s="22" t="s">
        <v>22</v>
      </c>
      <c r="M11" s="22" t="s">
        <v>23</v>
      </c>
      <c r="N11" s="22" t="s">
        <v>24</v>
      </c>
      <c r="O11" s="22" t="s">
        <v>25</v>
      </c>
      <c r="P11" s="21" t="s">
        <v>5</v>
      </c>
      <c r="Q11" s="68"/>
      <c r="R11" s="22" t="s">
        <v>14</v>
      </c>
      <c r="S11" s="22" t="s">
        <v>15</v>
      </c>
      <c r="T11" s="22" t="s">
        <v>16</v>
      </c>
      <c r="U11" s="22" t="s">
        <v>17</v>
      </c>
      <c r="V11" s="22" t="s">
        <v>18</v>
      </c>
      <c r="W11" s="22" t="s">
        <v>19</v>
      </c>
      <c r="X11" s="22" t="s">
        <v>20</v>
      </c>
      <c r="Y11" s="22" t="s">
        <v>21</v>
      </c>
      <c r="Z11" s="22" t="s">
        <v>22</v>
      </c>
      <c r="AA11" s="22" t="s">
        <v>23</v>
      </c>
      <c r="AB11" s="22" t="s">
        <v>24</v>
      </c>
      <c r="AC11" s="22" t="s">
        <v>25</v>
      </c>
      <c r="AD11" s="21" t="s">
        <v>5</v>
      </c>
      <c r="AE11" s="68"/>
      <c r="AF11" s="22" t="s">
        <v>14</v>
      </c>
      <c r="AG11" s="22" t="s">
        <v>15</v>
      </c>
      <c r="AH11" s="22" t="s">
        <v>16</v>
      </c>
      <c r="AI11" s="22" t="s">
        <v>17</v>
      </c>
      <c r="AJ11" s="22" t="s">
        <v>18</v>
      </c>
      <c r="AK11" s="22" t="s">
        <v>19</v>
      </c>
      <c r="AL11" s="22" t="s">
        <v>20</v>
      </c>
      <c r="AM11" s="22" t="s">
        <v>21</v>
      </c>
      <c r="AN11" s="22" t="s">
        <v>22</v>
      </c>
      <c r="AO11" s="22" t="s">
        <v>23</v>
      </c>
      <c r="AP11" s="22" t="s">
        <v>24</v>
      </c>
      <c r="AQ11" s="22" t="s">
        <v>25</v>
      </c>
      <c r="AR11" s="21" t="s">
        <v>5</v>
      </c>
      <c r="AS11" s="68"/>
      <c r="AT11" s="22" t="s">
        <v>14</v>
      </c>
      <c r="AU11" s="22" t="s">
        <v>15</v>
      </c>
      <c r="AV11" s="22" t="s">
        <v>16</v>
      </c>
      <c r="AW11" s="22" t="s">
        <v>17</v>
      </c>
      <c r="AX11" s="22" t="s">
        <v>18</v>
      </c>
      <c r="AY11" s="22" t="s">
        <v>19</v>
      </c>
      <c r="AZ11" s="22" t="s">
        <v>20</v>
      </c>
      <c r="BA11" s="22" t="s">
        <v>21</v>
      </c>
      <c r="BB11" s="22" t="s">
        <v>22</v>
      </c>
      <c r="BC11" s="22" t="s">
        <v>23</v>
      </c>
      <c r="BD11" s="22" t="s">
        <v>24</v>
      </c>
      <c r="BE11" s="22" t="s">
        <v>25</v>
      </c>
      <c r="BF11" s="21" t="s">
        <v>5</v>
      </c>
      <c r="BG11" s="68"/>
      <c r="BH11" s="22" t="s">
        <v>14</v>
      </c>
      <c r="BI11" s="22" t="s">
        <v>15</v>
      </c>
      <c r="BJ11" s="22" t="s">
        <v>16</v>
      </c>
      <c r="BK11" s="22" t="s">
        <v>17</v>
      </c>
      <c r="BL11" s="22" t="s">
        <v>18</v>
      </c>
      <c r="BM11" s="22" t="s">
        <v>19</v>
      </c>
      <c r="BN11" s="22" t="s">
        <v>20</v>
      </c>
      <c r="BO11" s="22" t="s">
        <v>21</v>
      </c>
      <c r="BP11" s="22" t="s">
        <v>22</v>
      </c>
      <c r="BQ11" s="22" t="s">
        <v>23</v>
      </c>
      <c r="BR11" s="22" t="s">
        <v>24</v>
      </c>
      <c r="BS11" s="22" t="s">
        <v>25</v>
      </c>
      <c r="BT11" s="21" t="s">
        <v>5</v>
      </c>
      <c r="BU11" s="68"/>
      <c r="BV11" s="22" t="s">
        <v>14</v>
      </c>
      <c r="BW11" s="22" t="s">
        <v>15</v>
      </c>
      <c r="BX11" s="22" t="s">
        <v>16</v>
      </c>
      <c r="BY11" s="22" t="s">
        <v>17</v>
      </c>
      <c r="BZ11" s="22" t="s">
        <v>18</v>
      </c>
      <c r="CA11" s="22" t="s">
        <v>19</v>
      </c>
      <c r="CB11" s="22" t="s">
        <v>20</v>
      </c>
      <c r="CC11" s="22" t="s">
        <v>21</v>
      </c>
      <c r="CD11" s="22" t="s">
        <v>22</v>
      </c>
      <c r="CE11" s="22" t="s">
        <v>23</v>
      </c>
      <c r="CF11" s="22" t="s">
        <v>24</v>
      </c>
      <c r="CG11" s="22" t="s">
        <v>25</v>
      </c>
      <c r="CH11" s="21" t="s">
        <v>5</v>
      </c>
      <c r="CI11" s="68"/>
    </row>
    <row r="12" ht="19.5" customHeight="1">
      <c r="A12" s="68"/>
      <c r="B12" s="69" t="s">
        <v>108</v>
      </c>
      <c r="C12" s="69" t="s">
        <v>109</v>
      </c>
      <c r="D12" s="72">
        <v>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2">
        <v>0.0</v>
      </c>
      <c r="K12" s="72">
        <v>0.0</v>
      </c>
      <c r="L12" s="72">
        <v>0.0</v>
      </c>
      <c r="M12" s="75">
        <v>-7500.0</v>
      </c>
      <c r="N12" s="72">
        <v>0.0</v>
      </c>
      <c r="O12" s="75">
        <v>-7500.0</v>
      </c>
      <c r="P12" s="71">
        <f t="shared" ref="P12:P18" si="21">SUM(D12:O12)</f>
        <v>-15000</v>
      </c>
      <c r="Q12" s="68"/>
      <c r="R12" s="72">
        <f t="shared" ref="R12:S12" si="13">D12*(1+$R$7)</f>
        <v>0</v>
      </c>
      <c r="S12" s="72">
        <f t="shared" si="13"/>
        <v>0</v>
      </c>
      <c r="T12" s="75">
        <v>-7500.0</v>
      </c>
      <c r="U12" s="72">
        <f t="shared" ref="U12:V12" si="14">G12*(1+$R$7)</f>
        <v>0</v>
      </c>
      <c r="V12" s="72">
        <f t="shared" si="14"/>
        <v>0</v>
      </c>
      <c r="W12" s="75">
        <v>-5000.0</v>
      </c>
      <c r="X12" s="72">
        <f t="shared" ref="X12:AC12" si="15">J12*(1+$R$7)</f>
        <v>0</v>
      </c>
      <c r="Y12" s="72">
        <f t="shared" si="15"/>
        <v>0</v>
      </c>
      <c r="Z12" s="72">
        <f t="shared" si="15"/>
        <v>0</v>
      </c>
      <c r="AA12" s="72">
        <f t="shared" si="15"/>
        <v>-7920</v>
      </c>
      <c r="AB12" s="72">
        <f t="shared" si="15"/>
        <v>0</v>
      </c>
      <c r="AC12" s="72">
        <f t="shared" si="15"/>
        <v>-7920</v>
      </c>
      <c r="AD12" s="71">
        <f t="shared" ref="AD12:AD18" si="23">SUM(R12:AC12)</f>
        <v>-28340</v>
      </c>
      <c r="AE12" s="68"/>
      <c r="AF12" s="72">
        <f t="shared" ref="AF12:AQ12" si="16">R12*(1+$AF$7)</f>
        <v>0</v>
      </c>
      <c r="AG12" s="72">
        <f t="shared" si="16"/>
        <v>0</v>
      </c>
      <c r="AH12" s="72">
        <f t="shared" si="16"/>
        <v>-7882.5</v>
      </c>
      <c r="AI12" s="72">
        <f t="shared" si="16"/>
        <v>0</v>
      </c>
      <c r="AJ12" s="72">
        <f t="shared" si="16"/>
        <v>0</v>
      </c>
      <c r="AK12" s="72">
        <f t="shared" si="16"/>
        <v>-5255</v>
      </c>
      <c r="AL12" s="72">
        <f t="shared" si="16"/>
        <v>0</v>
      </c>
      <c r="AM12" s="72">
        <f t="shared" si="16"/>
        <v>0</v>
      </c>
      <c r="AN12" s="72">
        <f t="shared" si="16"/>
        <v>0</v>
      </c>
      <c r="AO12" s="72">
        <f t="shared" si="16"/>
        <v>-8323.92</v>
      </c>
      <c r="AP12" s="72">
        <f t="shared" si="16"/>
        <v>0</v>
      </c>
      <c r="AQ12" s="72">
        <f t="shared" si="16"/>
        <v>-8323.92</v>
      </c>
      <c r="AR12" s="71">
        <f t="shared" ref="AR12:AR18" si="25">SUM(AF12:AQ12)</f>
        <v>-29785.34</v>
      </c>
      <c r="AS12" s="73"/>
      <c r="AT12" s="72">
        <f t="shared" ref="AT12:BE12" si="17">AF12*(1+$AF$7)</f>
        <v>0</v>
      </c>
      <c r="AU12" s="72">
        <f t="shared" si="17"/>
        <v>0</v>
      </c>
      <c r="AV12" s="72">
        <f t="shared" si="17"/>
        <v>-8284.5075</v>
      </c>
      <c r="AW12" s="72">
        <f t="shared" si="17"/>
        <v>0</v>
      </c>
      <c r="AX12" s="72">
        <f t="shared" si="17"/>
        <v>0</v>
      </c>
      <c r="AY12" s="72">
        <f t="shared" si="17"/>
        <v>-5523.005</v>
      </c>
      <c r="AZ12" s="72">
        <f t="shared" si="17"/>
        <v>0</v>
      </c>
      <c r="BA12" s="72">
        <f t="shared" si="17"/>
        <v>0</v>
      </c>
      <c r="BB12" s="72">
        <f t="shared" si="17"/>
        <v>0</v>
      </c>
      <c r="BC12" s="72">
        <f t="shared" si="17"/>
        <v>-8748.43992</v>
      </c>
      <c r="BD12" s="72">
        <f t="shared" si="17"/>
        <v>0</v>
      </c>
      <c r="BE12" s="72">
        <f t="shared" si="17"/>
        <v>-8748.43992</v>
      </c>
      <c r="BF12" s="71">
        <f t="shared" ref="BF12:BF18" si="27">SUM(AT12:BE12)</f>
        <v>-31304.39234</v>
      </c>
      <c r="BG12" s="73"/>
      <c r="BH12" s="72">
        <f t="shared" ref="BH12:BS12" si="18">AT12*(1+$AF$7)</f>
        <v>0</v>
      </c>
      <c r="BI12" s="72">
        <f t="shared" si="18"/>
        <v>0</v>
      </c>
      <c r="BJ12" s="72">
        <f t="shared" si="18"/>
        <v>-8707.017383</v>
      </c>
      <c r="BK12" s="72">
        <f t="shared" si="18"/>
        <v>0</v>
      </c>
      <c r="BL12" s="72">
        <f t="shared" si="18"/>
        <v>0</v>
      </c>
      <c r="BM12" s="72">
        <f t="shared" si="18"/>
        <v>-5804.678255</v>
      </c>
      <c r="BN12" s="72">
        <f t="shared" si="18"/>
        <v>0</v>
      </c>
      <c r="BO12" s="72">
        <f t="shared" si="18"/>
        <v>0</v>
      </c>
      <c r="BP12" s="72">
        <f t="shared" si="18"/>
        <v>0</v>
      </c>
      <c r="BQ12" s="72">
        <f t="shared" si="18"/>
        <v>-9194.610356</v>
      </c>
      <c r="BR12" s="72">
        <f t="shared" si="18"/>
        <v>0</v>
      </c>
      <c r="BS12" s="72">
        <f t="shared" si="18"/>
        <v>-9194.610356</v>
      </c>
      <c r="BT12" s="71">
        <f t="shared" ref="BT12:BT18" si="29">SUM(BH12:BS12)</f>
        <v>-32900.91635</v>
      </c>
      <c r="BU12" s="73"/>
      <c r="BV12" s="72">
        <f t="shared" ref="BV12:CG12" si="19">BH12*(1+$AF$7)</f>
        <v>0</v>
      </c>
      <c r="BW12" s="72">
        <f t="shared" si="19"/>
        <v>0</v>
      </c>
      <c r="BX12" s="72">
        <f t="shared" si="19"/>
        <v>-9151.075269</v>
      </c>
      <c r="BY12" s="72">
        <f t="shared" si="19"/>
        <v>0</v>
      </c>
      <c r="BZ12" s="72">
        <f t="shared" si="19"/>
        <v>0</v>
      </c>
      <c r="CA12" s="72">
        <f t="shared" si="19"/>
        <v>-6100.716846</v>
      </c>
      <c r="CB12" s="72">
        <f t="shared" si="19"/>
        <v>0</v>
      </c>
      <c r="CC12" s="72">
        <f t="shared" si="19"/>
        <v>0</v>
      </c>
      <c r="CD12" s="72">
        <f t="shared" si="19"/>
        <v>0</v>
      </c>
      <c r="CE12" s="72">
        <f t="shared" si="19"/>
        <v>-9663.535484</v>
      </c>
      <c r="CF12" s="72">
        <f t="shared" si="19"/>
        <v>0</v>
      </c>
      <c r="CG12" s="72">
        <f t="shared" si="19"/>
        <v>-9663.535484</v>
      </c>
      <c r="CH12" s="71">
        <f t="shared" ref="CH12:CH18" si="31">SUM(BV12:CG12)</f>
        <v>-34578.86308</v>
      </c>
      <c r="CI12" s="73"/>
    </row>
    <row r="13" ht="19.5" customHeight="1">
      <c r="A13" s="68"/>
      <c r="B13" s="69" t="s">
        <v>110</v>
      </c>
      <c r="C13" s="69" t="s">
        <v>111</v>
      </c>
      <c r="D13" s="75">
        <f t="shared" ref="D13:O13" si="20">D15*0.15</f>
        <v>0</v>
      </c>
      <c r="E13" s="75">
        <f t="shared" si="20"/>
        <v>0</v>
      </c>
      <c r="F13" s="75">
        <f t="shared" si="20"/>
        <v>-2250</v>
      </c>
      <c r="G13" s="75">
        <f t="shared" si="20"/>
        <v>0</v>
      </c>
      <c r="H13" s="75">
        <f t="shared" si="20"/>
        <v>0</v>
      </c>
      <c r="I13" s="75">
        <f t="shared" si="20"/>
        <v>-2250</v>
      </c>
      <c r="J13" s="75">
        <f t="shared" si="20"/>
        <v>0</v>
      </c>
      <c r="K13" s="75">
        <f t="shared" si="20"/>
        <v>0</v>
      </c>
      <c r="L13" s="75">
        <f t="shared" si="20"/>
        <v>-2250</v>
      </c>
      <c r="M13" s="75">
        <f t="shared" si="20"/>
        <v>0</v>
      </c>
      <c r="N13" s="75">
        <f t="shared" si="20"/>
        <v>0</v>
      </c>
      <c r="O13" s="75">
        <f t="shared" si="20"/>
        <v>-2250</v>
      </c>
      <c r="P13" s="71">
        <f t="shared" si="21"/>
        <v>-9000</v>
      </c>
      <c r="Q13" s="68"/>
      <c r="R13" s="72">
        <f t="shared" ref="R13:AC13" si="22">D13*(1+$R$7)</f>
        <v>0</v>
      </c>
      <c r="S13" s="72">
        <f t="shared" si="22"/>
        <v>0</v>
      </c>
      <c r="T13" s="72">
        <f t="shared" si="22"/>
        <v>-2376</v>
      </c>
      <c r="U13" s="72">
        <f t="shared" si="22"/>
        <v>0</v>
      </c>
      <c r="V13" s="72">
        <f t="shared" si="22"/>
        <v>0</v>
      </c>
      <c r="W13" s="72">
        <f t="shared" si="22"/>
        <v>-2376</v>
      </c>
      <c r="X13" s="72">
        <f t="shared" si="22"/>
        <v>0</v>
      </c>
      <c r="Y13" s="72">
        <f t="shared" si="22"/>
        <v>0</v>
      </c>
      <c r="Z13" s="72">
        <f t="shared" si="22"/>
        <v>-2376</v>
      </c>
      <c r="AA13" s="72">
        <f t="shared" si="22"/>
        <v>0</v>
      </c>
      <c r="AB13" s="72">
        <f t="shared" si="22"/>
        <v>0</v>
      </c>
      <c r="AC13" s="72">
        <f t="shared" si="22"/>
        <v>-2376</v>
      </c>
      <c r="AD13" s="71">
        <f t="shared" si="23"/>
        <v>-9504</v>
      </c>
      <c r="AE13" s="68"/>
      <c r="AF13" s="72">
        <f t="shared" ref="AF13:AQ13" si="24">R13*(1+$AF$7)</f>
        <v>0</v>
      </c>
      <c r="AG13" s="72">
        <f t="shared" si="24"/>
        <v>0</v>
      </c>
      <c r="AH13" s="72">
        <f t="shared" si="24"/>
        <v>-2497.176</v>
      </c>
      <c r="AI13" s="72">
        <f t="shared" si="24"/>
        <v>0</v>
      </c>
      <c r="AJ13" s="72">
        <f t="shared" si="24"/>
        <v>0</v>
      </c>
      <c r="AK13" s="72">
        <f t="shared" si="24"/>
        <v>-2497.176</v>
      </c>
      <c r="AL13" s="72">
        <f t="shared" si="24"/>
        <v>0</v>
      </c>
      <c r="AM13" s="72">
        <f t="shared" si="24"/>
        <v>0</v>
      </c>
      <c r="AN13" s="72">
        <f t="shared" si="24"/>
        <v>-2497.176</v>
      </c>
      <c r="AO13" s="72">
        <f t="shared" si="24"/>
        <v>0</v>
      </c>
      <c r="AP13" s="72">
        <f t="shared" si="24"/>
        <v>0</v>
      </c>
      <c r="AQ13" s="72">
        <f t="shared" si="24"/>
        <v>-2497.176</v>
      </c>
      <c r="AR13" s="71">
        <f t="shared" si="25"/>
        <v>-9988.704</v>
      </c>
      <c r="AS13" s="73"/>
      <c r="AT13" s="72">
        <f t="shared" ref="AT13:BE13" si="26">AF13*(1+$AF$7)</f>
        <v>0</v>
      </c>
      <c r="AU13" s="72">
        <f t="shared" si="26"/>
        <v>0</v>
      </c>
      <c r="AV13" s="72">
        <f t="shared" si="26"/>
        <v>-2624.531976</v>
      </c>
      <c r="AW13" s="72">
        <f t="shared" si="26"/>
        <v>0</v>
      </c>
      <c r="AX13" s="72">
        <f t="shared" si="26"/>
        <v>0</v>
      </c>
      <c r="AY13" s="72">
        <f t="shared" si="26"/>
        <v>-2624.531976</v>
      </c>
      <c r="AZ13" s="72">
        <f t="shared" si="26"/>
        <v>0</v>
      </c>
      <c r="BA13" s="72">
        <f t="shared" si="26"/>
        <v>0</v>
      </c>
      <c r="BB13" s="72">
        <f t="shared" si="26"/>
        <v>-2624.531976</v>
      </c>
      <c r="BC13" s="72">
        <f t="shared" si="26"/>
        <v>0</v>
      </c>
      <c r="BD13" s="72">
        <f t="shared" si="26"/>
        <v>0</v>
      </c>
      <c r="BE13" s="72">
        <f t="shared" si="26"/>
        <v>-2624.531976</v>
      </c>
      <c r="BF13" s="71">
        <f t="shared" si="27"/>
        <v>-10498.1279</v>
      </c>
      <c r="BG13" s="73"/>
      <c r="BH13" s="72">
        <f t="shared" ref="BH13:BS13" si="28">AT13*(1+$AF$7)</f>
        <v>0</v>
      </c>
      <c r="BI13" s="72">
        <f t="shared" si="28"/>
        <v>0</v>
      </c>
      <c r="BJ13" s="72">
        <f t="shared" si="28"/>
        <v>-2758.383107</v>
      </c>
      <c r="BK13" s="72">
        <f t="shared" si="28"/>
        <v>0</v>
      </c>
      <c r="BL13" s="72">
        <f t="shared" si="28"/>
        <v>0</v>
      </c>
      <c r="BM13" s="72">
        <f t="shared" si="28"/>
        <v>-2758.383107</v>
      </c>
      <c r="BN13" s="72">
        <f t="shared" si="28"/>
        <v>0</v>
      </c>
      <c r="BO13" s="72">
        <f t="shared" si="28"/>
        <v>0</v>
      </c>
      <c r="BP13" s="72">
        <f t="shared" si="28"/>
        <v>-2758.383107</v>
      </c>
      <c r="BQ13" s="72">
        <f t="shared" si="28"/>
        <v>0</v>
      </c>
      <c r="BR13" s="72">
        <f t="shared" si="28"/>
        <v>0</v>
      </c>
      <c r="BS13" s="72">
        <f t="shared" si="28"/>
        <v>-2758.383107</v>
      </c>
      <c r="BT13" s="71">
        <f t="shared" si="29"/>
        <v>-11033.53243</v>
      </c>
      <c r="BU13" s="73"/>
      <c r="BV13" s="72">
        <f t="shared" ref="BV13:CG13" si="30">BH13*(1+$AF$7)</f>
        <v>0</v>
      </c>
      <c r="BW13" s="72">
        <f t="shared" si="30"/>
        <v>0</v>
      </c>
      <c r="BX13" s="72">
        <f t="shared" si="30"/>
        <v>-2899.060645</v>
      </c>
      <c r="BY13" s="72">
        <f t="shared" si="30"/>
        <v>0</v>
      </c>
      <c r="BZ13" s="72">
        <f t="shared" si="30"/>
        <v>0</v>
      </c>
      <c r="CA13" s="72">
        <f t="shared" si="30"/>
        <v>-2899.060645</v>
      </c>
      <c r="CB13" s="72">
        <f t="shared" si="30"/>
        <v>0</v>
      </c>
      <c r="CC13" s="72">
        <f t="shared" si="30"/>
        <v>0</v>
      </c>
      <c r="CD13" s="72">
        <f t="shared" si="30"/>
        <v>-2899.060645</v>
      </c>
      <c r="CE13" s="72">
        <f t="shared" si="30"/>
        <v>0</v>
      </c>
      <c r="CF13" s="72">
        <f t="shared" si="30"/>
        <v>0</v>
      </c>
      <c r="CG13" s="72">
        <f t="shared" si="30"/>
        <v>-2899.060645</v>
      </c>
      <c r="CH13" s="71">
        <f t="shared" si="31"/>
        <v>-11596.24258</v>
      </c>
      <c r="CI13" s="73"/>
    </row>
    <row r="14" ht="19.5" customHeight="1">
      <c r="A14" s="68"/>
      <c r="B14" s="69" t="s">
        <v>112</v>
      </c>
      <c r="C14" s="69" t="s">
        <v>113</v>
      </c>
      <c r="D14" s="72">
        <v>0.0</v>
      </c>
      <c r="E14" s="72">
        <v>0.0</v>
      </c>
      <c r="F14" s="72">
        <v>0.0</v>
      </c>
      <c r="G14" s="72">
        <v>0.0</v>
      </c>
      <c r="H14" s="72">
        <v>0.0</v>
      </c>
      <c r="I14" s="72">
        <v>0.0</v>
      </c>
      <c r="J14" s="72">
        <v>0.0</v>
      </c>
      <c r="K14" s="72">
        <v>0.0</v>
      </c>
      <c r="L14" s="72">
        <v>0.0</v>
      </c>
      <c r="M14" s="72">
        <v>0.0</v>
      </c>
      <c r="N14" s="72">
        <v>0.0</v>
      </c>
      <c r="O14" s="72">
        <v>0.0</v>
      </c>
      <c r="P14" s="71">
        <f t="shared" si="21"/>
        <v>0</v>
      </c>
      <c r="Q14" s="68"/>
      <c r="R14" s="72">
        <f t="shared" ref="R14:AC14" si="32">D14*(1+$R$7)</f>
        <v>0</v>
      </c>
      <c r="S14" s="72">
        <f t="shared" si="32"/>
        <v>0</v>
      </c>
      <c r="T14" s="72">
        <f t="shared" si="32"/>
        <v>0</v>
      </c>
      <c r="U14" s="72">
        <f t="shared" si="32"/>
        <v>0</v>
      </c>
      <c r="V14" s="72">
        <f t="shared" si="32"/>
        <v>0</v>
      </c>
      <c r="W14" s="72">
        <f t="shared" si="32"/>
        <v>0</v>
      </c>
      <c r="X14" s="72">
        <f t="shared" si="32"/>
        <v>0</v>
      </c>
      <c r="Y14" s="72">
        <f t="shared" si="32"/>
        <v>0</v>
      </c>
      <c r="Z14" s="72">
        <f t="shared" si="32"/>
        <v>0</v>
      </c>
      <c r="AA14" s="72">
        <f t="shared" si="32"/>
        <v>0</v>
      </c>
      <c r="AB14" s="72">
        <f t="shared" si="32"/>
        <v>0</v>
      </c>
      <c r="AC14" s="72">
        <f t="shared" si="32"/>
        <v>0</v>
      </c>
      <c r="AD14" s="71">
        <f t="shared" si="23"/>
        <v>0</v>
      </c>
      <c r="AE14" s="68"/>
      <c r="AF14" s="72">
        <f t="shared" ref="AF14:AQ14" si="33">R14*(1+$AF$7)</f>
        <v>0</v>
      </c>
      <c r="AG14" s="72">
        <f t="shared" si="33"/>
        <v>0</v>
      </c>
      <c r="AH14" s="72">
        <f t="shared" si="33"/>
        <v>0</v>
      </c>
      <c r="AI14" s="72">
        <f t="shared" si="33"/>
        <v>0</v>
      </c>
      <c r="AJ14" s="72">
        <f t="shared" si="33"/>
        <v>0</v>
      </c>
      <c r="AK14" s="72">
        <f t="shared" si="33"/>
        <v>0</v>
      </c>
      <c r="AL14" s="72">
        <f t="shared" si="33"/>
        <v>0</v>
      </c>
      <c r="AM14" s="72">
        <f t="shared" si="33"/>
        <v>0</v>
      </c>
      <c r="AN14" s="72">
        <f t="shared" si="33"/>
        <v>0</v>
      </c>
      <c r="AO14" s="72">
        <f t="shared" si="33"/>
        <v>0</v>
      </c>
      <c r="AP14" s="72">
        <f t="shared" si="33"/>
        <v>0</v>
      </c>
      <c r="AQ14" s="72">
        <f t="shared" si="33"/>
        <v>0</v>
      </c>
      <c r="AR14" s="71">
        <f t="shared" si="25"/>
        <v>0</v>
      </c>
      <c r="AS14" s="73"/>
      <c r="AT14" s="72">
        <f t="shared" ref="AT14:BE14" si="34">AF14*(1+$AF$7)</f>
        <v>0</v>
      </c>
      <c r="AU14" s="72">
        <f t="shared" si="34"/>
        <v>0</v>
      </c>
      <c r="AV14" s="72">
        <f t="shared" si="34"/>
        <v>0</v>
      </c>
      <c r="AW14" s="72">
        <f t="shared" si="34"/>
        <v>0</v>
      </c>
      <c r="AX14" s="72">
        <f t="shared" si="34"/>
        <v>0</v>
      </c>
      <c r="AY14" s="72">
        <f t="shared" si="34"/>
        <v>0</v>
      </c>
      <c r="AZ14" s="72">
        <f t="shared" si="34"/>
        <v>0</v>
      </c>
      <c r="BA14" s="72">
        <f t="shared" si="34"/>
        <v>0</v>
      </c>
      <c r="BB14" s="72">
        <f t="shared" si="34"/>
        <v>0</v>
      </c>
      <c r="BC14" s="72">
        <f t="shared" si="34"/>
        <v>0</v>
      </c>
      <c r="BD14" s="72">
        <f t="shared" si="34"/>
        <v>0</v>
      </c>
      <c r="BE14" s="72">
        <f t="shared" si="34"/>
        <v>0</v>
      </c>
      <c r="BF14" s="71">
        <f t="shared" si="27"/>
        <v>0</v>
      </c>
      <c r="BG14" s="73"/>
      <c r="BH14" s="72">
        <f t="shared" ref="BH14:BS14" si="35">AT14*(1+$AF$7)</f>
        <v>0</v>
      </c>
      <c r="BI14" s="72">
        <f t="shared" si="35"/>
        <v>0</v>
      </c>
      <c r="BJ14" s="72">
        <f t="shared" si="35"/>
        <v>0</v>
      </c>
      <c r="BK14" s="72">
        <f t="shared" si="35"/>
        <v>0</v>
      </c>
      <c r="BL14" s="72">
        <f t="shared" si="35"/>
        <v>0</v>
      </c>
      <c r="BM14" s="72">
        <f t="shared" si="35"/>
        <v>0</v>
      </c>
      <c r="BN14" s="72">
        <f t="shared" si="35"/>
        <v>0</v>
      </c>
      <c r="BO14" s="72">
        <f t="shared" si="35"/>
        <v>0</v>
      </c>
      <c r="BP14" s="72">
        <f t="shared" si="35"/>
        <v>0</v>
      </c>
      <c r="BQ14" s="72">
        <f t="shared" si="35"/>
        <v>0</v>
      </c>
      <c r="BR14" s="72">
        <f t="shared" si="35"/>
        <v>0</v>
      </c>
      <c r="BS14" s="72">
        <f t="shared" si="35"/>
        <v>0</v>
      </c>
      <c r="BT14" s="71">
        <f t="shared" si="29"/>
        <v>0</v>
      </c>
      <c r="BU14" s="73"/>
      <c r="BV14" s="72">
        <f t="shared" ref="BV14:CG14" si="36">BH14*(1+$AF$7)</f>
        <v>0</v>
      </c>
      <c r="BW14" s="72">
        <f t="shared" si="36"/>
        <v>0</v>
      </c>
      <c r="BX14" s="72">
        <f t="shared" si="36"/>
        <v>0</v>
      </c>
      <c r="BY14" s="72">
        <f t="shared" si="36"/>
        <v>0</v>
      </c>
      <c r="BZ14" s="72">
        <f t="shared" si="36"/>
        <v>0</v>
      </c>
      <c r="CA14" s="72">
        <f t="shared" si="36"/>
        <v>0</v>
      </c>
      <c r="CB14" s="72">
        <f t="shared" si="36"/>
        <v>0</v>
      </c>
      <c r="CC14" s="72">
        <f t="shared" si="36"/>
        <v>0</v>
      </c>
      <c r="CD14" s="72">
        <f t="shared" si="36"/>
        <v>0</v>
      </c>
      <c r="CE14" s="72">
        <f t="shared" si="36"/>
        <v>0</v>
      </c>
      <c r="CF14" s="72">
        <f t="shared" si="36"/>
        <v>0</v>
      </c>
      <c r="CG14" s="72">
        <f t="shared" si="36"/>
        <v>0</v>
      </c>
      <c r="CH14" s="71">
        <f t="shared" si="31"/>
        <v>0</v>
      </c>
      <c r="CI14" s="73"/>
    </row>
    <row r="15" ht="19.5" customHeight="1">
      <c r="A15" s="68"/>
      <c r="B15" s="69" t="s">
        <v>114</v>
      </c>
      <c r="C15" s="69" t="s">
        <v>115</v>
      </c>
      <c r="D15" s="72">
        <v>0.0</v>
      </c>
      <c r="E15" s="72">
        <v>0.0</v>
      </c>
      <c r="F15" s="75">
        <v>-15000.0</v>
      </c>
      <c r="G15" s="72">
        <v>0.0</v>
      </c>
      <c r="H15" s="72">
        <v>0.0</v>
      </c>
      <c r="I15" s="75">
        <v>-15000.0</v>
      </c>
      <c r="J15" s="75">
        <v>0.0</v>
      </c>
      <c r="K15" s="72">
        <v>0.0</v>
      </c>
      <c r="L15" s="75">
        <v>-15000.0</v>
      </c>
      <c r="M15" s="75">
        <v>0.0</v>
      </c>
      <c r="N15" s="72">
        <v>0.0</v>
      </c>
      <c r="O15" s="75">
        <v>-15000.0</v>
      </c>
      <c r="P15" s="71">
        <f t="shared" si="21"/>
        <v>-60000</v>
      </c>
      <c r="Q15" s="68"/>
      <c r="R15" s="72">
        <f t="shared" ref="R15:AC15" si="37">D15*(1+$R$7)</f>
        <v>0</v>
      </c>
      <c r="S15" s="72">
        <f t="shared" si="37"/>
        <v>0</v>
      </c>
      <c r="T15" s="72">
        <f t="shared" si="37"/>
        <v>-15840</v>
      </c>
      <c r="U15" s="72">
        <f t="shared" si="37"/>
        <v>0</v>
      </c>
      <c r="V15" s="72">
        <f t="shared" si="37"/>
        <v>0</v>
      </c>
      <c r="W15" s="72">
        <f t="shared" si="37"/>
        <v>-15840</v>
      </c>
      <c r="X15" s="72">
        <f t="shared" si="37"/>
        <v>0</v>
      </c>
      <c r="Y15" s="72">
        <f t="shared" si="37"/>
        <v>0</v>
      </c>
      <c r="Z15" s="72">
        <f t="shared" si="37"/>
        <v>-15840</v>
      </c>
      <c r="AA15" s="72">
        <f t="shared" si="37"/>
        <v>0</v>
      </c>
      <c r="AB15" s="72">
        <f t="shared" si="37"/>
        <v>0</v>
      </c>
      <c r="AC15" s="72">
        <f t="shared" si="37"/>
        <v>-15840</v>
      </c>
      <c r="AD15" s="71">
        <f t="shared" si="23"/>
        <v>-63360</v>
      </c>
      <c r="AE15" s="68"/>
      <c r="AF15" s="72">
        <f t="shared" ref="AF15:AQ15" si="38">R15*(1+$AF$7)</f>
        <v>0</v>
      </c>
      <c r="AG15" s="72">
        <f t="shared" si="38"/>
        <v>0</v>
      </c>
      <c r="AH15" s="72">
        <f t="shared" si="38"/>
        <v>-16647.84</v>
      </c>
      <c r="AI15" s="72">
        <f t="shared" si="38"/>
        <v>0</v>
      </c>
      <c r="AJ15" s="72">
        <f t="shared" si="38"/>
        <v>0</v>
      </c>
      <c r="AK15" s="72">
        <f t="shared" si="38"/>
        <v>-16647.84</v>
      </c>
      <c r="AL15" s="72">
        <f t="shared" si="38"/>
        <v>0</v>
      </c>
      <c r="AM15" s="72">
        <f t="shared" si="38"/>
        <v>0</v>
      </c>
      <c r="AN15" s="72">
        <f t="shared" si="38"/>
        <v>-16647.84</v>
      </c>
      <c r="AO15" s="72">
        <f t="shared" si="38"/>
        <v>0</v>
      </c>
      <c r="AP15" s="72">
        <f t="shared" si="38"/>
        <v>0</v>
      </c>
      <c r="AQ15" s="72">
        <f t="shared" si="38"/>
        <v>-16647.84</v>
      </c>
      <c r="AR15" s="71">
        <f t="shared" si="25"/>
        <v>-66591.36</v>
      </c>
      <c r="AS15" s="73"/>
      <c r="AT15" s="72">
        <f t="shared" ref="AT15:BE15" si="39">AF15*(1+$AF$7)</f>
        <v>0</v>
      </c>
      <c r="AU15" s="72">
        <f t="shared" si="39"/>
        <v>0</v>
      </c>
      <c r="AV15" s="72">
        <f t="shared" si="39"/>
        <v>-17496.87984</v>
      </c>
      <c r="AW15" s="72">
        <f t="shared" si="39"/>
        <v>0</v>
      </c>
      <c r="AX15" s="72">
        <f t="shared" si="39"/>
        <v>0</v>
      </c>
      <c r="AY15" s="72">
        <f t="shared" si="39"/>
        <v>-17496.87984</v>
      </c>
      <c r="AZ15" s="72">
        <f t="shared" si="39"/>
        <v>0</v>
      </c>
      <c r="BA15" s="72">
        <f t="shared" si="39"/>
        <v>0</v>
      </c>
      <c r="BB15" s="72">
        <f t="shared" si="39"/>
        <v>-17496.87984</v>
      </c>
      <c r="BC15" s="72">
        <f t="shared" si="39"/>
        <v>0</v>
      </c>
      <c r="BD15" s="72">
        <f t="shared" si="39"/>
        <v>0</v>
      </c>
      <c r="BE15" s="72">
        <f t="shared" si="39"/>
        <v>-17496.87984</v>
      </c>
      <c r="BF15" s="71">
        <f t="shared" si="27"/>
        <v>-69987.51936</v>
      </c>
      <c r="BG15" s="73"/>
      <c r="BH15" s="72">
        <f t="shared" ref="BH15:BS15" si="40">AT15*(1+$AF$7)</f>
        <v>0</v>
      </c>
      <c r="BI15" s="72">
        <f t="shared" si="40"/>
        <v>0</v>
      </c>
      <c r="BJ15" s="72">
        <f t="shared" si="40"/>
        <v>-18389.22071</v>
      </c>
      <c r="BK15" s="72">
        <f t="shared" si="40"/>
        <v>0</v>
      </c>
      <c r="BL15" s="72">
        <f t="shared" si="40"/>
        <v>0</v>
      </c>
      <c r="BM15" s="72">
        <f t="shared" si="40"/>
        <v>-18389.22071</v>
      </c>
      <c r="BN15" s="72">
        <f t="shared" si="40"/>
        <v>0</v>
      </c>
      <c r="BO15" s="72">
        <f t="shared" si="40"/>
        <v>0</v>
      </c>
      <c r="BP15" s="72">
        <f t="shared" si="40"/>
        <v>-18389.22071</v>
      </c>
      <c r="BQ15" s="72">
        <f t="shared" si="40"/>
        <v>0</v>
      </c>
      <c r="BR15" s="72">
        <f t="shared" si="40"/>
        <v>0</v>
      </c>
      <c r="BS15" s="72">
        <f t="shared" si="40"/>
        <v>-18389.22071</v>
      </c>
      <c r="BT15" s="71">
        <f t="shared" si="29"/>
        <v>-73556.88285</v>
      </c>
      <c r="BU15" s="73"/>
      <c r="BV15" s="72">
        <f t="shared" ref="BV15:CG15" si="41">BH15*(1+$AF$7)</f>
        <v>0</v>
      </c>
      <c r="BW15" s="72">
        <f t="shared" si="41"/>
        <v>0</v>
      </c>
      <c r="BX15" s="72">
        <f t="shared" si="41"/>
        <v>-19327.07097</v>
      </c>
      <c r="BY15" s="72">
        <f t="shared" si="41"/>
        <v>0</v>
      </c>
      <c r="BZ15" s="72">
        <f t="shared" si="41"/>
        <v>0</v>
      </c>
      <c r="CA15" s="72">
        <f t="shared" si="41"/>
        <v>-19327.07097</v>
      </c>
      <c r="CB15" s="72">
        <f t="shared" si="41"/>
        <v>0</v>
      </c>
      <c r="CC15" s="72">
        <f t="shared" si="41"/>
        <v>0</v>
      </c>
      <c r="CD15" s="72">
        <f t="shared" si="41"/>
        <v>-19327.07097</v>
      </c>
      <c r="CE15" s="72">
        <f t="shared" si="41"/>
        <v>0</v>
      </c>
      <c r="CF15" s="72">
        <f t="shared" si="41"/>
        <v>0</v>
      </c>
      <c r="CG15" s="72">
        <f t="shared" si="41"/>
        <v>-19327.07097</v>
      </c>
      <c r="CH15" s="71">
        <f t="shared" si="31"/>
        <v>-77308.28387</v>
      </c>
      <c r="CI15" s="73"/>
    </row>
    <row r="16" ht="19.5" customHeight="1">
      <c r="A16" s="68"/>
      <c r="B16" s="76" t="s">
        <v>71</v>
      </c>
      <c r="C16" s="76" t="s">
        <v>71</v>
      </c>
      <c r="D16" s="72">
        <v>0.0</v>
      </c>
      <c r="E16" s="72">
        <v>0.0</v>
      </c>
      <c r="F16" s="72">
        <v>0.0</v>
      </c>
      <c r="G16" s="72">
        <v>0.0</v>
      </c>
      <c r="H16" s="72">
        <v>0.0</v>
      </c>
      <c r="I16" s="72">
        <v>0.0</v>
      </c>
      <c r="J16" s="72">
        <v>0.0</v>
      </c>
      <c r="K16" s="72">
        <v>0.0</v>
      </c>
      <c r="L16" s="72">
        <v>0.0</v>
      </c>
      <c r="M16" s="72">
        <v>0.0</v>
      </c>
      <c r="N16" s="72">
        <v>0.0</v>
      </c>
      <c r="O16" s="72">
        <v>0.0</v>
      </c>
      <c r="P16" s="71">
        <f t="shared" si="21"/>
        <v>0</v>
      </c>
      <c r="Q16" s="68"/>
      <c r="R16" s="72">
        <f t="shared" ref="R16:AC16" si="42">D16*(1+$R$7)</f>
        <v>0</v>
      </c>
      <c r="S16" s="72">
        <f t="shared" si="42"/>
        <v>0</v>
      </c>
      <c r="T16" s="72">
        <f t="shared" si="42"/>
        <v>0</v>
      </c>
      <c r="U16" s="72">
        <f t="shared" si="42"/>
        <v>0</v>
      </c>
      <c r="V16" s="72">
        <f t="shared" si="42"/>
        <v>0</v>
      </c>
      <c r="W16" s="72">
        <f t="shared" si="42"/>
        <v>0</v>
      </c>
      <c r="X16" s="72">
        <f t="shared" si="42"/>
        <v>0</v>
      </c>
      <c r="Y16" s="72">
        <f t="shared" si="42"/>
        <v>0</v>
      </c>
      <c r="Z16" s="72">
        <f t="shared" si="42"/>
        <v>0</v>
      </c>
      <c r="AA16" s="72">
        <f t="shared" si="42"/>
        <v>0</v>
      </c>
      <c r="AB16" s="72">
        <f t="shared" si="42"/>
        <v>0</v>
      </c>
      <c r="AC16" s="72">
        <f t="shared" si="42"/>
        <v>0</v>
      </c>
      <c r="AD16" s="71">
        <f t="shared" si="23"/>
        <v>0</v>
      </c>
      <c r="AE16" s="68"/>
      <c r="AF16" s="72">
        <f t="shared" ref="AF16:AQ16" si="43">R16*(1+$AF$7)</f>
        <v>0</v>
      </c>
      <c r="AG16" s="72">
        <f t="shared" si="43"/>
        <v>0</v>
      </c>
      <c r="AH16" s="72">
        <f t="shared" si="43"/>
        <v>0</v>
      </c>
      <c r="AI16" s="72">
        <f t="shared" si="43"/>
        <v>0</v>
      </c>
      <c r="AJ16" s="72">
        <f t="shared" si="43"/>
        <v>0</v>
      </c>
      <c r="AK16" s="72">
        <f t="shared" si="43"/>
        <v>0</v>
      </c>
      <c r="AL16" s="72">
        <f t="shared" si="43"/>
        <v>0</v>
      </c>
      <c r="AM16" s="72">
        <f t="shared" si="43"/>
        <v>0</v>
      </c>
      <c r="AN16" s="72">
        <f t="shared" si="43"/>
        <v>0</v>
      </c>
      <c r="AO16" s="72">
        <f t="shared" si="43"/>
        <v>0</v>
      </c>
      <c r="AP16" s="72">
        <f t="shared" si="43"/>
        <v>0</v>
      </c>
      <c r="AQ16" s="72">
        <f t="shared" si="43"/>
        <v>0</v>
      </c>
      <c r="AR16" s="71">
        <f t="shared" si="25"/>
        <v>0</v>
      </c>
      <c r="AS16" s="73"/>
      <c r="AT16" s="72">
        <f t="shared" ref="AT16:BE16" si="44">AF16*(1+$AF$7)</f>
        <v>0</v>
      </c>
      <c r="AU16" s="72">
        <f t="shared" si="44"/>
        <v>0</v>
      </c>
      <c r="AV16" s="72">
        <f t="shared" si="44"/>
        <v>0</v>
      </c>
      <c r="AW16" s="72">
        <f t="shared" si="44"/>
        <v>0</v>
      </c>
      <c r="AX16" s="72">
        <f t="shared" si="44"/>
        <v>0</v>
      </c>
      <c r="AY16" s="72">
        <f t="shared" si="44"/>
        <v>0</v>
      </c>
      <c r="AZ16" s="72">
        <f t="shared" si="44"/>
        <v>0</v>
      </c>
      <c r="BA16" s="72">
        <f t="shared" si="44"/>
        <v>0</v>
      </c>
      <c r="BB16" s="72">
        <f t="shared" si="44"/>
        <v>0</v>
      </c>
      <c r="BC16" s="72">
        <f t="shared" si="44"/>
        <v>0</v>
      </c>
      <c r="BD16" s="72">
        <f t="shared" si="44"/>
        <v>0</v>
      </c>
      <c r="BE16" s="72">
        <f t="shared" si="44"/>
        <v>0</v>
      </c>
      <c r="BF16" s="71">
        <f t="shared" si="27"/>
        <v>0</v>
      </c>
      <c r="BG16" s="73"/>
      <c r="BH16" s="72">
        <f t="shared" ref="BH16:BS16" si="45">AT16*(1+$AF$7)</f>
        <v>0</v>
      </c>
      <c r="BI16" s="72">
        <f t="shared" si="45"/>
        <v>0</v>
      </c>
      <c r="BJ16" s="72">
        <f t="shared" si="45"/>
        <v>0</v>
      </c>
      <c r="BK16" s="72">
        <f t="shared" si="45"/>
        <v>0</v>
      </c>
      <c r="BL16" s="72">
        <f t="shared" si="45"/>
        <v>0</v>
      </c>
      <c r="BM16" s="72">
        <f t="shared" si="45"/>
        <v>0</v>
      </c>
      <c r="BN16" s="72">
        <f t="shared" si="45"/>
        <v>0</v>
      </c>
      <c r="BO16" s="72">
        <f t="shared" si="45"/>
        <v>0</v>
      </c>
      <c r="BP16" s="72">
        <f t="shared" si="45"/>
        <v>0</v>
      </c>
      <c r="BQ16" s="72">
        <f t="shared" si="45"/>
        <v>0</v>
      </c>
      <c r="BR16" s="72">
        <f t="shared" si="45"/>
        <v>0</v>
      </c>
      <c r="BS16" s="72">
        <f t="shared" si="45"/>
        <v>0</v>
      </c>
      <c r="BT16" s="71">
        <f t="shared" si="29"/>
        <v>0</v>
      </c>
      <c r="BU16" s="73"/>
      <c r="BV16" s="72">
        <f t="shared" ref="BV16:CG16" si="46">BH16*(1+$AF$7)</f>
        <v>0</v>
      </c>
      <c r="BW16" s="72">
        <f t="shared" si="46"/>
        <v>0</v>
      </c>
      <c r="BX16" s="72">
        <f t="shared" si="46"/>
        <v>0</v>
      </c>
      <c r="BY16" s="72">
        <f t="shared" si="46"/>
        <v>0</v>
      </c>
      <c r="BZ16" s="72">
        <f t="shared" si="46"/>
        <v>0</v>
      </c>
      <c r="CA16" s="72">
        <f t="shared" si="46"/>
        <v>0</v>
      </c>
      <c r="CB16" s="72">
        <f t="shared" si="46"/>
        <v>0</v>
      </c>
      <c r="CC16" s="72">
        <f t="shared" si="46"/>
        <v>0</v>
      </c>
      <c r="CD16" s="72">
        <f t="shared" si="46"/>
        <v>0</v>
      </c>
      <c r="CE16" s="72">
        <f t="shared" si="46"/>
        <v>0</v>
      </c>
      <c r="CF16" s="72">
        <f t="shared" si="46"/>
        <v>0</v>
      </c>
      <c r="CG16" s="72">
        <f t="shared" si="46"/>
        <v>0</v>
      </c>
      <c r="CH16" s="71">
        <f t="shared" si="31"/>
        <v>0</v>
      </c>
      <c r="CI16" s="73"/>
    </row>
    <row r="17" ht="19.5" customHeight="1">
      <c r="A17" s="68"/>
      <c r="B17" s="68" t="s">
        <v>71</v>
      </c>
      <c r="C17" s="72" t="s">
        <v>71</v>
      </c>
      <c r="D17" s="72">
        <v>0.0</v>
      </c>
      <c r="E17" s="72">
        <v>0.0</v>
      </c>
      <c r="F17" s="72">
        <v>0.0</v>
      </c>
      <c r="G17" s="72">
        <v>0.0</v>
      </c>
      <c r="H17" s="72">
        <v>0.0</v>
      </c>
      <c r="I17" s="72">
        <v>0.0</v>
      </c>
      <c r="J17" s="72">
        <v>0.0</v>
      </c>
      <c r="K17" s="72">
        <v>0.0</v>
      </c>
      <c r="L17" s="72">
        <v>0.0</v>
      </c>
      <c r="M17" s="72">
        <v>0.0</v>
      </c>
      <c r="N17" s="72">
        <v>0.0</v>
      </c>
      <c r="O17" s="72">
        <v>0.0</v>
      </c>
      <c r="P17" s="71">
        <f t="shared" si="21"/>
        <v>0</v>
      </c>
      <c r="Q17" s="68"/>
      <c r="R17" s="72">
        <f t="shared" ref="R17:AC17" si="47">D17*(1+$R$7)</f>
        <v>0</v>
      </c>
      <c r="S17" s="72">
        <f t="shared" si="47"/>
        <v>0</v>
      </c>
      <c r="T17" s="72">
        <f t="shared" si="47"/>
        <v>0</v>
      </c>
      <c r="U17" s="72">
        <f t="shared" si="47"/>
        <v>0</v>
      </c>
      <c r="V17" s="72">
        <f t="shared" si="47"/>
        <v>0</v>
      </c>
      <c r="W17" s="72">
        <f t="shared" si="47"/>
        <v>0</v>
      </c>
      <c r="X17" s="72">
        <f t="shared" si="47"/>
        <v>0</v>
      </c>
      <c r="Y17" s="72">
        <f t="shared" si="47"/>
        <v>0</v>
      </c>
      <c r="Z17" s="72">
        <f t="shared" si="47"/>
        <v>0</v>
      </c>
      <c r="AA17" s="72">
        <f t="shared" si="47"/>
        <v>0</v>
      </c>
      <c r="AB17" s="72">
        <f t="shared" si="47"/>
        <v>0</v>
      </c>
      <c r="AC17" s="72">
        <f t="shared" si="47"/>
        <v>0</v>
      </c>
      <c r="AD17" s="71">
        <f t="shared" si="23"/>
        <v>0</v>
      </c>
      <c r="AE17" s="68"/>
      <c r="AF17" s="72">
        <f t="shared" ref="AF17:AQ17" si="48">R17*(1+$AF$7)</f>
        <v>0</v>
      </c>
      <c r="AG17" s="72">
        <f t="shared" si="48"/>
        <v>0</v>
      </c>
      <c r="AH17" s="72">
        <f t="shared" si="48"/>
        <v>0</v>
      </c>
      <c r="AI17" s="72">
        <f t="shared" si="48"/>
        <v>0</v>
      </c>
      <c r="AJ17" s="72">
        <f t="shared" si="48"/>
        <v>0</v>
      </c>
      <c r="AK17" s="72">
        <f t="shared" si="48"/>
        <v>0</v>
      </c>
      <c r="AL17" s="72">
        <f t="shared" si="48"/>
        <v>0</v>
      </c>
      <c r="AM17" s="72">
        <f t="shared" si="48"/>
        <v>0</v>
      </c>
      <c r="AN17" s="72">
        <f t="shared" si="48"/>
        <v>0</v>
      </c>
      <c r="AO17" s="72">
        <f t="shared" si="48"/>
        <v>0</v>
      </c>
      <c r="AP17" s="72">
        <f t="shared" si="48"/>
        <v>0</v>
      </c>
      <c r="AQ17" s="72">
        <f t="shared" si="48"/>
        <v>0</v>
      </c>
      <c r="AR17" s="71">
        <f t="shared" si="25"/>
        <v>0</v>
      </c>
      <c r="AS17" s="73"/>
      <c r="AT17" s="72">
        <f t="shared" ref="AT17:BE17" si="49">AF17*(1+$AF$7)</f>
        <v>0</v>
      </c>
      <c r="AU17" s="72">
        <f t="shared" si="49"/>
        <v>0</v>
      </c>
      <c r="AV17" s="72">
        <f t="shared" si="49"/>
        <v>0</v>
      </c>
      <c r="AW17" s="72">
        <f t="shared" si="49"/>
        <v>0</v>
      </c>
      <c r="AX17" s="72">
        <f t="shared" si="49"/>
        <v>0</v>
      </c>
      <c r="AY17" s="72">
        <f t="shared" si="49"/>
        <v>0</v>
      </c>
      <c r="AZ17" s="72">
        <f t="shared" si="49"/>
        <v>0</v>
      </c>
      <c r="BA17" s="72">
        <f t="shared" si="49"/>
        <v>0</v>
      </c>
      <c r="BB17" s="72">
        <f t="shared" si="49"/>
        <v>0</v>
      </c>
      <c r="BC17" s="72">
        <f t="shared" si="49"/>
        <v>0</v>
      </c>
      <c r="BD17" s="72">
        <f t="shared" si="49"/>
        <v>0</v>
      </c>
      <c r="BE17" s="72">
        <f t="shared" si="49"/>
        <v>0</v>
      </c>
      <c r="BF17" s="71">
        <f t="shared" si="27"/>
        <v>0</v>
      </c>
      <c r="BG17" s="73">
        <f t="shared" ref="BG17:BG18" si="55">SUM(AT17:BE17)</f>
        <v>0</v>
      </c>
      <c r="BH17" s="72">
        <f t="shared" ref="BH17:BS17" si="50">AT17*(1+$AF$7)</f>
        <v>0</v>
      </c>
      <c r="BI17" s="72">
        <f t="shared" si="50"/>
        <v>0</v>
      </c>
      <c r="BJ17" s="72">
        <f t="shared" si="50"/>
        <v>0</v>
      </c>
      <c r="BK17" s="72">
        <f t="shared" si="50"/>
        <v>0</v>
      </c>
      <c r="BL17" s="72">
        <f t="shared" si="50"/>
        <v>0</v>
      </c>
      <c r="BM17" s="72">
        <f t="shared" si="50"/>
        <v>0</v>
      </c>
      <c r="BN17" s="72">
        <f t="shared" si="50"/>
        <v>0</v>
      </c>
      <c r="BO17" s="72">
        <f t="shared" si="50"/>
        <v>0</v>
      </c>
      <c r="BP17" s="72">
        <f t="shared" si="50"/>
        <v>0</v>
      </c>
      <c r="BQ17" s="72">
        <f t="shared" si="50"/>
        <v>0</v>
      </c>
      <c r="BR17" s="72">
        <f t="shared" si="50"/>
        <v>0</v>
      </c>
      <c r="BS17" s="72">
        <f t="shared" si="50"/>
        <v>0</v>
      </c>
      <c r="BT17" s="71">
        <f t="shared" si="29"/>
        <v>0</v>
      </c>
      <c r="BU17" s="73"/>
      <c r="BV17" s="72">
        <f t="shared" ref="BV17:CG17" si="51">BH17*(1+$AF$7)</f>
        <v>0</v>
      </c>
      <c r="BW17" s="72">
        <f t="shared" si="51"/>
        <v>0</v>
      </c>
      <c r="BX17" s="72">
        <f t="shared" si="51"/>
        <v>0</v>
      </c>
      <c r="BY17" s="72">
        <f t="shared" si="51"/>
        <v>0</v>
      </c>
      <c r="BZ17" s="72">
        <f t="shared" si="51"/>
        <v>0</v>
      </c>
      <c r="CA17" s="72">
        <f t="shared" si="51"/>
        <v>0</v>
      </c>
      <c r="CB17" s="72">
        <f t="shared" si="51"/>
        <v>0</v>
      </c>
      <c r="CC17" s="72">
        <f t="shared" si="51"/>
        <v>0</v>
      </c>
      <c r="CD17" s="72">
        <f t="shared" si="51"/>
        <v>0</v>
      </c>
      <c r="CE17" s="72">
        <f t="shared" si="51"/>
        <v>0</v>
      </c>
      <c r="CF17" s="72">
        <f t="shared" si="51"/>
        <v>0</v>
      </c>
      <c r="CG17" s="72">
        <f t="shared" si="51"/>
        <v>0</v>
      </c>
      <c r="CH17" s="71">
        <f t="shared" si="31"/>
        <v>0</v>
      </c>
      <c r="CI17" s="73"/>
    </row>
    <row r="18" ht="19.5" customHeight="1">
      <c r="B18" s="68" t="s">
        <v>71</v>
      </c>
      <c r="C18" s="72" t="s">
        <v>71</v>
      </c>
      <c r="D18" s="72">
        <v>0.0</v>
      </c>
      <c r="E18" s="72">
        <v>0.0</v>
      </c>
      <c r="F18" s="72">
        <v>0.0</v>
      </c>
      <c r="G18" s="72">
        <v>0.0</v>
      </c>
      <c r="H18" s="72">
        <v>0.0</v>
      </c>
      <c r="I18" s="72">
        <v>0.0</v>
      </c>
      <c r="J18" s="72">
        <v>0.0</v>
      </c>
      <c r="K18" s="72">
        <v>0.0</v>
      </c>
      <c r="L18" s="72">
        <v>0.0</v>
      </c>
      <c r="M18" s="72">
        <v>0.0</v>
      </c>
      <c r="N18" s="72">
        <v>0.0</v>
      </c>
      <c r="O18" s="72">
        <v>0.0</v>
      </c>
      <c r="P18" s="71">
        <f t="shared" si="21"/>
        <v>0</v>
      </c>
      <c r="R18" s="72">
        <f t="shared" ref="R18:AC18" si="52">D18*(1+$R$7)</f>
        <v>0</v>
      </c>
      <c r="S18" s="72">
        <f t="shared" si="52"/>
        <v>0</v>
      </c>
      <c r="T18" s="72">
        <f t="shared" si="52"/>
        <v>0</v>
      </c>
      <c r="U18" s="72">
        <f t="shared" si="52"/>
        <v>0</v>
      </c>
      <c r="V18" s="72">
        <f t="shared" si="52"/>
        <v>0</v>
      </c>
      <c r="W18" s="72">
        <f t="shared" si="52"/>
        <v>0</v>
      </c>
      <c r="X18" s="72">
        <f t="shared" si="52"/>
        <v>0</v>
      </c>
      <c r="Y18" s="72">
        <f t="shared" si="52"/>
        <v>0</v>
      </c>
      <c r="Z18" s="72">
        <f t="shared" si="52"/>
        <v>0</v>
      </c>
      <c r="AA18" s="72">
        <f t="shared" si="52"/>
        <v>0</v>
      </c>
      <c r="AB18" s="72">
        <f t="shared" si="52"/>
        <v>0</v>
      </c>
      <c r="AC18" s="72">
        <f t="shared" si="52"/>
        <v>0</v>
      </c>
      <c r="AD18" s="71">
        <f t="shared" si="23"/>
        <v>0</v>
      </c>
      <c r="AF18" s="72">
        <f t="shared" ref="AF18:AQ18" si="53">R18*(1+$AF$7)</f>
        <v>0</v>
      </c>
      <c r="AG18" s="72">
        <f t="shared" si="53"/>
        <v>0</v>
      </c>
      <c r="AH18" s="72">
        <f t="shared" si="53"/>
        <v>0</v>
      </c>
      <c r="AI18" s="72">
        <f t="shared" si="53"/>
        <v>0</v>
      </c>
      <c r="AJ18" s="72">
        <f t="shared" si="53"/>
        <v>0</v>
      </c>
      <c r="AK18" s="72">
        <f t="shared" si="53"/>
        <v>0</v>
      </c>
      <c r="AL18" s="72">
        <f t="shared" si="53"/>
        <v>0</v>
      </c>
      <c r="AM18" s="72">
        <f t="shared" si="53"/>
        <v>0</v>
      </c>
      <c r="AN18" s="72">
        <f t="shared" si="53"/>
        <v>0</v>
      </c>
      <c r="AO18" s="72">
        <f t="shared" si="53"/>
        <v>0</v>
      </c>
      <c r="AP18" s="72">
        <f t="shared" si="53"/>
        <v>0</v>
      </c>
      <c r="AQ18" s="72">
        <f t="shared" si="53"/>
        <v>0</v>
      </c>
      <c r="AR18" s="71">
        <f t="shared" si="25"/>
        <v>0</v>
      </c>
      <c r="AS18" s="73"/>
      <c r="AT18" s="72">
        <f t="shared" ref="AT18:BE18" si="54">AF18*(1+$AF$7)</f>
        <v>0</v>
      </c>
      <c r="AU18" s="72">
        <f t="shared" si="54"/>
        <v>0</v>
      </c>
      <c r="AV18" s="72">
        <f t="shared" si="54"/>
        <v>0</v>
      </c>
      <c r="AW18" s="72">
        <f t="shared" si="54"/>
        <v>0</v>
      </c>
      <c r="AX18" s="72">
        <f t="shared" si="54"/>
        <v>0</v>
      </c>
      <c r="AY18" s="72">
        <f t="shared" si="54"/>
        <v>0</v>
      </c>
      <c r="AZ18" s="72">
        <f t="shared" si="54"/>
        <v>0</v>
      </c>
      <c r="BA18" s="72">
        <f t="shared" si="54"/>
        <v>0</v>
      </c>
      <c r="BB18" s="72">
        <f t="shared" si="54"/>
        <v>0</v>
      </c>
      <c r="BC18" s="72">
        <f t="shared" si="54"/>
        <v>0</v>
      </c>
      <c r="BD18" s="72">
        <f t="shared" si="54"/>
        <v>0</v>
      </c>
      <c r="BE18" s="72">
        <f t="shared" si="54"/>
        <v>0</v>
      </c>
      <c r="BF18" s="71">
        <f t="shared" si="27"/>
        <v>0</v>
      </c>
      <c r="BG18" s="73">
        <f t="shared" si="55"/>
        <v>0</v>
      </c>
      <c r="BH18" s="72">
        <f t="shared" ref="BH18:BS18" si="56">AT18*(1+$AF$7)</f>
        <v>0</v>
      </c>
      <c r="BI18" s="72">
        <f t="shared" si="56"/>
        <v>0</v>
      </c>
      <c r="BJ18" s="72">
        <f t="shared" si="56"/>
        <v>0</v>
      </c>
      <c r="BK18" s="72">
        <f t="shared" si="56"/>
        <v>0</v>
      </c>
      <c r="BL18" s="72">
        <f t="shared" si="56"/>
        <v>0</v>
      </c>
      <c r="BM18" s="72">
        <f t="shared" si="56"/>
        <v>0</v>
      </c>
      <c r="BN18" s="72">
        <f t="shared" si="56"/>
        <v>0</v>
      </c>
      <c r="BO18" s="72">
        <f t="shared" si="56"/>
        <v>0</v>
      </c>
      <c r="BP18" s="72">
        <f t="shared" si="56"/>
        <v>0</v>
      </c>
      <c r="BQ18" s="72">
        <f t="shared" si="56"/>
        <v>0</v>
      </c>
      <c r="BR18" s="72">
        <f t="shared" si="56"/>
        <v>0</v>
      </c>
      <c r="BS18" s="72">
        <f t="shared" si="56"/>
        <v>0</v>
      </c>
      <c r="BT18" s="71">
        <f t="shared" si="29"/>
        <v>0</v>
      </c>
      <c r="BU18" s="73"/>
      <c r="BV18" s="72">
        <f t="shared" ref="BV18:CG18" si="57">BH18*(1+$AF$7)</f>
        <v>0</v>
      </c>
      <c r="BW18" s="72">
        <f t="shared" si="57"/>
        <v>0</v>
      </c>
      <c r="BX18" s="72">
        <f t="shared" si="57"/>
        <v>0</v>
      </c>
      <c r="BY18" s="72">
        <f t="shared" si="57"/>
        <v>0</v>
      </c>
      <c r="BZ18" s="72">
        <f t="shared" si="57"/>
        <v>0</v>
      </c>
      <c r="CA18" s="72">
        <f t="shared" si="57"/>
        <v>0</v>
      </c>
      <c r="CB18" s="72">
        <f t="shared" si="57"/>
        <v>0</v>
      </c>
      <c r="CC18" s="72">
        <f t="shared" si="57"/>
        <v>0</v>
      </c>
      <c r="CD18" s="72">
        <f t="shared" si="57"/>
        <v>0</v>
      </c>
      <c r="CE18" s="72">
        <f t="shared" si="57"/>
        <v>0</v>
      </c>
      <c r="CF18" s="72">
        <f t="shared" si="57"/>
        <v>0</v>
      </c>
      <c r="CG18" s="72">
        <f t="shared" si="57"/>
        <v>0</v>
      </c>
      <c r="CH18" s="71">
        <f t="shared" si="31"/>
        <v>0</v>
      </c>
    </row>
    <row r="19" ht="19.5" customHeight="1">
      <c r="P19" s="6"/>
      <c r="AD19" s="6"/>
      <c r="AR19" s="6"/>
      <c r="BF19" s="6"/>
      <c r="BT19" s="6"/>
      <c r="CH19" s="6"/>
    </row>
    <row r="20" ht="19.5" customHeight="1">
      <c r="P20" s="6"/>
      <c r="AD20" s="6"/>
      <c r="AF20" s="23"/>
      <c r="AJ20" s="23"/>
      <c r="AR20" s="6"/>
      <c r="BF20" s="6"/>
      <c r="BT20" s="6"/>
      <c r="CH20" s="6"/>
    </row>
    <row r="21" ht="19.5" customHeight="1">
      <c r="P21" s="6"/>
      <c r="AD21" s="6"/>
      <c r="AR21" s="6"/>
      <c r="BF21" s="6"/>
      <c r="BT21" s="6"/>
      <c r="CH21" s="6"/>
    </row>
    <row r="22" ht="19.5" customHeight="1">
      <c r="P22" s="6"/>
      <c r="AD22" s="6"/>
      <c r="AR22" s="6"/>
      <c r="BF22" s="6"/>
      <c r="BT22" s="6"/>
      <c r="CH22" s="6"/>
    </row>
    <row r="23" ht="19.5" customHeight="1">
      <c r="P23" s="6"/>
      <c r="AD23" s="6"/>
      <c r="AR23" s="6"/>
      <c r="BF23" s="6"/>
      <c r="BT23" s="6"/>
      <c r="CH23" s="6"/>
    </row>
    <row r="24" ht="19.5" customHeight="1">
      <c r="P24" s="6"/>
      <c r="AD24" s="6"/>
      <c r="AR24" s="6"/>
      <c r="BF24" s="6"/>
      <c r="BT24" s="6"/>
      <c r="CH24" s="6"/>
    </row>
    <row r="25" ht="19.5" customHeight="1">
      <c r="P25" s="6"/>
      <c r="AD25" s="6"/>
      <c r="AR25" s="6"/>
      <c r="BF25" s="6"/>
      <c r="BT25" s="6"/>
      <c r="CH25" s="6"/>
    </row>
    <row r="26" ht="19.5" customHeight="1">
      <c r="P26" s="6"/>
      <c r="AD26" s="6"/>
      <c r="AR26" s="6"/>
      <c r="BF26" s="6"/>
      <c r="BT26" s="6"/>
      <c r="CH26" s="6"/>
    </row>
    <row r="27" ht="19.5" customHeight="1">
      <c r="P27" s="6"/>
      <c r="AD27" s="6"/>
      <c r="AR27" s="6"/>
      <c r="BF27" s="6"/>
      <c r="BT27" s="6"/>
      <c r="CH27" s="6"/>
    </row>
    <row r="28" ht="19.5" customHeight="1">
      <c r="P28" s="6"/>
      <c r="AD28" s="6"/>
      <c r="AR28" s="6"/>
      <c r="BF28" s="6"/>
      <c r="BT28" s="6"/>
      <c r="CH28" s="6"/>
    </row>
    <row r="29" ht="19.5" customHeight="1">
      <c r="P29" s="6"/>
      <c r="AD29" s="6"/>
      <c r="AR29" s="6"/>
      <c r="BF29" s="6"/>
      <c r="BT29" s="6"/>
      <c r="CH29" s="6"/>
    </row>
    <row r="30" ht="19.5" customHeight="1">
      <c r="P30" s="6"/>
      <c r="AD30" s="6"/>
      <c r="AR30" s="6"/>
      <c r="BF30" s="6"/>
      <c r="BT30" s="6"/>
      <c r="CH30" s="6"/>
    </row>
    <row r="31" ht="19.5" customHeight="1">
      <c r="P31" s="6"/>
      <c r="AD31" s="6"/>
      <c r="AR31" s="6"/>
      <c r="BF31" s="6"/>
      <c r="BT31" s="6"/>
      <c r="CH31" s="6"/>
    </row>
    <row r="32" ht="19.5" customHeight="1">
      <c r="P32" s="6"/>
      <c r="AD32" s="6"/>
      <c r="AR32" s="6"/>
      <c r="BF32" s="6"/>
      <c r="BT32" s="6"/>
      <c r="CH32" s="6"/>
    </row>
    <row r="33" ht="19.5" customHeight="1">
      <c r="P33" s="6"/>
      <c r="AD33" s="6"/>
      <c r="AR33" s="6"/>
      <c r="BF33" s="6"/>
      <c r="BT33" s="6"/>
      <c r="CH33" s="6"/>
    </row>
    <row r="34" ht="19.5" customHeight="1">
      <c r="P34" s="6"/>
      <c r="AD34" s="6"/>
      <c r="AR34" s="6"/>
      <c r="BF34" s="6"/>
      <c r="BT34" s="6"/>
      <c r="CH34" s="6"/>
    </row>
    <row r="35" ht="19.5" customHeight="1">
      <c r="P35" s="6"/>
      <c r="AD35" s="6"/>
      <c r="AR35" s="6"/>
      <c r="BF35" s="6"/>
      <c r="BT35" s="6"/>
      <c r="CH35" s="6"/>
    </row>
    <row r="36" ht="19.5" customHeight="1">
      <c r="P36" s="6"/>
      <c r="AD36" s="6"/>
      <c r="AR36" s="6"/>
      <c r="BF36" s="6"/>
      <c r="BT36" s="6"/>
      <c r="CH36" s="6"/>
    </row>
    <row r="37" ht="19.5" customHeight="1">
      <c r="P37" s="6"/>
      <c r="AD37" s="6"/>
      <c r="AR37" s="6"/>
      <c r="BF37" s="6"/>
      <c r="BT37" s="6"/>
      <c r="CH37" s="6"/>
    </row>
    <row r="38" ht="19.5" customHeight="1">
      <c r="P38" s="6"/>
      <c r="AD38" s="6"/>
      <c r="AR38" s="6"/>
      <c r="BF38" s="6"/>
      <c r="BT38" s="6"/>
      <c r="CH38" s="6"/>
    </row>
    <row r="39" ht="19.5" customHeight="1">
      <c r="P39" s="6"/>
      <c r="AD39" s="6"/>
      <c r="AR39" s="6"/>
      <c r="BF39" s="6"/>
      <c r="BT39" s="6"/>
      <c r="CH39" s="6"/>
    </row>
    <row r="40" ht="19.5" customHeight="1">
      <c r="P40" s="6"/>
      <c r="AD40" s="6"/>
      <c r="AR40" s="6"/>
      <c r="BF40" s="6"/>
      <c r="BT40" s="6"/>
      <c r="CH40" s="6"/>
    </row>
    <row r="41" ht="19.5" customHeight="1">
      <c r="P41" s="6"/>
      <c r="AD41" s="6"/>
      <c r="AR41" s="6"/>
      <c r="BF41" s="6"/>
      <c r="BT41" s="6"/>
      <c r="CH41" s="6"/>
    </row>
    <row r="42" ht="19.5" customHeight="1">
      <c r="P42" s="6"/>
      <c r="AD42" s="6"/>
      <c r="AR42" s="6"/>
      <c r="BF42" s="6"/>
      <c r="BT42" s="6"/>
      <c r="CH42" s="6"/>
    </row>
    <row r="43" ht="19.5" customHeight="1">
      <c r="P43" s="6"/>
      <c r="AD43" s="6"/>
      <c r="AR43" s="6"/>
      <c r="BF43" s="6"/>
      <c r="BT43" s="6"/>
      <c r="CH43" s="6"/>
    </row>
    <row r="44" ht="19.5" customHeight="1">
      <c r="P44" s="6"/>
      <c r="AD44" s="6"/>
      <c r="AR44" s="6"/>
      <c r="BF44" s="6"/>
      <c r="BT44" s="6"/>
      <c r="CH44" s="6"/>
    </row>
    <row r="45" ht="19.5" customHeight="1">
      <c r="P45" s="6"/>
      <c r="AD45" s="6"/>
      <c r="AR45" s="6"/>
      <c r="BF45" s="6"/>
      <c r="BT45" s="6"/>
      <c r="CH45" s="6"/>
    </row>
    <row r="46" ht="19.5" customHeight="1">
      <c r="P46" s="6"/>
      <c r="AD46" s="6"/>
      <c r="AR46" s="6"/>
      <c r="BF46" s="6"/>
      <c r="BT46" s="6"/>
      <c r="CH46" s="6"/>
    </row>
    <row r="47" ht="19.5" customHeight="1">
      <c r="P47" s="6"/>
      <c r="AD47" s="6"/>
      <c r="AR47" s="6"/>
      <c r="BF47" s="6"/>
      <c r="BT47" s="6"/>
      <c r="CH47" s="6"/>
    </row>
    <row r="48" ht="19.5" customHeight="1">
      <c r="P48" s="6"/>
      <c r="AD48" s="6"/>
      <c r="AR48" s="6"/>
      <c r="BF48" s="6"/>
      <c r="BT48" s="6"/>
      <c r="CH48" s="6"/>
    </row>
    <row r="49" ht="19.5" customHeight="1">
      <c r="P49" s="6"/>
      <c r="AD49" s="6"/>
      <c r="AR49" s="6"/>
      <c r="BF49" s="6"/>
      <c r="BT49" s="6"/>
      <c r="CH49" s="6"/>
    </row>
    <row r="50" ht="19.5" customHeight="1">
      <c r="P50" s="6"/>
      <c r="AD50" s="6"/>
      <c r="AR50" s="6"/>
      <c r="BF50" s="6"/>
      <c r="BT50" s="6"/>
      <c r="CH50" s="6"/>
    </row>
    <row r="51" ht="19.5" customHeight="1">
      <c r="P51" s="6"/>
      <c r="AD51" s="6"/>
      <c r="AR51" s="6"/>
      <c r="BF51" s="6"/>
      <c r="BT51" s="6"/>
      <c r="CH51" s="6"/>
    </row>
    <row r="52" ht="19.5" customHeight="1">
      <c r="P52" s="6"/>
      <c r="AD52" s="6"/>
      <c r="AR52" s="6"/>
      <c r="BF52" s="6"/>
      <c r="BT52" s="6"/>
      <c r="CH52" s="6"/>
    </row>
    <row r="53" ht="19.5" customHeight="1">
      <c r="P53" s="6"/>
      <c r="AD53" s="6"/>
      <c r="AR53" s="6"/>
      <c r="BF53" s="6"/>
      <c r="BT53" s="6"/>
      <c r="CH53" s="6"/>
    </row>
    <row r="54" ht="19.5" customHeight="1">
      <c r="P54" s="6"/>
      <c r="AD54" s="6"/>
      <c r="AR54" s="6"/>
      <c r="BF54" s="6"/>
      <c r="BT54" s="6"/>
      <c r="CH54" s="6"/>
    </row>
    <row r="55" ht="19.5" customHeight="1">
      <c r="P55" s="6"/>
      <c r="AD55" s="6"/>
      <c r="AR55" s="6"/>
      <c r="BF55" s="6"/>
      <c r="BT55" s="6"/>
      <c r="CH55" s="6"/>
    </row>
    <row r="56" ht="19.5" customHeight="1">
      <c r="P56" s="6"/>
      <c r="AD56" s="6"/>
      <c r="AR56" s="6"/>
      <c r="BF56" s="6"/>
      <c r="BT56" s="6"/>
      <c r="CH56" s="6"/>
    </row>
    <row r="57" ht="19.5" customHeight="1">
      <c r="P57" s="6"/>
      <c r="AD57" s="6"/>
      <c r="AR57" s="6"/>
      <c r="BF57" s="6"/>
      <c r="BT57" s="6"/>
      <c r="CH57" s="6"/>
    </row>
    <row r="58" ht="19.5" customHeight="1">
      <c r="P58" s="6"/>
      <c r="AD58" s="6"/>
      <c r="AR58" s="6"/>
      <c r="BF58" s="6"/>
      <c r="BT58" s="6"/>
      <c r="CH58" s="6"/>
    </row>
    <row r="59" ht="19.5" customHeight="1">
      <c r="P59" s="6"/>
      <c r="AD59" s="6"/>
      <c r="AR59" s="6"/>
      <c r="BF59" s="6"/>
      <c r="BT59" s="6"/>
      <c r="CH59" s="6"/>
    </row>
    <row r="60" ht="19.5" customHeight="1">
      <c r="P60" s="6"/>
      <c r="AD60" s="6"/>
      <c r="AR60" s="6"/>
      <c r="BF60" s="6"/>
      <c r="BT60" s="6"/>
      <c r="CH60" s="6"/>
    </row>
    <row r="61" ht="19.5" customHeight="1">
      <c r="P61" s="6"/>
      <c r="AD61" s="6"/>
      <c r="AR61" s="6"/>
      <c r="BF61" s="6"/>
      <c r="BT61" s="6"/>
      <c r="CH61" s="6"/>
    </row>
    <row r="62" ht="19.5" customHeight="1">
      <c r="P62" s="6"/>
      <c r="AD62" s="6"/>
      <c r="AR62" s="6"/>
      <c r="BF62" s="6"/>
      <c r="BT62" s="6"/>
      <c r="CH62" s="6"/>
    </row>
    <row r="63" ht="19.5" customHeight="1">
      <c r="P63" s="6"/>
      <c r="AD63" s="6"/>
      <c r="AR63" s="6"/>
      <c r="BF63" s="6"/>
      <c r="BT63" s="6"/>
      <c r="CH63" s="6"/>
    </row>
    <row r="64" ht="19.5" customHeight="1">
      <c r="P64" s="6"/>
      <c r="AD64" s="6"/>
      <c r="AR64" s="6"/>
      <c r="BF64" s="6"/>
      <c r="BT64" s="6"/>
      <c r="CH64" s="6"/>
    </row>
    <row r="65" ht="19.5" customHeight="1">
      <c r="P65" s="6"/>
      <c r="AD65" s="6"/>
      <c r="AR65" s="6"/>
      <c r="BF65" s="6"/>
      <c r="BT65" s="6"/>
      <c r="CH65" s="6"/>
    </row>
    <row r="66" ht="19.5" customHeight="1">
      <c r="P66" s="6"/>
      <c r="AD66" s="6"/>
      <c r="AR66" s="6"/>
      <c r="BF66" s="6"/>
      <c r="BT66" s="6"/>
      <c r="CH66" s="6"/>
    </row>
    <row r="67" ht="19.5" customHeight="1">
      <c r="P67" s="6"/>
      <c r="AD67" s="6"/>
      <c r="AR67" s="6"/>
      <c r="BF67" s="6"/>
      <c r="BT67" s="6"/>
      <c r="CH67" s="6"/>
    </row>
    <row r="68" ht="13.5" customHeight="1">
      <c r="P68" s="6"/>
      <c r="AD68" s="6"/>
      <c r="AR68" s="6"/>
      <c r="BF68" s="6"/>
      <c r="BT68" s="6"/>
      <c r="CH68" s="6"/>
    </row>
    <row r="69" ht="13.5" customHeight="1">
      <c r="P69" s="6"/>
      <c r="AD69" s="6"/>
      <c r="AR69" s="6"/>
      <c r="BF69" s="6"/>
      <c r="BT69" s="6"/>
      <c r="CH69" s="6"/>
    </row>
    <row r="70" ht="13.5" customHeight="1">
      <c r="P70" s="6"/>
      <c r="AD70" s="6"/>
      <c r="AR70" s="6"/>
      <c r="BF70" s="6"/>
      <c r="BT70" s="6"/>
      <c r="CH70" s="6"/>
    </row>
    <row r="71" ht="13.5" customHeight="1">
      <c r="P71" s="6"/>
      <c r="AD71" s="6"/>
      <c r="AR71" s="6"/>
      <c r="BF71" s="6"/>
      <c r="BT71" s="6"/>
      <c r="CH71" s="6"/>
    </row>
    <row r="72" ht="13.5" customHeight="1">
      <c r="P72" s="6"/>
      <c r="AD72" s="6"/>
      <c r="AR72" s="6"/>
      <c r="BF72" s="6"/>
      <c r="BT72" s="6"/>
      <c r="CH72" s="6"/>
    </row>
    <row r="73" ht="13.5" customHeight="1">
      <c r="P73" s="6"/>
      <c r="AD73" s="6"/>
      <c r="AR73" s="6"/>
      <c r="BF73" s="6"/>
      <c r="BT73" s="6"/>
      <c r="CH73" s="6"/>
    </row>
    <row r="74" ht="13.5" customHeight="1">
      <c r="P74" s="6"/>
      <c r="AD74" s="6"/>
      <c r="AR74" s="6"/>
      <c r="BF74" s="6"/>
      <c r="BT74" s="6"/>
      <c r="CH74" s="6"/>
    </row>
    <row r="75" ht="13.5" customHeight="1">
      <c r="P75" s="6"/>
      <c r="AD75" s="6"/>
      <c r="AR75" s="6"/>
      <c r="BF75" s="6"/>
      <c r="BT75" s="6"/>
      <c r="CH75" s="6"/>
    </row>
    <row r="76" ht="13.5" customHeight="1">
      <c r="P76" s="6"/>
      <c r="AD76" s="6"/>
      <c r="AR76" s="6"/>
      <c r="BF76" s="6"/>
      <c r="BT76" s="6"/>
      <c r="CH76" s="6"/>
    </row>
    <row r="77" ht="13.5" customHeight="1">
      <c r="P77" s="6"/>
      <c r="AD77" s="6"/>
      <c r="AR77" s="6"/>
      <c r="BF77" s="6"/>
      <c r="BT77" s="6"/>
      <c r="CH77" s="6"/>
    </row>
    <row r="78" ht="13.5" customHeight="1">
      <c r="P78" s="6"/>
      <c r="AD78" s="6"/>
      <c r="AR78" s="6"/>
      <c r="BF78" s="6"/>
      <c r="BT78" s="6"/>
      <c r="CH78" s="6"/>
    </row>
    <row r="79" ht="13.5" customHeight="1">
      <c r="P79" s="6"/>
      <c r="AD79" s="6"/>
      <c r="AR79" s="6"/>
      <c r="BF79" s="6"/>
      <c r="BT79" s="6"/>
      <c r="CH79" s="6"/>
    </row>
    <row r="80" ht="13.5" customHeight="1">
      <c r="P80" s="6"/>
      <c r="AD80" s="6"/>
      <c r="AR80" s="6"/>
      <c r="BF80" s="6"/>
      <c r="BT80" s="6"/>
      <c r="CH80" s="6"/>
    </row>
    <row r="81" ht="13.5" customHeight="1">
      <c r="P81" s="6"/>
      <c r="AD81" s="6"/>
      <c r="AR81" s="6"/>
      <c r="BF81" s="6"/>
      <c r="BT81" s="6"/>
      <c r="CH81" s="6"/>
    </row>
    <row r="82" ht="13.5" customHeight="1">
      <c r="P82" s="6"/>
      <c r="AD82" s="6"/>
      <c r="AR82" s="6"/>
      <c r="BF82" s="6"/>
      <c r="BT82" s="6"/>
      <c r="CH82" s="6"/>
    </row>
    <row r="83" ht="13.5" customHeight="1">
      <c r="P83" s="6"/>
      <c r="AD83" s="6"/>
      <c r="AR83" s="6"/>
      <c r="BF83" s="6"/>
      <c r="BT83" s="6"/>
      <c r="CH83" s="6"/>
    </row>
    <row r="84" ht="13.5" customHeight="1">
      <c r="P84" s="6"/>
      <c r="AD84" s="6"/>
      <c r="AR84" s="6"/>
      <c r="BF84" s="6"/>
      <c r="BT84" s="6"/>
      <c r="CH84" s="6"/>
    </row>
    <row r="85" ht="13.5" customHeight="1">
      <c r="P85" s="6"/>
      <c r="AD85" s="6"/>
      <c r="AR85" s="6"/>
      <c r="BF85" s="6"/>
      <c r="BT85" s="6"/>
      <c r="CH85" s="6"/>
    </row>
    <row r="86" ht="13.5" customHeight="1">
      <c r="P86" s="6"/>
      <c r="AD86" s="6"/>
      <c r="AR86" s="6"/>
      <c r="BF86" s="6"/>
      <c r="BT86" s="6"/>
      <c r="CH86" s="6"/>
    </row>
    <row r="87" ht="13.5" customHeight="1">
      <c r="P87" s="6"/>
      <c r="AD87" s="6"/>
      <c r="AR87" s="6"/>
      <c r="BF87" s="6"/>
      <c r="BT87" s="6"/>
      <c r="CH87" s="6"/>
    </row>
    <row r="88" ht="13.5" customHeight="1">
      <c r="P88" s="6"/>
      <c r="AD88" s="6"/>
      <c r="AR88" s="6"/>
      <c r="BF88" s="6"/>
      <c r="BT88" s="6"/>
      <c r="CH88" s="6"/>
    </row>
    <row r="89" ht="13.5" customHeight="1">
      <c r="P89" s="6"/>
      <c r="AD89" s="6"/>
      <c r="AR89" s="6"/>
      <c r="BF89" s="6"/>
      <c r="BT89" s="6"/>
      <c r="CH89" s="6"/>
    </row>
    <row r="90" ht="13.5" customHeight="1">
      <c r="P90" s="6"/>
      <c r="AD90" s="6"/>
      <c r="AR90" s="6"/>
      <c r="BF90" s="6"/>
      <c r="BT90" s="6"/>
      <c r="CH90" s="6"/>
    </row>
    <row r="91" ht="13.5" customHeight="1">
      <c r="P91" s="6"/>
      <c r="AD91" s="6"/>
      <c r="AR91" s="6"/>
      <c r="BF91" s="6"/>
      <c r="BT91" s="6"/>
      <c r="CH91" s="6"/>
    </row>
    <row r="92" ht="13.5" customHeight="1">
      <c r="P92" s="6"/>
      <c r="AD92" s="6"/>
      <c r="AR92" s="6"/>
      <c r="BF92" s="6"/>
      <c r="BT92" s="6"/>
      <c r="CH92" s="6"/>
    </row>
    <row r="93" ht="13.5" customHeight="1">
      <c r="P93" s="6"/>
      <c r="AD93" s="6"/>
      <c r="AR93" s="6"/>
      <c r="BF93" s="6"/>
      <c r="BT93" s="6"/>
      <c r="CH93" s="6"/>
    </row>
    <row r="94" ht="13.5" customHeight="1">
      <c r="P94" s="6"/>
      <c r="AD94" s="6"/>
      <c r="AR94" s="6"/>
      <c r="BF94" s="6"/>
      <c r="BT94" s="6"/>
      <c r="CH94" s="6"/>
    </row>
    <row r="95" ht="13.5" customHeight="1">
      <c r="P95" s="6"/>
      <c r="AD95" s="6"/>
      <c r="AR95" s="6"/>
      <c r="BF95" s="6"/>
      <c r="BT95" s="6"/>
      <c r="CH95" s="6"/>
    </row>
    <row r="96" ht="13.5" customHeight="1">
      <c r="P96" s="6"/>
      <c r="AD96" s="6"/>
      <c r="AR96" s="6"/>
      <c r="BF96" s="6"/>
      <c r="BT96" s="6"/>
      <c r="CH96" s="6"/>
    </row>
    <row r="97" ht="13.5" customHeight="1">
      <c r="P97" s="6"/>
      <c r="AD97" s="6"/>
      <c r="AR97" s="6"/>
      <c r="BF97" s="6"/>
      <c r="BT97" s="6"/>
      <c r="CH97" s="6"/>
    </row>
    <row r="98" ht="13.5" customHeight="1">
      <c r="P98" s="6"/>
      <c r="AD98" s="6"/>
      <c r="AR98" s="6"/>
      <c r="BF98" s="6"/>
      <c r="BT98" s="6"/>
      <c r="CH98" s="6"/>
    </row>
    <row r="99" ht="13.5" customHeight="1">
      <c r="P99" s="6"/>
      <c r="AD99" s="6"/>
      <c r="AR99" s="6"/>
      <c r="BF99" s="6"/>
      <c r="BT99" s="6"/>
      <c r="CH99" s="6"/>
    </row>
    <row r="100" ht="13.5" customHeight="1">
      <c r="P100" s="6"/>
      <c r="AD100" s="6"/>
      <c r="AR100" s="6"/>
      <c r="BF100" s="6"/>
      <c r="BT100" s="6"/>
      <c r="CH100" s="6"/>
    </row>
    <row r="101" ht="13.5" customHeight="1">
      <c r="P101" s="6"/>
      <c r="AD101" s="6"/>
      <c r="AR101" s="6"/>
      <c r="BF101" s="6"/>
      <c r="BT101" s="6"/>
      <c r="CH101" s="6"/>
    </row>
    <row r="102" ht="13.5" customHeight="1">
      <c r="P102" s="6"/>
      <c r="AD102" s="6"/>
      <c r="AR102" s="6"/>
      <c r="BF102" s="6"/>
      <c r="BT102" s="6"/>
      <c r="CH102" s="6"/>
    </row>
    <row r="103" ht="13.5" customHeight="1">
      <c r="P103" s="6"/>
      <c r="AD103" s="6"/>
      <c r="AR103" s="6"/>
      <c r="BF103" s="6"/>
      <c r="BT103" s="6"/>
      <c r="CH103" s="6"/>
    </row>
    <row r="104" ht="13.5" customHeight="1">
      <c r="P104" s="6"/>
      <c r="AD104" s="6"/>
      <c r="AR104" s="6"/>
      <c r="BF104" s="6"/>
      <c r="BT104" s="6"/>
      <c r="CH104" s="6"/>
    </row>
    <row r="105" ht="13.5" customHeight="1">
      <c r="P105" s="6"/>
      <c r="AD105" s="6"/>
      <c r="AR105" s="6"/>
      <c r="BF105" s="6"/>
      <c r="BT105" s="6"/>
      <c r="CH105" s="6"/>
    </row>
    <row r="106" ht="13.5" customHeight="1">
      <c r="P106" s="6"/>
      <c r="AD106" s="6"/>
      <c r="AR106" s="6"/>
      <c r="BF106" s="6"/>
      <c r="BT106" s="6"/>
      <c r="CH106" s="6"/>
    </row>
    <row r="107" ht="13.5" customHeight="1">
      <c r="P107" s="6"/>
      <c r="AD107" s="6"/>
      <c r="AR107" s="6"/>
      <c r="BF107" s="6"/>
      <c r="BT107" s="6"/>
      <c r="CH107" s="6"/>
    </row>
    <row r="108" ht="13.5" customHeight="1">
      <c r="P108" s="6"/>
      <c r="AD108" s="6"/>
      <c r="AR108" s="6"/>
      <c r="BF108" s="6"/>
      <c r="BT108" s="6"/>
      <c r="CH108" s="6"/>
    </row>
    <row r="109" ht="13.5" customHeight="1">
      <c r="P109" s="6"/>
      <c r="AD109" s="6"/>
      <c r="AR109" s="6"/>
      <c r="BF109" s="6"/>
      <c r="BT109" s="6"/>
      <c r="CH109" s="6"/>
    </row>
    <row r="110" ht="13.5" customHeight="1">
      <c r="P110" s="6"/>
      <c r="AD110" s="6"/>
      <c r="AR110" s="6"/>
      <c r="BF110" s="6"/>
      <c r="BT110" s="6"/>
      <c r="CH110" s="6"/>
    </row>
    <row r="111" ht="13.5" customHeight="1">
      <c r="P111" s="6"/>
      <c r="AD111" s="6"/>
      <c r="AR111" s="6"/>
      <c r="BF111" s="6"/>
      <c r="BT111" s="6"/>
      <c r="CH111" s="6"/>
    </row>
    <row r="112" ht="13.5" customHeight="1">
      <c r="P112" s="6"/>
      <c r="AD112" s="6"/>
      <c r="AR112" s="6"/>
      <c r="BF112" s="6"/>
      <c r="BT112" s="6"/>
      <c r="CH112" s="6"/>
    </row>
    <row r="113" ht="13.5" customHeight="1">
      <c r="P113" s="6"/>
      <c r="AD113" s="6"/>
      <c r="AR113" s="6"/>
      <c r="BF113" s="6"/>
      <c r="BT113" s="6"/>
      <c r="CH113" s="6"/>
    </row>
    <row r="114" ht="13.5" customHeight="1">
      <c r="P114" s="6"/>
      <c r="AD114" s="6"/>
      <c r="AR114" s="6"/>
      <c r="BF114" s="6"/>
      <c r="BT114" s="6"/>
      <c r="CH114" s="6"/>
    </row>
    <row r="115" ht="13.5" customHeight="1">
      <c r="P115" s="6"/>
      <c r="AD115" s="6"/>
      <c r="AR115" s="6"/>
      <c r="BF115" s="6"/>
      <c r="BT115" s="6"/>
      <c r="CH115" s="6"/>
    </row>
    <row r="116" ht="13.5" customHeight="1">
      <c r="P116" s="6"/>
      <c r="AD116" s="6"/>
      <c r="AR116" s="6"/>
      <c r="BF116" s="6"/>
      <c r="BT116" s="6"/>
      <c r="CH116" s="6"/>
    </row>
    <row r="117" ht="13.5" customHeight="1">
      <c r="P117" s="6"/>
      <c r="AD117" s="6"/>
      <c r="AR117" s="6"/>
      <c r="BF117" s="6"/>
      <c r="BT117" s="6"/>
      <c r="CH117" s="6"/>
    </row>
    <row r="118" ht="13.5" customHeight="1">
      <c r="P118" s="6"/>
      <c r="AD118" s="6"/>
      <c r="AR118" s="6"/>
      <c r="BF118" s="6"/>
      <c r="BT118" s="6"/>
      <c r="CH118" s="6"/>
    </row>
    <row r="119" ht="13.5" customHeight="1">
      <c r="P119" s="6"/>
      <c r="AD119" s="6"/>
      <c r="AR119" s="6"/>
      <c r="BF119" s="6"/>
      <c r="BT119" s="6"/>
      <c r="CH119" s="6"/>
    </row>
    <row r="120" ht="13.5" customHeight="1">
      <c r="P120" s="6"/>
      <c r="AD120" s="6"/>
      <c r="AR120" s="6"/>
      <c r="BF120" s="6"/>
      <c r="BT120" s="6"/>
      <c r="CH120" s="6"/>
    </row>
    <row r="121" ht="13.5" customHeight="1">
      <c r="P121" s="6"/>
      <c r="AD121" s="6"/>
      <c r="AR121" s="6"/>
      <c r="BF121" s="6"/>
      <c r="BT121" s="6"/>
      <c r="CH121" s="6"/>
    </row>
    <row r="122" ht="13.5" customHeight="1">
      <c r="P122" s="6"/>
      <c r="AD122" s="6"/>
      <c r="AR122" s="6"/>
      <c r="BF122" s="6"/>
      <c r="BT122" s="6"/>
      <c r="CH122" s="6"/>
    </row>
    <row r="123" ht="13.5" customHeight="1">
      <c r="P123" s="6"/>
      <c r="AD123" s="6"/>
      <c r="AR123" s="6"/>
      <c r="BF123" s="6"/>
      <c r="BT123" s="6"/>
      <c r="CH123" s="6"/>
    </row>
    <row r="124" ht="13.5" customHeight="1">
      <c r="P124" s="6"/>
      <c r="AD124" s="6"/>
      <c r="AR124" s="6"/>
      <c r="BF124" s="6"/>
      <c r="BT124" s="6"/>
      <c r="CH124" s="6"/>
    </row>
    <row r="125" ht="13.5" customHeight="1">
      <c r="P125" s="6"/>
      <c r="AD125" s="6"/>
      <c r="AR125" s="6"/>
      <c r="BF125" s="6"/>
      <c r="BT125" s="6"/>
      <c r="CH125" s="6"/>
    </row>
    <row r="126" ht="13.5" customHeight="1">
      <c r="P126" s="6"/>
      <c r="AD126" s="6"/>
      <c r="AR126" s="6"/>
      <c r="BF126" s="6"/>
      <c r="BT126" s="6"/>
      <c r="CH126" s="6"/>
    </row>
    <row r="127" ht="13.5" customHeight="1">
      <c r="P127" s="6"/>
      <c r="AD127" s="6"/>
      <c r="AR127" s="6"/>
      <c r="BF127" s="6"/>
      <c r="BT127" s="6"/>
      <c r="CH127" s="6"/>
    </row>
    <row r="128" ht="13.5" customHeight="1">
      <c r="P128" s="6"/>
      <c r="AD128" s="6"/>
      <c r="AR128" s="6"/>
      <c r="BF128" s="6"/>
      <c r="BT128" s="6"/>
      <c r="CH128" s="6"/>
    </row>
    <row r="129" ht="13.5" customHeight="1">
      <c r="P129" s="6"/>
      <c r="AD129" s="6"/>
      <c r="AR129" s="6"/>
      <c r="BF129" s="6"/>
      <c r="BT129" s="6"/>
      <c r="CH129" s="6"/>
    </row>
    <row r="130" ht="13.5" customHeight="1">
      <c r="P130" s="6"/>
      <c r="AD130" s="6"/>
      <c r="AR130" s="6"/>
      <c r="BF130" s="6"/>
      <c r="BT130" s="6"/>
      <c r="CH130" s="6"/>
    </row>
    <row r="131" ht="13.5" customHeight="1">
      <c r="P131" s="6"/>
      <c r="AD131" s="6"/>
      <c r="AR131" s="6"/>
      <c r="BF131" s="6"/>
      <c r="BT131" s="6"/>
      <c r="CH131" s="6"/>
    </row>
    <row r="132" ht="13.5" customHeight="1">
      <c r="P132" s="6"/>
      <c r="AD132" s="6"/>
      <c r="AR132" s="6"/>
      <c r="BF132" s="6"/>
      <c r="BT132" s="6"/>
      <c r="CH132" s="6"/>
    </row>
    <row r="133" ht="13.5" customHeight="1">
      <c r="P133" s="6"/>
      <c r="AD133" s="6"/>
      <c r="AR133" s="6"/>
      <c r="BF133" s="6"/>
      <c r="BT133" s="6"/>
      <c r="CH133" s="6"/>
    </row>
    <row r="134" ht="13.5" customHeight="1">
      <c r="P134" s="6"/>
      <c r="AD134" s="6"/>
      <c r="AR134" s="6"/>
      <c r="BF134" s="6"/>
      <c r="BT134" s="6"/>
      <c r="CH134" s="6"/>
    </row>
    <row r="135" ht="13.5" customHeight="1">
      <c r="P135" s="6"/>
      <c r="AD135" s="6"/>
      <c r="AR135" s="6"/>
      <c r="BF135" s="6"/>
      <c r="BT135" s="6"/>
      <c r="CH135" s="6"/>
    </row>
    <row r="136" ht="13.5" customHeight="1">
      <c r="P136" s="6"/>
      <c r="AD136" s="6"/>
      <c r="AR136" s="6"/>
      <c r="BF136" s="6"/>
      <c r="BT136" s="6"/>
      <c r="CH136" s="6"/>
    </row>
    <row r="137" ht="13.5" customHeight="1">
      <c r="P137" s="6"/>
      <c r="AD137" s="6"/>
      <c r="AR137" s="6"/>
      <c r="BF137" s="6"/>
      <c r="BT137" s="6"/>
      <c r="CH137" s="6"/>
    </row>
    <row r="138" ht="13.5" customHeight="1">
      <c r="P138" s="6"/>
      <c r="AD138" s="6"/>
      <c r="AR138" s="6"/>
      <c r="BF138" s="6"/>
      <c r="BT138" s="6"/>
      <c r="CH138" s="6"/>
    </row>
    <row r="139" ht="13.5" customHeight="1">
      <c r="P139" s="6"/>
      <c r="AD139" s="6"/>
      <c r="AR139" s="6"/>
      <c r="BF139" s="6"/>
      <c r="BT139" s="6"/>
      <c r="CH139" s="6"/>
    </row>
    <row r="140" ht="13.5" customHeight="1">
      <c r="P140" s="6"/>
      <c r="AD140" s="6"/>
      <c r="AR140" s="6"/>
      <c r="BF140" s="6"/>
      <c r="BT140" s="6"/>
      <c r="CH140" s="6"/>
    </row>
    <row r="141" ht="13.5" customHeight="1">
      <c r="P141" s="6"/>
      <c r="AD141" s="6"/>
      <c r="AR141" s="6"/>
      <c r="BF141" s="6"/>
      <c r="BT141" s="6"/>
      <c r="CH141" s="6"/>
    </row>
    <row r="142" ht="13.5" customHeight="1">
      <c r="P142" s="6"/>
      <c r="AD142" s="6"/>
      <c r="AR142" s="6"/>
      <c r="BF142" s="6"/>
      <c r="BT142" s="6"/>
      <c r="CH142" s="6"/>
    </row>
    <row r="143" ht="13.5" customHeight="1">
      <c r="P143" s="6"/>
      <c r="AD143" s="6"/>
      <c r="AR143" s="6"/>
      <c r="BF143" s="6"/>
      <c r="BT143" s="6"/>
      <c r="CH143" s="6"/>
    </row>
    <row r="144" ht="13.5" customHeight="1">
      <c r="P144" s="6"/>
      <c r="AD144" s="6"/>
      <c r="AR144" s="6"/>
      <c r="BF144" s="6"/>
      <c r="BT144" s="6"/>
      <c r="CH144" s="6"/>
    </row>
    <row r="145" ht="13.5" customHeight="1">
      <c r="P145" s="6"/>
      <c r="AD145" s="6"/>
      <c r="AR145" s="6"/>
      <c r="BF145" s="6"/>
      <c r="BT145" s="6"/>
      <c r="CH145" s="6"/>
    </row>
    <row r="146" ht="13.5" customHeight="1">
      <c r="P146" s="6"/>
      <c r="AD146" s="6"/>
      <c r="AR146" s="6"/>
      <c r="BF146" s="6"/>
      <c r="BT146" s="6"/>
      <c r="CH146" s="6"/>
    </row>
    <row r="147" ht="13.5" customHeight="1">
      <c r="P147" s="6"/>
      <c r="AD147" s="6"/>
      <c r="AR147" s="6"/>
      <c r="BF147" s="6"/>
      <c r="BT147" s="6"/>
      <c r="CH147" s="6"/>
    </row>
    <row r="148" ht="13.5" customHeight="1">
      <c r="P148" s="6"/>
      <c r="AD148" s="6"/>
      <c r="AR148" s="6"/>
      <c r="BF148" s="6"/>
      <c r="BT148" s="6"/>
      <c r="CH148" s="6"/>
    </row>
    <row r="149" ht="13.5" customHeight="1">
      <c r="P149" s="6"/>
      <c r="AD149" s="6"/>
      <c r="AR149" s="6"/>
      <c r="BF149" s="6"/>
      <c r="BT149" s="6"/>
      <c r="CH149" s="6"/>
    </row>
    <row r="150" ht="13.5" customHeight="1">
      <c r="P150" s="6"/>
      <c r="AD150" s="6"/>
      <c r="AR150" s="6"/>
      <c r="BF150" s="6"/>
      <c r="BT150" s="6"/>
      <c r="CH150" s="6"/>
    </row>
    <row r="151" ht="13.5" customHeight="1">
      <c r="P151" s="6"/>
      <c r="AD151" s="6"/>
      <c r="AR151" s="6"/>
      <c r="BF151" s="6"/>
      <c r="BT151" s="6"/>
      <c r="CH151" s="6"/>
    </row>
    <row r="152" ht="13.5" customHeight="1">
      <c r="P152" s="6"/>
      <c r="AD152" s="6"/>
      <c r="AR152" s="6"/>
      <c r="BF152" s="6"/>
      <c r="BT152" s="6"/>
      <c r="CH152" s="6"/>
    </row>
    <row r="153" ht="13.5" customHeight="1">
      <c r="P153" s="6"/>
      <c r="AD153" s="6"/>
      <c r="AR153" s="6"/>
      <c r="BF153" s="6"/>
      <c r="BT153" s="6"/>
      <c r="CH153" s="6"/>
    </row>
    <row r="154" ht="13.5" customHeight="1">
      <c r="P154" s="6"/>
      <c r="AD154" s="6"/>
      <c r="AR154" s="6"/>
      <c r="BF154" s="6"/>
      <c r="BT154" s="6"/>
      <c r="CH154" s="6"/>
    </row>
    <row r="155" ht="13.5" customHeight="1">
      <c r="P155" s="6"/>
      <c r="AD155" s="6"/>
      <c r="AR155" s="6"/>
      <c r="BF155" s="6"/>
      <c r="BT155" s="6"/>
      <c r="CH155" s="6"/>
    </row>
    <row r="156" ht="13.5" customHeight="1">
      <c r="P156" s="6"/>
      <c r="AD156" s="6"/>
      <c r="AR156" s="6"/>
      <c r="BF156" s="6"/>
      <c r="BT156" s="6"/>
      <c r="CH156" s="6"/>
    </row>
    <row r="157" ht="13.5" customHeight="1">
      <c r="P157" s="6"/>
      <c r="AD157" s="6"/>
      <c r="AR157" s="6"/>
      <c r="BF157" s="6"/>
      <c r="BT157" s="6"/>
      <c r="CH157" s="6"/>
    </row>
    <row r="158" ht="13.5" customHeight="1">
      <c r="P158" s="6"/>
      <c r="AD158" s="6"/>
      <c r="AR158" s="6"/>
      <c r="BF158" s="6"/>
      <c r="BT158" s="6"/>
      <c r="CH158" s="6"/>
    </row>
    <row r="159" ht="13.5" customHeight="1">
      <c r="P159" s="6"/>
      <c r="AD159" s="6"/>
      <c r="AR159" s="6"/>
      <c r="BF159" s="6"/>
      <c r="BT159" s="6"/>
      <c r="CH159" s="6"/>
    </row>
    <row r="160" ht="13.5" customHeight="1">
      <c r="P160" s="6"/>
      <c r="AD160" s="6"/>
      <c r="AR160" s="6"/>
      <c r="BF160" s="6"/>
      <c r="BT160" s="6"/>
      <c r="CH160" s="6"/>
    </row>
    <row r="161" ht="13.5" customHeight="1">
      <c r="P161" s="6"/>
      <c r="AD161" s="6"/>
      <c r="AR161" s="6"/>
      <c r="BF161" s="6"/>
      <c r="BT161" s="6"/>
      <c r="CH161" s="6"/>
    </row>
    <row r="162" ht="13.5" customHeight="1">
      <c r="P162" s="6"/>
      <c r="AD162" s="6"/>
      <c r="AR162" s="6"/>
      <c r="BF162" s="6"/>
      <c r="BT162" s="6"/>
      <c r="CH162" s="6"/>
    </row>
    <row r="163" ht="13.5" customHeight="1">
      <c r="P163" s="6"/>
      <c r="AD163" s="6"/>
      <c r="AR163" s="6"/>
      <c r="BF163" s="6"/>
      <c r="BT163" s="6"/>
      <c r="CH163" s="6"/>
    </row>
    <row r="164" ht="13.5" customHeight="1">
      <c r="P164" s="6"/>
      <c r="AD164" s="6"/>
      <c r="AR164" s="6"/>
      <c r="BF164" s="6"/>
      <c r="BT164" s="6"/>
      <c r="CH164" s="6"/>
    </row>
    <row r="165" ht="13.5" customHeight="1">
      <c r="P165" s="6"/>
      <c r="AD165" s="6"/>
      <c r="AR165" s="6"/>
      <c r="BF165" s="6"/>
      <c r="BT165" s="6"/>
      <c r="CH165" s="6"/>
    </row>
    <row r="166" ht="13.5" customHeight="1">
      <c r="P166" s="6"/>
      <c r="AD166" s="6"/>
      <c r="AR166" s="6"/>
      <c r="BF166" s="6"/>
      <c r="BT166" s="6"/>
      <c r="CH166" s="6"/>
    </row>
    <row r="167" ht="13.5" customHeight="1">
      <c r="P167" s="6"/>
      <c r="AD167" s="6"/>
      <c r="AR167" s="6"/>
      <c r="BF167" s="6"/>
      <c r="BT167" s="6"/>
      <c r="CH167" s="6"/>
    </row>
    <row r="168" ht="13.5" customHeight="1">
      <c r="P168" s="6"/>
      <c r="AD168" s="6"/>
      <c r="AR168" s="6"/>
      <c r="BF168" s="6"/>
      <c r="BT168" s="6"/>
      <c r="CH168" s="6"/>
    </row>
    <row r="169" ht="13.5" customHeight="1">
      <c r="P169" s="6"/>
      <c r="AD169" s="6"/>
      <c r="AR169" s="6"/>
      <c r="BF169" s="6"/>
      <c r="BT169" s="6"/>
      <c r="CH169" s="6"/>
    </row>
    <row r="170" ht="13.5" customHeight="1">
      <c r="P170" s="6"/>
      <c r="AD170" s="6"/>
      <c r="AR170" s="6"/>
      <c r="BF170" s="6"/>
      <c r="BT170" s="6"/>
      <c r="CH170" s="6"/>
    </row>
    <row r="171" ht="13.5" customHeight="1">
      <c r="P171" s="6"/>
      <c r="AD171" s="6"/>
      <c r="AR171" s="6"/>
      <c r="BF171" s="6"/>
      <c r="BT171" s="6"/>
      <c r="CH171" s="6"/>
    </row>
    <row r="172" ht="13.5" customHeight="1">
      <c r="P172" s="6"/>
      <c r="AD172" s="6"/>
      <c r="AR172" s="6"/>
      <c r="BF172" s="6"/>
      <c r="BT172" s="6"/>
      <c r="CH172" s="6"/>
    </row>
    <row r="173" ht="13.5" customHeight="1">
      <c r="P173" s="6"/>
      <c r="AD173" s="6"/>
      <c r="AR173" s="6"/>
      <c r="BF173" s="6"/>
      <c r="BT173" s="6"/>
      <c r="CH173" s="6"/>
    </row>
    <row r="174" ht="13.5" customHeight="1">
      <c r="P174" s="6"/>
      <c r="AD174" s="6"/>
      <c r="AR174" s="6"/>
      <c r="BF174" s="6"/>
      <c r="BT174" s="6"/>
      <c r="CH174" s="6"/>
    </row>
    <row r="175" ht="13.5" customHeight="1">
      <c r="P175" s="6"/>
      <c r="AD175" s="6"/>
      <c r="AR175" s="6"/>
      <c r="BF175" s="6"/>
      <c r="BT175" s="6"/>
      <c r="CH175" s="6"/>
    </row>
    <row r="176" ht="13.5" customHeight="1">
      <c r="P176" s="6"/>
      <c r="AD176" s="6"/>
      <c r="AR176" s="6"/>
      <c r="BF176" s="6"/>
      <c r="BT176" s="6"/>
      <c r="CH176" s="6"/>
    </row>
    <row r="177" ht="13.5" customHeight="1">
      <c r="P177" s="6"/>
      <c r="AD177" s="6"/>
      <c r="AR177" s="6"/>
      <c r="BF177" s="6"/>
      <c r="BT177" s="6"/>
      <c r="CH177" s="6"/>
    </row>
    <row r="178" ht="13.5" customHeight="1">
      <c r="P178" s="6"/>
      <c r="AD178" s="6"/>
      <c r="AR178" s="6"/>
      <c r="BF178" s="6"/>
      <c r="BT178" s="6"/>
      <c r="CH178" s="6"/>
    </row>
    <row r="179" ht="13.5" customHeight="1">
      <c r="P179" s="6"/>
      <c r="AD179" s="6"/>
      <c r="AR179" s="6"/>
      <c r="BF179" s="6"/>
      <c r="BT179" s="6"/>
      <c r="CH179" s="6"/>
    </row>
    <row r="180" ht="13.5" customHeight="1">
      <c r="P180" s="6"/>
      <c r="AD180" s="6"/>
      <c r="AR180" s="6"/>
      <c r="BF180" s="6"/>
      <c r="BT180" s="6"/>
      <c r="CH180" s="6"/>
    </row>
    <row r="181" ht="13.5" customHeight="1">
      <c r="P181" s="6"/>
      <c r="AD181" s="6"/>
      <c r="AR181" s="6"/>
      <c r="BF181" s="6"/>
      <c r="BT181" s="6"/>
      <c r="CH181" s="6"/>
    </row>
    <row r="182" ht="13.5" customHeight="1">
      <c r="P182" s="6"/>
      <c r="AD182" s="6"/>
      <c r="AR182" s="6"/>
      <c r="BF182" s="6"/>
      <c r="BT182" s="6"/>
      <c r="CH182" s="6"/>
    </row>
    <row r="183" ht="13.5" customHeight="1">
      <c r="P183" s="6"/>
      <c r="AD183" s="6"/>
      <c r="AR183" s="6"/>
      <c r="BF183" s="6"/>
      <c r="BT183" s="6"/>
      <c r="CH183" s="6"/>
    </row>
    <row r="184" ht="13.5" customHeight="1">
      <c r="P184" s="6"/>
      <c r="AD184" s="6"/>
      <c r="AR184" s="6"/>
      <c r="BF184" s="6"/>
      <c r="BT184" s="6"/>
      <c r="CH184" s="6"/>
    </row>
    <row r="185" ht="13.5" customHeight="1">
      <c r="P185" s="6"/>
      <c r="AD185" s="6"/>
      <c r="AR185" s="6"/>
      <c r="BF185" s="6"/>
      <c r="BT185" s="6"/>
      <c r="CH185" s="6"/>
    </row>
    <row r="186" ht="13.5" customHeight="1">
      <c r="P186" s="6"/>
      <c r="AD186" s="6"/>
      <c r="AR186" s="6"/>
      <c r="BF186" s="6"/>
      <c r="BT186" s="6"/>
      <c r="CH186" s="6"/>
    </row>
    <row r="187" ht="13.5" customHeight="1">
      <c r="P187" s="6"/>
      <c r="AD187" s="6"/>
      <c r="AR187" s="6"/>
      <c r="BF187" s="6"/>
      <c r="BT187" s="6"/>
      <c r="CH187" s="6"/>
    </row>
    <row r="188" ht="13.5" customHeight="1">
      <c r="P188" s="6"/>
      <c r="AD188" s="6"/>
      <c r="AR188" s="6"/>
      <c r="BF188" s="6"/>
      <c r="BT188" s="6"/>
      <c r="CH188" s="6"/>
    </row>
    <row r="189" ht="13.5" customHeight="1">
      <c r="P189" s="6"/>
      <c r="AD189" s="6"/>
      <c r="AR189" s="6"/>
      <c r="BF189" s="6"/>
      <c r="BT189" s="6"/>
      <c r="CH189" s="6"/>
    </row>
    <row r="190" ht="13.5" customHeight="1">
      <c r="P190" s="6"/>
      <c r="AD190" s="6"/>
      <c r="AR190" s="6"/>
      <c r="BF190" s="6"/>
      <c r="BT190" s="6"/>
      <c r="CH190" s="6"/>
    </row>
    <row r="191" ht="13.5" customHeight="1">
      <c r="P191" s="6"/>
      <c r="AD191" s="6"/>
      <c r="AR191" s="6"/>
      <c r="BF191" s="6"/>
      <c r="BT191" s="6"/>
      <c r="CH191" s="6"/>
    </row>
    <row r="192" ht="13.5" customHeight="1">
      <c r="P192" s="6"/>
      <c r="AD192" s="6"/>
      <c r="AR192" s="6"/>
      <c r="BF192" s="6"/>
      <c r="BT192" s="6"/>
      <c r="CH192" s="6"/>
    </row>
    <row r="193" ht="13.5" customHeight="1">
      <c r="P193" s="6"/>
      <c r="AD193" s="6"/>
      <c r="AR193" s="6"/>
      <c r="BF193" s="6"/>
      <c r="BT193" s="6"/>
      <c r="CH193" s="6"/>
    </row>
    <row r="194" ht="13.5" customHeight="1">
      <c r="P194" s="6"/>
      <c r="AD194" s="6"/>
      <c r="AR194" s="6"/>
      <c r="BF194" s="6"/>
      <c r="BT194" s="6"/>
      <c r="CH194" s="6"/>
    </row>
    <row r="195" ht="13.5" customHeight="1">
      <c r="P195" s="6"/>
      <c r="AD195" s="6"/>
      <c r="AR195" s="6"/>
      <c r="BF195" s="6"/>
      <c r="BT195" s="6"/>
      <c r="CH195" s="6"/>
    </row>
    <row r="196" ht="13.5" customHeight="1">
      <c r="P196" s="6"/>
      <c r="AD196" s="6"/>
      <c r="AR196" s="6"/>
      <c r="BF196" s="6"/>
      <c r="BT196" s="6"/>
      <c r="CH196" s="6"/>
    </row>
    <row r="197" ht="13.5" customHeight="1">
      <c r="P197" s="6"/>
      <c r="AD197" s="6"/>
      <c r="AR197" s="6"/>
      <c r="BF197" s="6"/>
      <c r="BT197" s="6"/>
      <c r="CH197" s="6"/>
    </row>
    <row r="198" ht="13.5" customHeight="1">
      <c r="P198" s="6"/>
      <c r="AD198" s="6"/>
      <c r="AR198" s="6"/>
      <c r="BF198" s="6"/>
      <c r="BT198" s="6"/>
      <c r="CH198" s="6"/>
    </row>
    <row r="199" ht="13.5" customHeight="1">
      <c r="P199" s="6"/>
      <c r="AD199" s="6"/>
      <c r="AR199" s="6"/>
      <c r="BF199" s="6"/>
      <c r="BT199" s="6"/>
      <c r="CH199" s="6"/>
    </row>
    <row r="200" ht="13.5" customHeight="1">
      <c r="P200" s="6"/>
      <c r="AD200" s="6"/>
      <c r="AR200" s="6"/>
      <c r="BF200" s="6"/>
      <c r="BT200" s="6"/>
      <c r="CH200" s="6"/>
    </row>
    <row r="201" ht="13.5" customHeight="1">
      <c r="P201" s="6"/>
      <c r="AD201" s="6"/>
      <c r="AR201" s="6"/>
      <c r="BF201" s="6"/>
      <c r="BT201" s="6"/>
      <c r="CH201" s="6"/>
    </row>
    <row r="202" ht="13.5" customHeight="1">
      <c r="P202" s="6"/>
      <c r="AD202" s="6"/>
      <c r="AR202" s="6"/>
      <c r="BF202" s="6"/>
      <c r="BT202" s="6"/>
      <c r="CH202" s="6"/>
    </row>
    <row r="203" ht="13.5" customHeight="1">
      <c r="P203" s="6"/>
      <c r="AD203" s="6"/>
      <c r="AR203" s="6"/>
      <c r="BF203" s="6"/>
      <c r="BT203" s="6"/>
      <c r="CH203" s="6"/>
    </row>
    <row r="204" ht="13.5" customHeight="1">
      <c r="P204" s="6"/>
      <c r="AD204" s="6"/>
      <c r="AR204" s="6"/>
      <c r="BF204" s="6"/>
      <c r="BT204" s="6"/>
      <c r="CH204" s="6"/>
    </row>
    <row r="205" ht="13.5" customHeight="1">
      <c r="P205" s="6"/>
      <c r="AD205" s="6"/>
      <c r="AR205" s="6"/>
      <c r="BF205" s="6"/>
      <c r="BT205" s="6"/>
      <c r="CH205" s="6"/>
    </row>
    <row r="206" ht="13.5" customHeight="1">
      <c r="P206" s="6"/>
      <c r="AD206" s="6"/>
      <c r="AR206" s="6"/>
      <c r="BF206" s="6"/>
      <c r="BT206" s="6"/>
      <c r="CH206" s="6"/>
    </row>
    <row r="207" ht="13.5" customHeight="1">
      <c r="P207" s="6"/>
      <c r="AD207" s="6"/>
      <c r="AR207" s="6"/>
      <c r="BF207" s="6"/>
      <c r="BT207" s="6"/>
      <c r="CH207" s="6"/>
    </row>
    <row r="208" ht="13.5" customHeight="1">
      <c r="P208" s="6"/>
      <c r="AD208" s="6"/>
      <c r="AR208" s="6"/>
      <c r="BF208" s="6"/>
      <c r="BT208" s="6"/>
      <c r="CH208" s="6"/>
    </row>
    <row r="209" ht="13.5" customHeight="1">
      <c r="P209" s="6"/>
      <c r="AD209" s="6"/>
      <c r="AR209" s="6"/>
      <c r="BF209" s="6"/>
      <c r="BT209" s="6"/>
      <c r="CH209" s="6"/>
    </row>
    <row r="210" ht="13.5" customHeight="1">
      <c r="P210" s="6"/>
      <c r="AD210" s="6"/>
      <c r="AR210" s="6"/>
      <c r="BF210" s="6"/>
      <c r="BT210" s="6"/>
      <c r="CH210" s="6"/>
    </row>
    <row r="211" ht="13.5" customHeight="1">
      <c r="P211" s="6"/>
      <c r="AD211" s="6"/>
      <c r="AR211" s="6"/>
      <c r="BF211" s="6"/>
      <c r="BT211" s="6"/>
      <c r="CH211" s="6"/>
    </row>
    <row r="212" ht="13.5" customHeight="1">
      <c r="P212" s="6"/>
      <c r="AD212" s="6"/>
      <c r="AR212" s="6"/>
      <c r="BF212" s="6"/>
      <c r="BT212" s="6"/>
      <c r="CH212" s="6"/>
    </row>
    <row r="213" ht="13.5" customHeight="1">
      <c r="P213" s="6"/>
      <c r="AD213" s="6"/>
      <c r="AR213" s="6"/>
      <c r="BF213" s="6"/>
      <c r="BT213" s="6"/>
      <c r="CH213" s="6"/>
    </row>
    <row r="214" ht="13.5" customHeight="1">
      <c r="P214" s="6"/>
      <c r="AD214" s="6"/>
      <c r="AR214" s="6"/>
      <c r="BF214" s="6"/>
      <c r="BT214" s="6"/>
      <c r="CH214" s="6"/>
    </row>
    <row r="215" ht="13.5" customHeight="1">
      <c r="P215" s="6"/>
      <c r="AD215" s="6"/>
      <c r="AR215" s="6"/>
      <c r="BF215" s="6"/>
      <c r="BT215" s="6"/>
      <c r="CH215" s="6"/>
    </row>
    <row r="216" ht="13.5" customHeight="1">
      <c r="P216" s="6"/>
      <c r="AD216" s="6"/>
      <c r="AR216" s="6"/>
      <c r="BF216" s="6"/>
      <c r="BT216" s="6"/>
      <c r="CH216" s="6"/>
    </row>
    <row r="217" ht="13.5" customHeight="1">
      <c r="P217" s="6"/>
      <c r="AD217" s="6"/>
      <c r="AR217" s="6"/>
      <c r="BF217" s="6"/>
      <c r="BT217" s="6"/>
      <c r="CH217" s="6"/>
    </row>
    <row r="218" ht="13.5" customHeight="1">
      <c r="P218" s="6"/>
      <c r="AD218" s="6"/>
      <c r="AR218" s="6"/>
      <c r="BF218" s="6"/>
      <c r="BT218" s="6"/>
      <c r="CH218" s="6"/>
    </row>
    <row r="219" ht="13.5" customHeight="1">
      <c r="P219" s="6"/>
      <c r="AD219" s="6"/>
      <c r="AR219" s="6"/>
      <c r="BF219" s="6"/>
      <c r="BT219" s="6"/>
      <c r="CH219" s="6"/>
    </row>
    <row r="220" ht="13.5" customHeight="1">
      <c r="P220" s="6"/>
      <c r="AD220" s="6"/>
      <c r="AR220" s="6"/>
      <c r="BF220" s="6"/>
      <c r="BT220" s="6"/>
      <c r="CH220" s="6"/>
    </row>
    <row r="221" ht="13.5" customHeight="1">
      <c r="P221" s="6"/>
      <c r="AD221" s="6"/>
      <c r="AR221" s="6"/>
      <c r="BF221" s="6"/>
      <c r="BT221" s="6"/>
      <c r="CH221" s="6"/>
    </row>
    <row r="222" ht="13.5" customHeight="1">
      <c r="P222" s="6"/>
      <c r="AD222" s="6"/>
      <c r="AR222" s="6"/>
      <c r="BF222" s="6"/>
      <c r="BT222" s="6"/>
      <c r="CH222" s="6"/>
    </row>
    <row r="223" ht="13.5" customHeight="1">
      <c r="P223" s="6"/>
      <c r="AD223" s="6"/>
      <c r="AR223" s="6"/>
      <c r="BF223" s="6"/>
      <c r="BT223" s="6"/>
      <c r="CH223" s="6"/>
    </row>
    <row r="224" ht="13.5" customHeight="1">
      <c r="P224" s="6"/>
      <c r="AD224" s="6"/>
      <c r="AR224" s="6"/>
      <c r="BF224" s="6"/>
      <c r="BT224" s="6"/>
      <c r="CH224" s="6"/>
    </row>
    <row r="225" ht="13.5" customHeight="1">
      <c r="P225" s="6"/>
      <c r="AD225" s="6"/>
      <c r="AR225" s="6"/>
      <c r="BF225" s="6"/>
      <c r="BT225" s="6"/>
      <c r="CH225" s="6"/>
    </row>
    <row r="226" ht="13.5" customHeight="1">
      <c r="P226" s="6"/>
      <c r="AD226" s="6"/>
      <c r="AR226" s="6"/>
      <c r="BF226" s="6"/>
      <c r="BT226" s="6"/>
      <c r="CH226" s="6"/>
    </row>
    <row r="227" ht="13.5" customHeight="1">
      <c r="P227" s="6"/>
      <c r="AD227" s="6"/>
      <c r="AR227" s="6"/>
      <c r="BF227" s="6"/>
      <c r="BT227" s="6"/>
      <c r="CH227" s="6"/>
    </row>
    <row r="228" ht="13.5" customHeight="1">
      <c r="P228" s="6"/>
      <c r="AD228" s="6"/>
      <c r="AR228" s="6"/>
      <c r="BF228" s="6"/>
      <c r="BT228" s="6"/>
      <c r="CH228" s="6"/>
    </row>
    <row r="229" ht="13.5" customHeight="1">
      <c r="P229" s="6"/>
      <c r="AD229" s="6"/>
      <c r="AR229" s="6"/>
      <c r="BF229" s="6"/>
      <c r="BT229" s="6"/>
      <c r="CH229" s="6"/>
    </row>
    <row r="230" ht="13.5" customHeight="1">
      <c r="P230" s="6"/>
      <c r="AD230" s="6"/>
      <c r="AR230" s="6"/>
      <c r="BF230" s="6"/>
      <c r="BT230" s="6"/>
      <c r="CH230" s="6"/>
    </row>
    <row r="231" ht="13.5" customHeight="1">
      <c r="P231" s="6"/>
      <c r="AD231" s="6"/>
      <c r="AR231" s="6"/>
      <c r="BF231" s="6"/>
      <c r="BT231" s="6"/>
      <c r="CH231" s="6"/>
    </row>
    <row r="232" ht="13.5" customHeight="1">
      <c r="P232" s="6"/>
      <c r="AD232" s="6"/>
      <c r="AR232" s="6"/>
      <c r="BF232" s="6"/>
      <c r="BT232" s="6"/>
      <c r="CH232" s="6"/>
    </row>
    <row r="233" ht="13.5" customHeight="1">
      <c r="P233" s="6"/>
      <c r="AD233" s="6"/>
      <c r="AR233" s="6"/>
      <c r="BF233" s="6"/>
      <c r="BT233" s="6"/>
      <c r="CH233" s="6"/>
    </row>
    <row r="234" ht="13.5" customHeight="1">
      <c r="P234" s="6"/>
      <c r="AD234" s="6"/>
      <c r="AR234" s="6"/>
      <c r="BF234" s="6"/>
      <c r="BT234" s="6"/>
      <c r="CH234" s="6"/>
    </row>
    <row r="235" ht="13.5" customHeight="1">
      <c r="P235" s="6"/>
      <c r="AD235" s="6"/>
      <c r="AR235" s="6"/>
      <c r="BF235" s="6"/>
      <c r="BT235" s="6"/>
      <c r="CH235" s="6"/>
    </row>
    <row r="236" ht="13.5" customHeight="1">
      <c r="P236" s="6"/>
      <c r="AD236" s="6"/>
      <c r="AR236" s="6"/>
      <c r="BF236" s="6"/>
      <c r="BT236" s="6"/>
      <c r="CH236" s="6"/>
    </row>
    <row r="237" ht="13.5" customHeight="1">
      <c r="P237" s="6"/>
      <c r="AD237" s="6"/>
      <c r="AR237" s="6"/>
      <c r="BF237" s="6"/>
      <c r="BT237" s="6"/>
      <c r="CH237" s="6"/>
    </row>
    <row r="238" ht="13.5" customHeight="1">
      <c r="P238" s="6"/>
      <c r="AD238" s="6"/>
      <c r="AR238" s="6"/>
      <c r="BF238" s="6"/>
      <c r="BT238" s="6"/>
      <c r="CH238" s="6"/>
    </row>
    <row r="239" ht="13.5" customHeight="1">
      <c r="P239" s="6"/>
      <c r="AD239" s="6"/>
      <c r="AR239" s="6"/>
      <c r="BF239" s="6"/>
      <c r="BT239" s="6"/>
      <c r="CH239" s="6"/>
    </row>
    <row r="240" ht="13.5" customHeight="1">
      <c r="P240" s="6"/>
      <c r="AD240" s="6"/>
      <c r="AR240" s="6"/>
      <c r="BF240" s="6"/>
      <c r="BT240" s="6"/>
      <c r="CH240" s="6"/>
    </row>
    <row r="241" ht="13.5" customHeight="1">
      <c r="P241" s="6"/>
      <c r="AD241" s="6"/>
      <c r="AR241" s="6"/>
      <c r="BF241" s="6"/>
      <c r="BT241" s="6"/>
      <c r="CH241" s="6"/>
    </row>
    <row r="242" ht="13.5" customHeight="1">
      <c r="P242" s="6"/>
      <c r="AD242" s="6"/>
      <c r="AR242" s="6"/>
      <c r="BF242" s="6"/>
      <c r="BT242" s="6"/>
      <c r="CH242" s="6"/>
    </row>
    <row r="243" ht="13.5" customHeight="1">
      <c r="P243" s="6"/>
      <c r="AD243" s="6"/>
      <c r="AR243" s="6"/>
      <c r="BF243" s="6"/>
      <c r="BT243" s="6"/>
      <c r="CH243" s="6"/>
    </row>
    <row r="244" ht="13.5" customHeight="1">
      <c r="P244" s="6"/>
      <c r="AD244" s="6"/>
      <c r="AR244" s="6"/>
      <c r="BF244" s="6"/>
      <c r="BT244" s="6"/>
      <c r="CH244" s="6"/>
    </row>
    <row r="245" ht="13.5" customHeight="1">
      <c r="P245" s="6"/>
      <c r="AD245" s="6"/>
      <c r="AR245" s="6"/>
      <c r="BF245" s="6"/>
      <c r="BT245" s="6"/>
      <c r="CH245" s="6"/>
    </row>
    <row r="246" ht="13.5" customHeight="1">
      <c r="P246" s="6"/>
      <c r="AD246" s="6"/>
      <c r="AR246" s="6"/>
      <c r="BF246" s="6"/>
      <c r="BT246" s="6"/>
      <c r="CH246" s="6"/>
    </row>
    <row r="247" ht="13.5" customHeight="1">
      <c r="P247" s="6"/>
      <c r="AD247" s="6"/>
      <c r="AR247" s="6"/>
      <c r="BF247" s="6"/>
      <c r="BT247" s="6"/>
      <c r="CH247" s="6"/>
    </row>
    <row r="248" ht="13.5" customHeight="1">
      <c r="P248" s="6"/>
      <c r="AD248" s="6"/>
      <c r="AR248" s="6"/>
      <c r="BF248" s="6"/>
      <c r="BT248" s="6"/>
      <c r="CH248" s="6"/>
    </row>
    <row r="249" ht="13.5" customHeight="1">
      <c r="P249" s="6"/>
      <c r="AD249" s="6"/>
      <c r="AR249" s="6"/>
      <c r="BF249" s="6"/>
      <c r="BT249" s="6"/>
      <c r="CH249" s="6"/>
    </row>
    <row r="250" ht="13.5" customHeight="1">
      <c r="P250" s="6"/>
      <c r="AD250" s="6"/>
      <c r="AR250" s="6"/>
      <c r="BF250" s="6"/>
      <c r="BT250" s="6"/>
      <c r="CH250" s="6"/>
    </row>
    <row r="251" ht="13.5" customHeight="1">
      <c r="P251" s="6"/>
      <c r="AD251" s="6"/>
      <c r="AR251" s="6"/>
      <c r="BF251" s="6"/>
      <c r="BT251" s="6"/>
      <c r="CH251" s="6"/>
    </row>
    <row r="252" ht="13.5" customHeight="1">
      <c r="P252" s="6"/>
      <c r="AD252" s="6"/>
      <c r="AR252" s="6"/>
      <c r="BF252" s="6"/>
      <c r="BT252" s="6"/>
      <c r="CH252" s="6"/>
    </row>
    <row r="253" ht="13.5" customHeight="1">
      <c r="P253" s="6"/>
      <c r="AD253" s="6"/>
      <c r="AR253" s="6"/>
      <c r="BF253" s="6"/>
      <c r="BT253" s="6"/>
      <c r="CH253" s="6"/>
    </row>
    <row r="254" ht="13.5" customHeight="1">
      <c r="P254" s="6"/>
      <c r="AD254" s="6"/>
      <c r="AR254" s="6"/>
      <c r="BF254" s="6"/>
      <c r="BT254" s="6"/>
      <c r="CH254" s="6"/>
    </row>
    <row r="255" ht="13.5" customHeight="1">
      <c r="P255" s="6"/>
      <c r="AD255" s="6"/>
      <c r="AR255" s="6"/>
      <c r="BF255" s="6"/>
      <c r="BT255" s="6"/>
      <c r="CH255" s="6"/>
    </row>
    <row r="256" ht="13.5" customHeight="1">
      <c r="P256" s="6"/>
      <c r="AD256" s="6"/>
      <c r="AR256" s="6"/>
      <c r="BF256" s="6"/>
      <c r="BT256" s="6"/>
      <c r="CH256" s="6"/>
    </row>
    <row r="257" ht="13.5" customHeight="1">
      <c r="P257" s="6"/>
      <c r="AD257" s="6"/>
      <c r="AR257" s="6"/>
      <c r="BF257" s="6"/>
      <c r="BT257" s="6"/>
      <c r="CH257" s="6"/>
    </row>
    <row r="258" ht="13.5" customHeight="1">
      <c r="P258" s="6"/>
      <c r="AD258" s="6"/>
      <c r="AR258" s="6"/>
      <c r="BF258" s="6"/>
      <c r="BT258" s="6"/>
      <c r="CH258" s="6"/>
    </row>
    <row r="259" ht="13.5" customHeight="1">
      <c r="P259" s="6"/>
      <c r="AD259" s="6"/>
      <c r="AR259" s="6"/>
      <c r="BF259" s="6"/>
      <c r="BT259" s="6"/>
      <c r="CH259" s="6"/>
    </row>
    <row r="260" ht="13.5" customHeight="1">
      <c r="P260" s="6"/>
      <c r="AD260" s="6"/>
      <c r="AR260" s="6"/>
      <c r="BF260" s="6"/>
      <c r="BT260" s="6"/>
      <c r="CH260" s="6"/>
    </row>
    <row r="261" ht="13.5" customHeight="1">
      <c r="P261" s="6"/>
      <c r="AD261" s="6"/>
      <c r="AR261" s="6"/>
      <c r="BF261" s="6"/>
      <c r="BT261" s="6"/>
      <c r="CH261" s="6"/>
    </row>
    <row r="262" ht="13.5" customHeight="1">
      <c r="P262" s="6"/>
      <c r="AD262" s="6"/>
      <c r="AR262" s="6"/>
      <c r="BF262" s="6"/>
      <c r="BT262" s="6"/>
      <c r="CH262" s="6"/>
    </row>
    <row r="263" ht="13.5" customHeight="1">
      <c r="P263" s="6"/>
      <c r="AD263" s="6"/>
      <c r="AR263" s="6"/>
      <c r="BF263" s="6"/>
      <c r="BT263" s="6"/>
      <c r="CH263" s="6"/>
    </row>
    <row r="264" ht="13.5" customHeight="1">
      <c r="P264" s="6"/>
      <c r="AD264" s="6"/>
      <c r="AR264" s="6"/>
      <c r="BF264" s="6"/>
      <c r="BT264" s="6"/>
      <c r="CH264" s="6"/>
    </row>
    <row r="265" ht="13.5" customHeight="1">
      <c r="P265" s="6"/>
      <c r="AD265" s="6"/>
      <c r="AR265" s="6"/>
      <c r="BF265" s="6"/>
      <c r="BT265" s="6"/>
      <c r="CH265" s="6"/>
    </row>
    <row r="266" ht="13.5" customHeight="1">
      <c r="P266" s="6"/>
      <c r="AD266" s="6"/>
      <c r="AR266" s="6"/>
      <c r="BF266" s="6"/>
      <c r="BT266" s="6"/>
      <c r="CH266" s="6"/>
    </row>
    <row r="267" ht="13.5" customHeight="1">
      <c r="P267" s="6"/>
      <c r="AD267" s="6"/>
      <c r="AR267" s="6"/>
      <c r="BF267" s="6"/>
      <c r="BT267" s="6"/>
      <c r="CH267" s="6"/>
    </row>
    <row r="268" ht="13.5" customHeight="1">
      <c r="P268" s="6"/>
      <c r="AD268" s="6"/>
      <c r="AR268" s="6"/>
      <c r="BF268" s="6"/>
      <c r="BT268" s="6"/>
      <c r="CH268" s="6"/>
    </row>
    <row r="269" ht="13.5" customHeight="1">
      <c r="P269" s="6"/>
      <c r="AD269" s="6"/>
      <c r="AR269" s="6"/>
      <c r="BF269" s="6"/>
      <c r="BT269" s="6"/>
      <c r="CH269" s="6"/>
    </row>
    <row r="270" ht="13.5" customHeight="1">
      <c r="P270" s="6"/>
      <c r="AD270" s="6"/>
      <c r="AR270" s="6"/>
      <c r="BF270" s="6"/>
      <c r="BT270" s="6"/>
      <c r="CH270" s="6"/>
    </row>
    <row r="271" ht="13.5" customHeight="1">
      <c r="P271" s="6"/>
      <c r="AD271" s="6"/>
      <c r="AR271" s="6"/>
      <c r="BF271" s="6"/>
      <c r="BT271" s="6"/>
      <c r="CH271" s="6"/>
    </row>
    <row r="272" ht="13.5" customHeight="1">
      <c r="P272" s="6"/>
      <c r="AD272" s="6"/>
      <c r="AR272" s="6"/>
      <c r="BF272" s="6"/>
      <c r="BT272" s="6"/>
      <c r="CH272" s="6"/>
    </row>
    <row r="273" ht="13.5" customHeight="1">
      <c r="P273" s="6"/>
      <c r="AD273" s="6"/>
      <c r="AR273" s="6"/>
      <c r="BF273" s="6"/>
      <c r="BT273" s="6"/>
      <c r="CH273" s="6"/>
    </row>
    <row r="274" ht="13.5" customHeight="1">
      <c r="P274" s="6"/>
      <c r="AD274" s="6"/>
      <c r="AR274" s="6"/>
      <c r="BF274" s="6"/>
      <c r="BT274" s="6"/>
      <c r="CH274" s="6"/>
    </row>
    <row r="275" ht="13.5" customHeight="1">
      <c r="P275" s="6"/>
      <c r="AD275" s="6"/>
      <c r="AR275" s="6"/>
      <c r="BF275" s="6"/>
      <c r="BT275" s="6"/>
      <c r="CH275" s="6"/>
    </row>
    <row r="276" ht="13.5" customHeight="1">
      <c r="P276" s="6"/>
      <c r="AD276" s="6"/>
      <c r="AR276" s="6"/>
      <c r="BF276" s="6"/>
      <c r="BT276" s="6"/>
      <c r="CH276" s="6"/>
    </row>
    <row r="277" ht="13.5" customHeight="1">
      <c r="P277" s="6"/>
      <c r="AD277" s="6"/>
      <c r="AR277" s="6"/>
      <c r="BF277" s="6"/>
      <c r="BT277" s="6"/>
      <c r="CH277" s="6"/>
    </row>
    <row r="278" ht="13.5" customHeight="1">
      <c r="P278" s="6"/>
      <c r="AD278" s="6"/>
      <c r="AR278" s="6"/>
      <c r="BF278" s="6"/>
      <c r="BT278" s="6"/>
      <c r="CH278" s="6"/>
    </row>
    <row r="279" ht="13.5" customHeight="1">
      <c r="P279" s="6"/>
      <c r="AD279" s="6"/>
      <c r="AR279" s="6"/>
      <c r="BF279" s="6"/>
      <c r="BT279" s="6"/>
      <c r="CH279" s="6"/>
    </row>
    <row r="280" ht="13.5" customHeight="1">
      <c r="P280" s="6"/>
      <c r="AD280" s="6"/>
      <c r="AR280" s="6"/>
      <c r="BF280" s="6"/>
      <c r="BT280" s="6"/>
      <c r="CH280" s="6"/>
    </row>
    <row r="281" ht="13.5" customHeight="1">
      <c r="P281" s="6"/>
      <c r="AD281" s="6"/>
      <c r="AR281" s="6"/>
      <c r="BF281" s="6"/>
      <c r="BT281" s="6"/>
      <c r="CH281" s="6"/>
    </row>
    <row r="282" ht="13.5" customHeight="1">
      <c r="P282" s="6"/>
      <c r="AD282" s="6"/>
      <c r="AR282" s="6"/>
      <c r="BF282" s="6"/>
      <c r="BT282" s="6"/>
      <c r="CH282" s="6"/>
    </row>
    <row r="283" ht="13.5" customHeight="1">
      <c r="P283" s="6"/>
      <c r="AD283" s="6"/>
      <c r="AR283" s="6"/>
      <c r="BF283" s="6"/>
      <c r="BT283" s="6"/>
      <c r="CH283" s="6"/>
    </row>
    <row r="284" ht="13.5" customHeight="1">
      <c r="P284" s="6"/>
      <c r="AD284" s="6"/>
      <c r="AR284" s="6"/>
      <c r="BF284" s="6"/>
      <c r="BT284" s="6"/>
      <c r="CH284" s="6"/>
    </row>
    <row r="285" ht="13.5" customHeight="1">
      <c r="P285" s="6"/>
      <c r="AD285" s="6"/>
      <c r="AR285" s="6"/>
      <c r="BF285" s="6"/>
      <c r="BT285" s="6"/>
      <c r="CH285" s="6"/>
    </row>
    <row r="286" ht="13.5" customHeight="1">
      <c r="P286" s="6"/>
      <c r="AD286" s="6"/>
      <c r="AR286" s="6"/>
      <c r="BF286" s="6"/>
      <c r="BT286" s="6"/>
      <c r="CH286" s="6"/>
    </row>
    <row r="287" ht="13.5" customHeight="1">
      <c r="P287" s="6"/>
      <c r="AD287" s="6"/>
      <c r="AR287" s="6"/>
      <c r="BF287" s="6"/>
      <c r="BT287" s="6"/>
      <c r="CH287" s="6"/>
    </row>
    <row r="288" ht="13.5" customHeight="1">
      <c r="P288" s="6"/>
      <c r="AD288" s="6"/>
      <c r="AR288" s="6"/>
      <c r="BF288" s="6"/>
      <c r="BT288" s="6"/>
      <c r="CH288" s="6"/>
    </row>
    <row r="289" ht="13.5" customHeight="1">
      <c r="P289" s="6"/>
      <c r="AD289" s="6"/>
      <c r="AR289" s="6"/>
      <c r="BF289" s="6"/>
      <c r="BT289" s="6"/>
      <c r="CH289" s="6"/>
    </row>
    <row r="290" ht="13.5" customHeight="1">
      <c r="P290" s="6"/>
      <c r="AD290" s="6"/>
      <c r="AR290" s="6"/>
      <c r="BF290" s="6"/>
      <c r="BT290" s="6"/>
      <c r="CH290" s="6"/>
    </row>
    <row r="291" ht="13.5" customHeight="1">
      <c r="P291" s="6"/>
      <c r="AD291" s="6"/>
      <c r="AR291" s="6"/>
      <c r="BF291" s="6"/>
      <c r="BT291" s="6"/>
      <c r="CH291" s="6"/>
    </row>
    <row r="292" ht="13.5" customHeight="1">
      <c r="P292" s="6"/>
      <c r="AD292" s="6"/>
      <c r="AR292" s="6"/>
      <c r="BF292" s="6"/>
      <c r="BT292" s="6"/>
      <c r="CH292" s="6"/>
    </row>
    <row r="293" ht="13.5" customHeight="1">
      <c r="P293" s="6"/>
      <c r="AD293" s="6"/>
      <c r="AR293" s="6"/>
      <c r="BF293" s="6"/>
      <c r="BT293" s="6"/>
      <c r="CH293" s="6"/>
    </row>
    <row r="294" ht="13.5" customHeight="1">
      <c r="P294" s="6"/>
      <c r="AD294" s="6"/>
      <c r="AR294" s="6"/>
      <c r="BF294" s="6"/>
      <c r="BT294" s="6"/>
      <c r="CH294" s="6"/>
    </row>
    <row r="295" ht="13.5" customHeight="1">
      <c r="P295" s="6"/>
      <c r="AD295" s="6"/>
      <c r="AR295" s="6"/>
      <c r="BF295" s="6"/>
      <c r="BT295" s="6"/>
      <c r="CH295" s="6"/>
    </row>
    <row r="296" ht="13.5" customHeight="1">
      <c r="P296" s="6"/>
      <c r="AD296" s="6"/>
      <c r="AR296" s="6"/>
      <c r="BF296" s="6"/>
      <c r="BT296" s="6"/>
      <c r="CH296" s="6"/>
    </row>
    <row r="297" ht="13.5" customHeight="1">
      <c r="P297" s="6"/>
      <c r="AD297" s="6"/>
      <c r="AR297" s="6"/>
      <c r="BF297" s="6"/>
      <c r="BT297" s="6"/>
      <c r="CH297" s="6"/>
    </row>
    <row r="298" ht="13.5" customHeight="1">
      <c r="P298" s="6"/>
      <c r="AD298" s="6"/>
      <c r="AR298" s="6"/>
      <c r="BF298" s="6"/>
      <c r="BT298" s="6"/>
      <c r="CH298" s="6"/>
    </row>
    <row r="299" ht="13.5" customHeight="1">
      <c r="P299" s="6"/>
      <c r="AD299" s="6"/>
      <c r="AR299" s="6"/>
      <c r="BF299" s="6"/>
      <c r="BT299" s="6"/>
      <c r="CH299" s="6"/>
    </row>
    <row r="300" ht="13.5" customHeight="1">
      <c r="P300" s="6"/>
      <c r="AD300" s="6"/>
      <c r="AR300" s="6"/>
      <c r="BF300" s="6"/>
      <c r="BT300" s="6"/>
      <c r="CH300" s="6"/>
    </row>
    <row r="301" ht="13.5" customHeight="1">
      <c r="P301" s="6"/>
      <c r="AD301" s="6"/>
      <c r="AR301" s="6"/>
      <c r="BF301" s="6"/>
      <c r="BT301" s="6"/>
      <c r="CH301" s="6"/>
    </row>
    <row r="302" ht="13.5" customHeight="1">
      <c r="P302" s="6"/>
      <c r="AD302" s="6"/>
      <c r="AR302" s="6"/>
      <c r="BF302" s="6"/>
      <c r="BT302" s="6"/>
      <c r="CH302" s="6"/>
    </row>
    <row r="303" ht="13.5" customHeight="1">
      <c r="P303" s="6"/>
      <c r="AD303" s="6"/>
      <c r="AR303" s="6"/>
      <c r="BF303" s="6"/>
      <c r="BT303" s="6"/>
      <c r="CH303" s="6"/>
    </row>
    <row r="304" ht="13.5" customHeight="1">
      <c r="P304" s="6"/>
      <c r="AD304" s="6"/>
      <c r="AR304" s="6"/>
      <c r="BF304" s="6"/>
      <c r="BT304" s="6"/>
      <c r="CH304" s="6"/>
    </row>
    <row r="305" ht="13.5" customHeight="1">
      <c r="P305" s="6"/>
      <c r="AD305" s="6"/>
      <c r="AR305" s="6"/>
      <c r="BF305" s="6"/>
      <c r="BT305" s="6"/>
      <c r="CH305" s="6"/>
    </row>
    <row r="306" ht="13.5" customHeight="1">
      <c r="P306" s="6"/>
      <c r="AD306" s="6"/>
      <c r="AR306" s="6"/>
      <c r="BF306" s="6"/>
      <c r="BT306" s="6"/>
      <c r="CH306" s="6"/>
    </row>
    <row r="307" ht="13.5" customHeight="1">
      <c r="P307" s="6"/>
      <c r="AD307" s="6"/>
      <c r="AR307" s="6"/>
      <c r="BF307" s="6"/>
      <c r="BT307" s="6"/>
      <c r="CH307" s="6"/>
    </row>
    <row r="308" ht="13.5" customHeight="1">
      <c r="P308" s="6"/>
      <c r="AD308" s="6"/>
      <c r="AR308" s="6"/>
      <c r="BF308" s="6"/>
      <c r="BT308" s="6"/>
      <c r="CH308" s="6"/>
    </row>
    <row r="309" ht="13.5" customHeight="1">
      <c r="P309" s="6"/>
      <c r="AD309" s="6"/>
      <c r="AR309" s="6"/>
      <c r="BF309" s="6"/>
      <c r="BT309" s="6"/>
      <c r="CH309" s="6"/>
    </row>
    <row r="310" ht="13.5" customHeight="1">
      <c r="P310" s="6"/>
      <c r="AD310" s="6"/>
      <c r="AR310" s="6"/>
      <c r="BF310" s="6"/>
      <c r="BT310" s="6"/>
      <c r="CH310" s="6"/>
    </row>
    <row r="311" ht="13.5" customHeight="1">
      <c r="P311" s="6"/>
      <c r="AD311" s="6"/>
      <c r="AR311" s="6"/>
      <c r="BF311" s="6"/>
      <c r="BT311" s="6"/>
      <c r="CH311" s="6"/>
    </row>
    <row r="312" ht="13.5" customHeight="1">
      <c r="P312" s="6"/>
      <c r="AD312" s="6"/>
      <c r="AR312" s="6"/>
      <c r="BF312" s="6"/>
      <c r="BT312" s="6"/>
      <c r="CH312" s="6"/>
    </row>
    <row r="313" ht="13.5" customHeight="1">
      <c r="P313" s="6"/>
      <c r="AD313" s="6"/>
      <c r="AR313" s="6"/>
      <c r="BF313" s="6"/>
      <c r="BT313" s="6"/>
      <c r="CH313" s="6"/>
    </row>
    <row r="314" ht="13.5" customHeight="1">
      <c r="P314" s="6"/>
      <c r="AD314" s="6"/>
      <c r="AR314" s="6"/>
      <c r="BF314" s="6"/>
      <c r="BT314" s="6"/>
      <c r="CH314" s="6"/>
    </row>
    <row r="315" ht="13.5" customHeight="1">
      <c r="P315" s="6"/>
      <c r="AD315" s="6"/>
      <c r="AR315" s="6"/>
      <c r="BF315" s="6"/>
      <c r="BT315" s="6"/>
      <c r="CH315" s="6"/>
    </row>
    <row r="316" ht="13.5" customHeight="1">
      <c r="P316" s="6"/>
      <c r="AD316" s="6"/>
      <c r="AR316" s="6"/>
      <c r="BF316" s="6"/>
      <c r="BT316" s="6"/>
      <c r="CH316" s="6"/>
    </row>
    <row r="317" ht="13.5" customHeight="1">
      <c r="P317" s="6"/>
      <c r="AD317" s="6"/>
      <c r="AR317" s="6"/>
      <c r="BF317" s="6"/>
      <c r="BT317" s="6"/>
      <c r="CH317" s="6"/>
    </row>
    <row r="318" ht="13.5" customHeight="1">
      <c r="P318" s="6"/>
      <c r="AD318" s="6"/>
      <c r="AR318" s="6"/>
      <c r="BF318" s="6"/>
      <c r="BT318" s="6"/>
      <c r="CH318" s="6"/>
    </row>
    <row r="319" ht="13.5" customHeight="1">
      <c r="P319" s="6"/>
      <c r="AD319" s="6"/>
      <c r="AR319" s="6"/>
      <c r="BF319" s="6"/>
      <c r="BT319" s="6"/>
      <c r="CH319" s="6"/>
    </row>
    <row r="320" ht="13.5" customHeight="1">
      <c r="P320" s="6"/>
      <c r="AD320" s="6"/>
      <c r="AR320" s="6"/>
      <c r="BF320" s="6"/>
      <c r="BT320" s="6"/>
      <c r="CH320" s="6"/>
    </row>
    <row r="321" ht="13.5" customHeight="1">
      <c r="P321" s="6"/>
      <c r="AD321" s="6"/>
      <c r="AR321" s="6"/>
      <c r="BF321" s="6"/>
      <c r="BT321" s="6"/>
      <c r="CH321" s="6"/>
    </row>
    <row r="322" ht="13.5" customHeight="1">
      <c r="P322" s="6"/>
      <c r="AD322" s="6"/>
      <c r="AR322" s="6"/>
      <c r="BF322" s="6"/>
      <c r="BT322" s="6"/>
      <c r="CH322" s="6"/>
    </row>
    <row r="323" ht="13.5" customHeight="1">
      <c r="P323" s="6"/>
      <c r="AD323" s="6"/>
      <c r="AR323" s="6"/>
      <c r="BF323" s="6"/>
      <c r="BT323" s="6"/>
      <c r="CH323" s="6"/>
    </row>
    <row r="324" ht="13.5" customHeight="1">
      <c r="P324" s="6"/>
      <c r="AD324" s="6"/>
      <c r="AR324" s="6"/>
      <c r="BF324" s="6"/>
      <c r="BT324" s="6"/>
      <c r="CH324" s="6"/>
    </row>
    <row r="325" ht="13.5" customHeight="1">
      <c r="P325" s="6"/>
      <c r="AD325" s="6"/>
      <c r="AR325" s="6"/>
      <c r="BF325" s="6"/>
      <c r="BT325" s="6"/>
      <c r="CH325" s="6"/>
    </row>
    <row r="326" ht="13.5" customHeight="1">
      <c r="P326" s="6"/>
      <c r="AD326" s="6"/>
      <c r="AR326" s="6"/>
      <c r="BF326" s="6"/>
      <c r="BT326" s="6"/>
      <c r="CH326" s="6"/>
    </row>
    <row r="327" ht="13.5" customHeight="1">
      <c r="P327" s="6"/>
      <c r="AD327" s="6"/>
      <c r="AR327" s="6"/>
      <c r="BF327" s="6"/>
      <c r="BT327" s="6"/>
      <c r="CH327" s="6"/>
    </row>
    <row r="328" ht="13.5" customHeight="1">
      <c r="P328" s="6"/>
      <c r="AD328" s="6"/>
      <c r="AR328" s="6"/>
      <c r="BF328" s="6"/>
      <c r="BT328" s="6"/>
      <c r="CH328" s="6"/>
    </row>
    <row r="329" ht="13.5" customHeight="1">
      <c r="P329" s="6"/>
      <c r="AD329" s="6"/>
      <c r="AR329" s="6"/>
      <c r="BF329" s="6"/>
      <c r="BT329" s="6"/>
      <c r="CH329" s="6"/>
    </row>
    <row r="330" ht="13.5" customHeight="1">
      <c r="P330" s="6"/>
      <c r="AD330" s="6"/>
      <c r="AR330" s="6"/>
      <c r="BF330" s="6"/>
      <c r="BT330" s="6"/>
      <c r="CH330" s="6"/>
    </row>
    <row r="331" ht="13.5" customHeight="1">
      <c r="P331" s="6"/>
      <c r="AD331" s="6"/>
      <c r="AR331" s="6"/>
      <c r="BF331" s="6"/>
      <c r="BT331" s="6"/>
      <c r="CH331" s="6"/>
    </row>
    <row r="332" ht="13.5" customHeight="1">
      <c r="P332" s="6"/>
      <c r="AD332" s="6"/>
      <c r="AR332" s="6"/>
      <c r="BF332" s="6"/>
      <c r="BT332" s="6"/>
      <c r="CH332" s="6"/>
    </row>
    <row r="333" ht="13.5" customHeight="1">
      <c r="P333" s="6"/>
      <c r="AD333" s="6"/>
      <c r="AR333" s="6"/>
      <c r="BF333" s="6"/>
      <c r="BT333" s="6"/>
      <c r="CH333" s="6"/>
    </row>
    <row r="334" ht="13.5" customHeight="1">
      <c r="P334" s="6"/>
      <c r="AD334" s="6"/>
      <c r="AR334" s="6"/>
      <c r="BF334" s="6"/>
      <c r="BT334" s="6"/>
      <c r="CH334" s="6"/>
    </row>
    <row r="335" ht="13.5" customHeight="1">
      <c r="P335" s="6"/>
      <c r="AD335" s="6"/>
      <c r="AR335" s="6"/>
      <c r="BF335" s="6"/>
      <c r="BT335" s="6"/>
      <c r="CH335" s="6"/>
    </row>
    <row r="336" ht="13.5" customHeight="1">
      <c r="P336" s="6"/>
      <c r="AD336" s="6"/>
      <c r="AR336" s="6"/>
      <c r="BF336" s="6"/>
      <c r="BT336" s="6"/>
      <c r="CH336" s="6"/>
    </row>
    <row r="337" ht="13.5" customHeight="1">
      <c r="P337" s="6"/>
      <c r="AD337" s="6"/>
      <c r="AR337" s="6"/>
      <c r="BF337" s="6"/>
      <c r="BT337" s="6"/>
      <c r="CH337" s="6"/>
    </row>
    <row r="338" ht="13.5" customHeight="1">
      <c r="P338" s="6"/>
      <c r="AD338" s="6"/>
      <c r="AR338" s="6"/>
      <c r="BF338" s="6"/>
      <c r="BT338" s="6"/>
      <c r="CH338" s="6"/>
    </row>
    <row r="339" ht="13.5" customHeight="1">
      <c r="P339" s="6"/>
      <c r="AD339" s="6"/>
      <c r="AR339" s="6"/>
      <c r="BF339" s="6"/>
      <c r="BT339" s="6"/>
      <c r="CH339" s="6"/>
    </row>
    <row r="340" ht="13.5" customHeight="1">
      <c r="P340" s="6"/>
      <c r="AD340" s="6"/>
      <c r="AR340" s="6"/>
      <c r="BF340" s="6"/>
      <c r="BT340" s="6"/>
      <c r="CH340" s="6"/>
    </row>
    <row r="341" ht="13.5" customHeight="1">
      <c r="P341" s="6"/>
      <c r="AD341" s="6"/>
      <c r="AR341" s="6"/>
      <c r="BF341" s="6"/>
      <c r="BT341" s="6"/>
      <c r="CH341" s="6"/>
    </row>
    <row r="342" ht="13.5" customHeight="1">
      <c r="P342" s="6"/>
      <c r="AD342" s="6"/>
      <c r="AR342" s="6"/>
      <c r="BF342" s="6"/>
      <c r="BT342" s="6"/>
      <c r="CH342" s="6"/>
    </row>
    <row r="343" ht="13.5" customHeight="1">
      <c r="P343" s="6"/>
      <c r="AD343" s="6"/>
      <c r="AR343" s="6"/>
      <c r="BF343" s="6"/>
      <c r="BT343" s="6"/>
      <c r="CH343" s="6"/>
    </row>
    <row r="344" ht="13.5" customHeight="1">
      <c r="P344" s="6"/>
      <c r="AD344" s="6"/>
      <c r="AR344" s="6"/>
      <c r="BF344" s="6"/>
      <c r="BT344" s="6"/>
      <c r="CH344" s="6"/>
    </row>
    <row r="345" ht="13.5" customHeight="1">
      <c r="P345" s="6"/>
      <c r="AD345" s="6"/>
      <c r="AR345" s="6"/>
      <c r="BF345" s="6"/>
      <c r="BT345" s="6"/>
      <c r="CH345" s="6"/>
    </row>
    <row r="346" ht="13.5" customHeight="1">
      <c r="P346" s="6"/>
      <c r="AD346" s="6"/>
      <c r="AR346" s="6"/>
      <c r="BF346" s="6"/>
      <c r="BT346" s="6"/>
      <c r="CH346" s="6"/>
    </row>
    <row r="347" ht="13.5" customHeight="1">
      <c r="P347" s="6"/>
      <c r="AD347" s="6"/>
      <c r="AR347" s="6"/>
      <c r="BF347" s="6"/>
      <c r="BT347" s="6"/>
      <c r="CH347" s="6"/>
    </row>
    <row r="348" ht="13.5" customHeight="1">
      <c r="P348" s="6"/>
      <c r="AD348" s="6"/>
      <c r="AR348" s="6"/>
      <c r="BF348" s="6"/>
      <c r="BT348" s="6"/>
      <c r="CH348" s="6"/>
    </row>
    <row r="349" ht="13.5" customHeight="1">
      <c r="P349" s="6"/>
      <c r="AD349" s="6"/>
      <c r="AR349" s="6"/>
      <c r="BF349" s="6"/>
      <c r="BT349" s="6"/>
      <c r="CH349" s="6"/>
    </row>
    <row r="350" ht="13.5" customHeight="1">
      <c r="P350" s="6"/>
      <c r="AD350" s="6"/>
      <c r="AR350" s="6"/>
      <c r="BF350" s="6"/>
      <c r="BT350" s="6"/>
      <c r="CH350" s="6"/>
    </row>
    <row r="351" ht="13.5" customHeight="1">
      <c r="P351" s="6"/>
      <c r="AD351" s="6"/>
      <c r="AR351" s="6"/>
      <c r="BF351" s="6"/>
      <c r="BT351" s="6"/>
      <c r="CH351" s="6"/>
    </row>
    <row r="352" ht="13.5" customHeight="1">
      <c r="P352" s="6"/>
      <c r="AD352" s="6"/>
      <c r="AR352" s="6"/>
      <c r="BF352" s="6"/>
      <c r="BT352" s="6"/>
      <c r="CH352" s="6"/>
    </row>
    <row r="353" ht="13.5" customHeight="1">
      <c r="P353" s="6"/>
      <c r="AD353" s="6"/>
      <c r="AR353" s="6"/>
      <c r="BF353" s="6"/>
      <c r="BT353" s="6"/>
      <c r="CH353" s="6"/>
    </row>
    <row r="354" ht="13.5" customHeight="1">
      <c r="P354" s="6"/>
      <c r="AD354" s="6"/>
      <c r="AR354" s="6"/>
      <c r="BF354" s="6"/>
      <c r="BT354" s="6"/>
      <c r="CH354" s="6"/>
    </row>
    <row r="355" ht="13.5" customHeight="1">
      <c r="P355" s="6"/>
      <c r="AD355" s="6"/>
      <c r="AR355" s="6"/>
      <c r="BF355" s="6"/>
      <c r="BT355" s="6"/>
      <c r="CH355" s="6"/>
    </row>
    <row r="356" ht="13.5" customHeight="1">
      <c r="P356" s="6"/>
      <c r="AD356" s="6"/>
      <c r="AR356" s="6"/>
      <c r="BF356" s="6"/>
      <c r="BT356" s="6"/>
      <c r="CH356" s="6"/>
    </row>
    <row r="357" ht="13.5" customHeight="1">
      <c r="P357" s="6"/>
      <c r="AD357" s="6"/>
      <c r="AR357" s="6"/>
      <c r="BF357" s="6"/>
      <c r="BT357" s="6"/>
      <c r="CH357" s="6"/>
    </row>
    <row r="358" ht="13.5" customHeight="1">
      <c r="P358" s="6"/>
      <c r="AD358" s="6"/>
      <c r="AR358" s="6"/>
      <c r="BF358" s="6"/>
      <c r="BT358" s="6"/>
      <c r="CH358" s="6"/>
    </row>
    <row r="359" ht="13.5" customHeight="1">
      <c r="P359" s="6"/>
      <c r="AD359" s="6"/>
      <c r="AR359" s="6"/>
      <c r="BF359" s="6"/>
      <c r="BT359" s="6"/>
      <c r="CH359" s="6"/>
    </row>
    <row r="360" ht="13.5" customHeight="1">
      <c r="P360" s="6"/>
      <c r="AD360" s="6"/>
      <c r="AR360" s="6"/>
      <c r="BF360" s="6"/>
      <c r="BT360" s="6"/>
      <c r="CH360" s="6"/>
    </row>
    <row r="361" ht="13.5" customHeight="1">
      <c r="P361" s="6"/>
      <c r="AD361" s="6"/>
      <c r="AR361" s="6"/>
      <c r="BF361" s="6"/>
      <c r="BT361" s="6"/>
      <c r="CH361" s="6"/>
    </row>
    <row r="362" ht="13.5" customHeight="1">
      <c r="P362" s="6"/>
      <c r="AD362" s="6"/>
      <c r="AR362" s="6"/>
      <c r="BF362" s="6"/>
      <c r="BT362" s="6"/>
      <c r="CH362" s="6"/>
    </row>
    <row r="363" ht="13.5" customHeight="1">
      <c r="P363" s="6"/>
      <c r="AD363" s="6"/>
      <c r="AR363" s="6"/>
      <c r="BF363" s="6"/>
      <c r="BT363" s="6"/>
      <c r="CH363" s="6"/>
    </row>
    <row r="364" ht="13.5" customHeight="1">
      <c r="P364" s="6"/>
      <c r="AD364" s="6"/>
      <c r="AR364" s="6"/>
      <c r="BF364" s="6"/>
      <c r="BT364" s="6"/>
      <c r="CH364" s="6"/>
    </row>
    <row r="365" ht="13.5" customHeight="1">
      <c r="P365" s="6"/>
      <c r="AD365" s="6"/>
      <c r="AR365" s="6"/>
      <c r="BF365" s="6"/>
      <c r="BT365" s="6"/>
      <c r="CH365" s="6"/>
    </row>
    <row r="366" ht="13.5" customHeight="1">
      <c r="P366" s="6"/>
      <c r="AD366" s="6"/>
      <c r="AR366" s="6"/>
      <c r="BF366" s="6"/>
      <c r="BT366" s="6"/>
      <c r="CH366" s="6"/>
    </row>
    <row r="367" ht="13.5" customHeight="1">
      <c r="P367" s="6"/>
      <c r="AD367" s="6"/>
      <c r="AR367" s="6"/>
      <c r="BF367" s="6"/>
      <c r="BT367" s="6"/>
      <c r="CH367" s="6"/>
    </row>
    <row r="368" ht="13.5" customHeight="1">
      <c r="P368" s="6"/>
      <c r="AD368" s="6"/>
      <c r="AR368" s="6"/>
      <c r="BF368" s="6"/>
      <c r="BT368" s="6"/>
      <c r="CH368" s="6"/>
    </row>
    <row r="369" ht="13.5" customHeight="1">
      <c r="P369" s="6"/>
      <c r="AD369" s="6"/>
      <c r="AR369" s="6"/>
      <c r="BF369" s="6"/>
      <c r="BT369" s="6"/>
      <c r="CH369" s="6"/>
    </row>
    <row r="370" ht="13.5" customHeight="1">
      <c r="P370" s="6"/>
      <c r="AD370" s="6"/>
      <c r="AR370" s="6"/>
      <c r="BF370" s="6"/>
      <c r="BT370" s="6"/>
      <c r="CH370" s="6"/>
    </row>
    <row r="371" ht="13.5" customHeight="1">
      <c r="P371" s="6"/>
      <c r="AD371" s="6"/>
      <c r="AR371" s="6"/>
      <c r="BF371" s="6"/>
      <c r="BT371" s="6"/>
      <c r="CH371" s="6"/>
    </row>
    <row r="372" ht="13.5" customHeight="1">
      <c r="P372" s="6"/>
      <c r="AD372" s="6"/>
      <c r="AR372" s="6"/>
      <c r="BF372" s="6"/>
      <c r="BT372" s="6"/>
      <c r="CH372" s="6"/>
    </row>
    <row r="373" ht="13.5" customHeight="1">
      <c r="P373" s="6"/>
      <c r="AD373" s="6"/>
      <c r="AR373" s="6"/>
      <c r="BF373" s="6"/>
      <c r="BT373" s="6"/>
      <c r="CH373" s="6"/>
    </row>
    <row r="374" ht="13.5" customHeight="1">
      <c r="P374" s="6"/>
      <c r="AD374" s="6"/>
      <c r="AR374" s="6"/>
      <c r="BF374" s="6"/>
      <c r="BT374" s="6"/>
      <c r="CH374" s="6"/>
    </row>
    <row r="375" ht="13.5" customHeight="1">
      <c r="P375" s="6"/>
      <c r="AD375" s="6"/>
      <c r="AR375" s="6"/>
      <c r="BF375" s="6"/>
      <c r="BT375" s="6"/>
      <c r="CH375" s="6"/>
    </row>
    <row r="376" ht="13.5" customHeight="1">
      <c r="P376" s="6"/>
      <c r="AD376" s="6"/>
      <c r="AR376" s="6"/>
      <c r="BF376" s="6"/>
      <c r="BT376" s="6"/>
      <c r="CH376" s="6"/>
    </row>
    <row r="377" ht="13.5" customHeight="1">
      <c r="P377" s="6"/>
      <c r="AD377" s="6"/>
      <c r="AR377" s="6"/>
      <c r="BF377" s="6"/>
      <c r="BT377" s="6"/>
      <c r="CH377" s="6"/>
    </row>
    <row r="378" ht="13.5" customHeight="1">
      <c r="P378" s="6"/>
      <c r="AD378" s="6"/>
      <c r="AR378" s="6"/>
      <c r="BF378" s="6"/>
      <c r="BT378" s="6"/>
      <c r="CH378" s="6"/>
    </row>
    <row r="379" ht="13.5" customHeight="1">
      <c r="P379" s="6"/>
      <c r="AD379" s="6"/>
      <c r="AR379" s="6"/>
      <c r="BF379" s="6"/>
      <c r="BT379" s="6"/>
      <c r="CH379" s="6"/>
    </row>
    <row r="380" ht="13.5" customHeight="1">
      <c r="P380" s="6"/>
      <c r="AD380" s="6"/>
      <c r="AR380" s="6"/>
      <c r="BF380" s="6"/>
      <c r="BT380" s="6"/>
      <c r="CH380" s="6"/>
    </row>
    <row r="381" ht="13.5" customHeight="1">
      <c r="P381" s="6"/>
      <c r="AD381" s="6"/>
      <c r="AR381" s="6"/>
      <c r="BF381" s="6"/>
      <c r="BT381" s="6"/>
      <c r="CH381" s="6"/>
    </row>
    <row r="382" ht="13.5" customHeight="1">
      <c r="P382" s="6"/>
      <c r="AD382" s="6"/>
      <c r="AR382" s="6"/>
      <c r="BF382" s="6"/>
      <c r="BT382" s="6"/>
      <c r="CH382" s="6"/>
    </row>
    <row r="383" ht="13.5" customHeight="1">
      <c r="P383" s="6"/>
      <c r="AD383" s="6"/>
      <c r="AR383" s="6"/>
      <c r="BF383" s="6"/>
      <c r="BT383" s="6"/>
      <c r="CH383" s="6"/>
    </row>
    <row r="384" ht="13.5" customHeight="1">
      <c r="P384" s="6"/>
      <c r="AD384" s="6"/>
      <c r="AR384" s="6"/>
      <c r="BF384" s="6"/>
      <c r="BT384" s="6"/>
      <c r="CH384" s="6"/>
    </row>
    <row r="385" ht="13.5" customHeight="1">
      <c r="P385" s="6"/>
      <c r="AD385" s="6"/>
      <c r="AR385" s="6"/>
      <c r="BF385" s="6"/>
      <c r="BT385" s="6"/>
      <c r="CH385" s="6"/>
    </row>
    <row r="386" ht="13.5" customHeight="1">
      <c r="P386" s="6"/>
      <c r="AD386" s="6"/>
      <c r="AR386" s="6"/>
      <c r="BF386" s="6"/>
      <c r="BT386" s="6"/>
      <c r="CH386" s="6"/>
    </row>
    <row r="387" ht="13.5" customHeight="1">
      <c r="P387" s="6"/>
      <c r="AD387" s="6"/>
      <c r="AR387" s="6"/>
      <c r="BF387" s="6"/>
      <c r="BT387" s="6"/>
      <c r="CH387" s="6"/>
    </row>
    <row r="388" ht="13.5" customHeight="1">
      <c r="P388" s="6"/>
      <c r="AD388" s="6"/>
      <c r="AR388" s="6"/>
      <c r="BF388" s="6"/>
      <c r="BT388" s="6"/>
      <c r="CH388" s="6"/>
    </row>
    <row r="389" ht="13.5" customHeight="1">
      <c r="P389" s="6"/>
      <c r="AD389" s="6"/>
      <c r="AR389" s="6"/>
      <c r="BF389" s="6"/>
      <c r="BT389" s="6"/>
      <c r="CH389" s="6"/>
    </row>
    <row r="390" ht="13.5" customHeight="1">
      <c r="P390" s="6"/>
      <c r="AD390" s="6"/>
      <c r="AR390" s="6"/>
      <c r="BF390" s="6"/>
      <c r="BT390" s="6"/>
      <c r="CH390" s="6"/>
    </row>
    <row r="391" ht="13.5" customHeight="1">
      <c r="P391" s="6"/>
      <c r="AD391" s="6"/>
      <c r="AR391" s="6"/>
      <c r="BF391" s="6"/>
      <c r="BT391" s="6"/>
      <c r="CH391" s="6"/>
    </row>
    <row r="392" ht="13.5" customHeight="1">
      <c r="P392" s="6"/>
      <c r="AD392" s="6"/>
      <c r="AR392" s="6"/>
      <c r="BF392" s="6"/>
      <c r="BT392" s="6"/>
      <c r="CH392" s="6"/>
    </row>
    <row r="393" ht="13.5" customHeight="1">
      <c r="P393" s="6"/>
      <c r="AD393" s="6"/>
      <c r="AR393" s="6"/>
      <c r="BF393" s="6"/>
      <c r="BT393" s="6"/>
      <c r="CH393" s="6"/>
    </row>
    <row r="394" ht="13.5" customHeight="1">
      <c r="P394" s="6"/>
      <c r="AD394" s="6"/>
      <c r="AR394" s="6"/>
      <c r="BF394" s="6"/>
      <c r="BT394" s="6"/>
      <c r="CH394" s="6"/>
    </row>
    <row r="395" ht="13.5" customHeight="1">
      <c r="P395" s="6"/>
      <c r="AD395" s="6"/>
      <c r="AR395" s="6"/>
      <c r="BF395" s="6"/>
      <c r="BT395" s="6"/>
      <c r="CH395" s="6"/>
    </row>
    <row r="396" ht="13.5" customHeight="1">
      <c r="P396" s="6"/>
      <c r="AD396" s="6"/>
      <c r="AR396" s="6"/>
      <c r="BF396" s="6"/>
      <c r="BT396" s="6"/>
      <c r="CH396" s="6"/>
    </row>
    <row r="397" ht="13.5" customHeight="1">
      <c r="P397" s="6"/>
      <c r="AD397" s="6"/>
      <c r="AR397" s="6"/>
      <c r="BF397" s="6"/>
      <c r="BT397" s="6"/>
      <c r="CH397" s="6"/>
    </row>
    <row r="398" ht="13.5" customHeight="1">
      <c r="P398" s="6"/>
      <c r="AD398" s="6"/>
      <c r="AR398" s="6"/>
      <c r="BF398" s="6"/>
      <c r="BT398" s="6"/>
      <c r="CH398" s="6"/>
    </row>
    <row r="399" ht="13.5" customHeight="1">
      <c r="P399" s="6"/>
      <c r="AD399" s="6"/>
      <c r="AR399" s="6"/>
      <c r="BF399" s="6"/>
      <c r="BT399" s="6"/>
      <c r="CH399" s="6"/>
    </row>
    <row r="400" ht="13.5" customHeight="1">
      <c r="P400" s="6"/>
      <c r="AD400" s="6"/>
      <c r="AR400" s="6"/>
      <c r="BF400" s="6"/>
      <c r="BT400" s="6"/>
      <c r="CH400" s="6"/>
    </row>
    <row r="401" ht="13.5" customHeight="1">
      <c r="P401" s="6"/>
      <c r="AD401" s="6"/>
      <c r="AR401" s="6"/>
      <c r="BF401" s="6"/>
      <c r="BT401" s="6"/>
      <c r="CH401" s="6"/>
    </row>
    <row r="402" ht="13.5" customHeight="1">
      <c r="P402" s="6"/>
      <c r="AD402" s="6"/>
      <c r="AR402" s="6"/>
      <c r="BF402" s="6"/>
      <c r="BT402" s="6"/>
      <c r="CH402" s="6"/>
    </row>
    <row r="403" ht="13.5" customHeight="1">
      <c r="P403" s="6"/>
      <c r="AD403" s="6"/>
      <c r="AR403" s="6"/>
      <c r="BF403" s="6"/>
      <c r="BT403" s="6"/>
      <c r="CH403" s="6"/>
    </row>
    <row r="404" ht="13.5" customHeight="1">
      <c r="P404" s="6"/>
      <c r="AD404" s="6"/>
      <c r="AR404" s="6"/>
      <c r="BF404" s="6"/>
      <c r="BT404" s="6"/>
      <c r="CH404" s="6"/>
    </row>
    <row r="405" ht="13.5" customHeight="1">
      <c r="P405" s="6"/>
      <c r="AD405" s="6"/>
      <c r="AR405" s="6"/>
      <c r="BF405" s="6"/>
      <c r="BT405" s="6"/>
      <c r="CH405" s="6"/>
    </row>
    <row r="406" ht="13.5" customHeight="1">
      <c r="P406" s="6"/>
      <c r="AD406" s="6"/>
      <c r="AR406" s="6"/>
      <c r="BF406" s="6"/>
      <c r="BT406" s="6"/>
      <c r="CH406" s="6"/>
    </row>
    <row r="407" ht="13.5" customHeight="1">
      <c r="P407" s="6"/>
      <c r="AD407" s="6"/>
      <c r="AR407" s="6"/>
      <c r="BF407" s="6"/>
      <c r="BT407" s="6"/>
      <c r="CH407" s="6"/>
    </row>
    <row r="408" ht="13.5" customHeight="1">
      <c r="P408" s="6"/>
      <c r="AD408" s="6"/>
      <c r="AR408" s="6"/>
      <c r="BF408" s="6"/>
      <c r="BT408" s="6"/>
      <c r="CH408" s="6"/>
    </row>
    <row r="409" ht="13.5" customHeight="1">
      <c r="P409" s="6"/>
      <c r="AD409" s="6"/>
      <c r="AR409" s="6"/>
      <c r="BF409" s="6"/>
      <c r="BT409" s="6"/>
      <c r="CH409" s="6"/>
    </row>
    <row r="410" ht="13.5" customHeight="1">
      <c r="P410" s="6"/>
      <c r="AD410" s="6"/>
      <c r="AR410" s="6"/>
      <c r="BF410" s="6"/>
      <c r="BT410" s="6"/>
      <c r="CH410" s="6"/>
    </row>
    <row r="411" ht="13.5" customHeight="1">
      <c r="P411" s="6"/>
      <c r="AD411" s="6"/>
      <c r="AR411" s="6"/>
      <c r="BF411" s="6"/>
      <c r="BT411" s="6"/>
      <c r="CH411" s="6"/>
    </row>
    <row r="412" ht="13.5" customHeight="1">
      <c r="P412" s="6"/>
      <c r="AD412" s="6"/>
      <c r="AR412" s="6"/>
      <c r="BF412" s="6"/>
      <c r="BT412" s="6"/>
      <c r="CH412" s="6"/>
    </row>
    <row r="413" ht="13.5" customHeight="1">
      <c r="P413" s="6"/>
      <c r="AD413" s="6"/>
      <c r="AR413" s="6"/>
      <c r="BF413" s="6"/>
      <c r="BT413" s="6"/>
      <c r="CH413" s="6"/>
    </row>
    <row r="414" ht="13.5" customHeight="1">
      <c r="P414" s="6"/>
      <c r="AD414" s="6"/>
      <c r="AR414" s="6"/>
      <c r="BF414" s="6"/>
      <c r="BT414" s="6"/>
      <c r="CH414" s="6"/>
    </row>
    <row r="415" ht="13.5" customHeight="1">
      <c r="P415" s="6"/>
      <c r="AD415" s="6"/>
      <c r="AR415" s="6"/>
      <c r="BF415" s="6"/>
      <c r="BT415" s="6"/>
      <c r="CH415" s="6"/>
    </row>
    <row r="416" ht="13.5" customHeight="1">
      <c r="P416" s="6"/>
      <c r="AD416" s="6"/>
      <c r="AR416" s="6"/>
      <c r="BF416" s="6"/>
      <c r="BT416" s="6"/>
      <c r="CH416" s="6"/>
    </row>
    <row r="417" ht="13.5" customHeight="1">
      <c r="P417" s="6"/>
      <c r="AD417" s="6"/>
      <c r="AR417" s="6"/>
      <c r="BF417" s="6"/>
      <c r="BT417" s="6"/>
      <c r="CH417" s="6"/>
    </row>
    <row r="418" ht="13.5" customHeight="1">
      <c r="P418" s="6"/>
      <c r="AD418" s="6"/>
      <c r="AR418" s="6"/>
      <c r="BF418" s="6"/>
      <c r="BT418" s="6"/>
      <c r="CH418" s="6"/>
    </row>
    <row r="419" ht="13.5" customHeight="1">
      <c r="P419" s="6"/>
      <c r="AD419" s="6"/>
      <c r="AR419" s="6"/>
      <c r="BF419" s="6"/>
      <c r="BT419" s="6"/>
      <c r="CH419" s="6"/>
    </row>
    <row r="420" ht="13.5" customHeight="1">
      <c r="P420" s="6"/>
      <c r="AD420" s="6"/>
      <c r="AR420" s="6"/>
      <c r="BF420" s="6"/>
      <c r="BT420" s="6"/>
      <c r="CH420" s="6"/>
    </row>
    <row r="421" ht="13.5" customHeight="1">
      <c r="P421" s="6"/>
      <c r="AD421" s="6"/>
      <c r="AR421" s="6"/>
      <c r="BF421" s="6"/>
      <c r="BT421" s="6"/>
      <c r="CH421" s="6"/>
    </row>
    <row r="422" ht="13.5" customHeight="1">
      <c r="P422" s="6"/>
      <c r="AD422" s="6"/>
      <c r="AR422" s="6"/>
      <c r="BF422" s="6"/>
      <c r="BT422" s="6"/>
      <c r="CH422" s="6"/>
    </row>
    <row r="423" ht="13.5" customHeight="1">
      <c r="P423" s="6"/>
      <c r="AD423" s="6"/>
      <c r="AR423" s="6"/>
      <c r="BF423" s="6"/>
      <c r="BT423" s="6"/>
      <c r="CH423" s="6"/>
    </row>
    <row r="424" ht="13.5" customHeight="1">
      <c r="P424" s="6"/>
      <c r="AD424" s="6"/>
      <c r="AR424" s="6"/>
      <c r="BF424" s="6"/>
      <c r="BT424" s="6"/>
      <c r="CH424" s="6"/>
    </row>
    <row r="425" ht="13.5" customHeight="1">
      <c r="P425" s="6"/>
      <c r="AD425" s="6"/>
      <c r="AR425" s="6"/>
      <c r="BF425" s="6"/>
      <c r="BT425" s="6"/>
      <c r="CH425" s="6"/>
    </row>
    <row r="426" ht="13.5" customHeight="1">
      <c r="P426" s="6"/>
      <c r="AD426" s="6"/>
      <c r="AR426" s="6"/>
      <c r="BF426" s="6"/>
      <c r="BT426" s="6"/>
      <c r="CH426" s="6"/>
    </row>
    <row r="427" ht="13.5" customHeight="1">
      <c r="P427" s="6"/>
      <c r="AD427" s="6"/>
      <c r="AR427" s="6"/>
      <c r="BF427" s="6"/>
      <c r="BT427" s="6"/>
      <c r="CH427" s="6"/>
    </row>
    <row r="428" ht="13.5" customHeight="1">
      <c r="P428" s="6"/>
      <c r="AD428" s="6"/>
      <c r="AR428" s="6"/>
      <c r="BF428" s="6"/>
      <c r="BT428" s="6"/>
      <c r="CH428" s="6"/>
    </row>
    <row r="429" ht="13.5" customHeight="1">
      <c r="P429" s="6"/>
      <c r="AD429" s="6"/>
      <c r="AR429" s="6"/>
      <c r="BF429" s="6"/>
      <c r="BT429" s="6"/>
      <c r="CH429" s="6"/>
    </row>
    <row r="430" ht="13.5" customHeight="1">
      <c r="P430" s="6"/>
      <c r="AD430" s="6"/>
      <c r="AR430" s="6"/>
      <c r="BF430" s="6"/>
      <c r="BT430" s="6"/>
      <c r="CH430" s="6"/>
    </row>
    <row r="431" ht="13.5" customHeight="1">
      <c r="P431" s="6"/>
      <c r="AD431" s="6"/>
      <c r="AR431" s="6"/>
      <c r="BF431" s="6"/>
      <c r="BT431" s="6"/>
      <c r="CH431" s="6"/>
    </row>
    <row r="432" ht="13.5" customHeight="1">
      <c r="P432" s="6"/>
      <c r="AD432" s="6"/>
      <c r="AR432" s="6"/>
      <c r="BF432" s="6"/>
      <c r="BT432" s="6"/>
      <c r="CH432" s="6"/>
    </row>
    <row r="433" ht="13.5" customHeight="1">
      <c r="P433" s="6"/>
      <c r="AD433" s="6"/>
      <c r="AR433" s="6"/>
      <c r="BF433" s="6"/>
      <c r="BT433" s="6"/>
      <c r="CH433" s="6"/>
    </row>
    <row r="434" ht="13.5" customHeight="1">
      <c r="P434" s="6"/>
      <c r="AD434" s="6"/>
      <c r="AR434" s="6"/>
      <c r="BF434" s="6"/>
      <c r="BT434" s="6"/>
      <c r="CH434" s="6"/>
    </row>
    <row r="435" ht="13.5" customHeight="1">
      <c r="P435" s="6"/>
      <c r="AD435" s="6"/>
      <c r="AR435" s="6"/>
      <c r="BF435" s="6"/>
      <c r="BT435" s="6"/>
      <c r="CH435" s="6"/>
    </row>
    <row r="436" ht="13.5" customHeight="1">
      <c r="P436" s="6"/>
      <c r="AD436" s="6"/>
      <c r="AR436" s="6"/>
      <c r="BF436" s="6"/>
      <c r="BT436" s="6"/>
      <c r="CH436" s="6"/>
    </row>
    <row r="437" ht="13.5" customHeight="1">
      <c r="P437" s="6"/>
      <c r="AD437" s="6"/>
      <c r="AR437" s="6"/>
      <c r="BF437" s="6"/>
      <c r="BT437" s="6"/>
      <c r="CH437" s="6"/>
    </row>
    <row r="438" ht="13.5" customHeight="1">
      <c r="P438" s="6"/>
      <c r="AD438" s="6"/>
      <c r="AR438" s="6"/>
      <c r="BF438" s="6"/>
      <c r="BT438" s="6"/>
      <c r="CH438" s="6"/>
    </row>
    <row r="439" ht="13.5" customHeight="1">
      <c r="P439" s="6"/>
      <c r="AD439" s="6"/>
      <c r="AR439" s="6"/>
      <c r="BF439" s="6"/>
      <c r="BT439" s="6"/>
      <c r="CH439" s="6"/>
    </row>
    <row r="440" ht="13.5" customHeight="1">
      <c r="P440" s="6"/>
      <c r="AD440" s="6"/>
      <c r="AR440" s="6"/>
      <c r="BF440" s="6"/>
      <c r="BT440" s="6"/>
      <c r="CH440" s="6"/>
    </row>
    <row r="441" ht="13.5" customHeight="1">
      <c r="P441" s="6"/>
      <c r="AD441" s="6"/>
      <c r="AR441" s="6"/>
      <c r="BF441" s="6"/>
      <c r="BT441" s="6"/>
      <c r="CH441" s="6"/>
    </row>
    <row r="442" ht="13.5" customHeight="1">
      <c r="P442" s="6"/>
      <c r="AD442" s="6"/>
      <c r="AR442" s="6"/>
      <c r="BF442" s="6"/>
      <c r="BT442" s="6"/>
      <c r="CH442" s="6"/>
    </row>
    <row r="443" ht="13.5" customHeight="1">
      <c r="P443" s="6"/>
      <c r="AD443" s="6"/>
      <c r="AR443" s="6"/>
      <c r="BF443" s="6"/>
      <c r="BT443" s="6"/>
      <c r="CH443" s="6"/>
    </row>
    <row r="444" ht="13.5" customHeight="1">
      <c r="P444" s="6"/>
      <c r="AD444" s="6"/>
      <c r="AR444" s="6"/>
      <c r="BF444" s="6"/>
      <c r="BT444" s="6"/>
      <c r="CH444" s="6"/>
    </row>
    <row r="445" ht="13.5" customHeight="1">
      <c r="P445" s="6"/>
      <c r="AD445" s="6"/>
      <c r="AR445" s="6"/>
      <c r="BF445" s="6"/>
      <c r="BT445" s="6"/>
      <c r="CH445" s="6"/>
    </row>
    <row r="446" ht="13.5" customHeight="1">
      <c r="P446" s="6"/>
      <c r="AD446" s="6"/>
      <c r="AR446" s="6"/>
      <c r="BF446" s="6"/>
      <c r="BT446" s="6"/>
      <c r="CH446" s="6"/>
    </row>
    <row r="447" ht="13.5" customHeight="1">
      <c r="P447" s="6"/>
      <c r="AD447" s="6"/>
      <c r="AR447" s="6"/>
      <c r="BF447" s="6"/>
      <c r="BT447" s="6"/>
      <c r="CH447" s="6"/>
    </row>
    <row r="448" ht="13.5" customHeight="1">
      <c r="P448" s="6"/>
      <c r="AD448" s="6"/>
      <c r="AR448" s="6"/>
      <c r="BF448" s="6"/>
      <c r="BT448" s="6"/>
      <c r="CH448" s="6"/>
    </row>
    <row r="449" ht="13.5" customHeight="1">
      <c r="P449" s="6"/>
      <c r="AD449" s="6"/>
      <c r="AR449" s="6"/>
      <c r="BF449" s="6"/>
      <c r="BT449" s="6"/>
      <c r="CH449" s="6"/>
    </row>
    <row r="450" ht="13.5" customHeight="1">
      <c r="P450" s="6"/>
      <c r="AD450" s="6"/>
      <c r="AR450" s="6"/>
      <c r="BF450" s="6"/>
      <c r="BT450" s="6"/>
      <c r="CH450" s="6"/>
    </row>
    <row r="451" ht="13.5" customHeight="1">
      <c r="P451" s="6"/>
      <c r="AD451" s="6"/>
      <c r="AR451" s="6"/>
      <c r="BF451" s="6"/>
      <c r="BT451" s="6"/>
      <c r="CH451" s="6"/>
    </row>
    <row r="452" ht="13.5" customHeight="1">
      <c r="P452" s="6"/>
      <c r="AD452" s="6"/>
      <c r="AR452" s="6"/>
      <c r="BF452" s="6"/>
      <c r="BT452" s="6"/>
      <c r="CH452" s="6"/>
    </row>
    <row r="453" ht="13.5" customHeight="1">
      <c r="P453" s="6"/>
      <c r="AD453" s="6"/>
      <c r="AR453" s="6"/>
      <c r="BF453" s="6"/>
      <c r="BT453" s="6"/>
      <c r="CH453" s="6"/>
    </row>
    <row r="454" ht="13.5" customHeight="1">
      <c r="P454" s="6"/>
      <c r="AD454" s="6"/>
      <c r="AR454" s="6"/>
      <c r="BF454" s="6"/>
      <c r="BT454" s="6"/>
      <c r="CH454" s="6"/>
    </row>
    <row r="455" ht="13.5" customHeight="1">
      <c r="P455" s="6"/>
      <c r="AD455" s="6"/>
      <c r="AR455" s="6"/>
      <c r="BF455" s="6"/>
      <c r="BT455" s="6"/>
      <c r="CH455" s="6"/>
    </row>
    <row r="456" ht="13.5" customHeight="1">
      <c r="P456" s="6"/>
      <c r="AD456" s="6"/>
      <c r="AR456" s="6"/>
      <c r="BF456" s="6"/>
      <c r="BT456" s="6"/>
      <c r="CH456" s="6"/>
    </row>
    <row r="457" ht="13.5" customHeight="1">
      <c r="P457" s="6"/>
      <c r="AD457" s="6"/>
      <c r="AR457" s="6"/>
      <c r="BF457" s="6"/>
      <c r="BT457" s="6"/>
      <c r="CH457" s="6"/>
    </row>
    <row r="458" ht="13.5" customHeight="1">
      <c r="P458" s="6"/>
      <c r="AD458" s="6"/>
      <c r="AR458" s="6"/>
      <c r="BF458" s="6"/>
      <c r="BT458" s="6"/>
      <c r="CH458" s="6"/>
    </row>
    <row r="459" ht="13.5" customHeight="1">
      <c r="P459" s="6"/>
      <c r="AD459" s="6"/>
      <c r="AR459" s="6"/>
      <c r="BF459" s="6"/>
      <c r="BT459" s="6"/>
      <c r="CH459" s="6"/>
    </row>
    <row r="460" ht="13.5" customHeight="1">
      <c r="P460" s="6"/>
      <c r="AD460" s="6"/>
      <c r="AR460" s="6"/>
      <c r="BF460" s="6"/>
      <c r="BT460" s="6"/>
      <c r="CH460" s="6"/>
    </row>
    <row r="461" ht="13.5" customHeight="1">
      <c r="P461" s="6"/>
      <c r="AD461" s="6"/>
      <c r="AR461" s="6"/>
      <c r="BF461" s="6"/>
      <c r="BT461" s="6"/>
      <c r="CH461" s="6"/>
    </row>
    <row r="462" ht="13.5" customHeight="1">
      <c r="P462" s="6"/>
      <c r="AD462" s="6"/>
      <c r="AR462" s="6"/>
      <c r="BF462" s="6"/>
      <c r="BT462" s="6"/>
      <c r="CH462" s="6"/>
    </row>
    <row r="463" ht="13.5" customHeight="1">
      <c r="P463" s="6"/>
      <c r="AD463" s="6"/>
      <c r="AR463" s="6"/>
      <c r="BF463" s="6"/>
      <c r="BT463" s="6"/>
      <c r="CH463" s="6"/>
    </row>
    <row r="464" ht="13.5" customHeight="1">
      <c r="P464" s="6"/>
      <c r="AD464" s="6"/>
      <c r="AR464" s="6"/>
      <c r="BF464" s="6"/>
      <c r="BT464" s="6"/>
      <c r="CH464" s="6"/>
    </row>
    <row r="465" ht="13.5" customHeight="1">
      <c r="P465" s="6"/>
      <c r="AD465" s="6"/>
      <c r="AR465" s="6"/>
      <c r="BF465" s="6"/>
      <c r="BT465" s="6"/>
      <c r="CH465" s="6"/>
    </row>
    <row r="466" ht="13.5" customHeight="1">
      <c r="P466" s="6"/>
      <c r="AD466" s="6"/>
      <c r="AR466" s="6"/>
      <c r="BF466" s="6"/>
      <c r="BT466" s="6"/>
      <c r="CH466" s="6"/>
    </row>
    <row r="467" ht="13.5" customHeight="1">
      <c r="P467" s="6"/>
      <c r="AD467" s="6"/>
      <c r="AR467" s="6"/>
      <c r="BF467" s="6"/>
      <c r="BT467" s="6"/>
      <c r="CH467" s="6"/>
    </row>
    <row r="468" ht="13.5" customHeight="1">
      <c r="P468" s="6"/>
      <c r="AD468" s="6"/>
      <c r="AR468" s="6"/>
      <c r="BF468" s="6"/>
      <c r="BT468" s="6"/>
      <c r="CH468" s="6"/>
    </row>
    <row r="469" ht="13.5" customHeight="1">
      <c r="P469" s="6"/>
      <c r="AD469" s="6"/>
      <c r="AR469" s="6"/>
      <c r="BF469" s="6"/>
      <c r="BT469" s="6"/>
      <c r="CH469" s="6"/>
    </row>
    <row r="470" ht="13.5" customHeight="1">
      <c r="P470" s="6"/>
      <c r="AD470" s="6"/>
      <c r="AR470" s="6"/>
      <c r="BF470" s="6"/>
      <c r="BT470" s="6"/>
      <c r="CH470" s="6"/>
    </row>
    <row r="471" ht="13.5" customHeight="1">
      <c r="P471" s="6"/>
      <c r="AD471" s="6"/>
      <c r="AR471" s="6"/>
      <c r="BF471" s="6"/>
      <c r="BT471" s="6"/>
      <c r="CH471" s="6"/>
    </row>
    <row r="472" ht="13.5" customHeight="1">
      <c r="P472" s="6"/>
      <c r="AD472" s="6"/>
      <c r="AR472" s="6"/>
      <c r="BF472" s="6"/>
      <c r="BT472" s="6"/>
      <c r="CH472" s="6"/>
    </row>
    <row r="473" ht="13.5" customHeight="1">
      <c r="P473" s="6"/>
      <c r="AD473" s="6"/>
      <c r="AR473" s="6"/>
      <c r="BF473" s="6"/>
      <c r="BT473" s="6"/>
      <c r="CH473" s="6"/>
    </row>
    <row r="474" ht="13.5" customHeight="1">
      <c r="P474" s="6"/>
      <c r="AD474" s="6"/>
      <c r="AR474" s="6"/>
      <c r="BF474" s="6"/>
      <c r="BT474" s="6"/>
      <c r="CH474" s="6"/>
    </row>
    <row r="475" ht="13.5" customHeight="1">
      <c r="P475" s="6"/>
      <c r="AD475" s="6"/>
      <c r="AR475" s="6"/>
      <c r="BF475" s="6"/>
      <c r="BT475" s="6"/>
      <c r="CH475" s="6"/>
    </row>
    <row r="476" ht="13.5" customHeight="1">
      <c r="P476" s="6"/>
      <c r="AD476" s="6"/>
      <c r="AR476" s="6"/>
      <c r="BF476" s="6"/>
      <c r="BT476" s="6"/>
      <c r="CH476" s="6"/>
    </row>
    <row r="477" ht="13.5" customHeight="1">
      <c r="P477" s="6"/>
      <c r="AD477" s="6"/>
      <c r="AR477" s="6"/>
      <c r="BF477" s="6"/>
      <c r="BT477" s="6"/>
      <c r="CH477" s="6"/>
    </row>
    <row r="478" ht="13.5" customHeight="1">
      <c r="P478" s="6"/>
      <c r="AD478" s="6"/>
      <c r="AR478" s="6"/>
      <c r="BF478" s="6"/>
      <c r="BT478" s="6"/>
      <c r="CH478" s="6"/>
    </row>
    <row r="479" ht="13.5" customHeight="1">
      <c r="P479" s="6"/>
      <c r="AD479" s="6"/>
      <c r="AR479" s="6"/>
      <c r="BF479" s="6"/>
      <c r="BT479" s="6"/>
      <c r="CH479" s="6"/>
    </row>
    <row r="480" ht="13.5" customHeight="1">
      <c r="P480" s="6"/>
      <c r="AD480" s="6"/>
      <c r="AR480" s="6"/>
      <c r="BF480" s="6"/>
      <c r="BT480" s="6"/>
      <c r="CH480" s="6"/>
    </row>
    <row r="481" ht="13.5" customHeight="1">
      <c r="P481" s="6"/>
      <c r="AD481" s="6"/>
      <c r="AR481" s="6"/>
      <c r="BF481" s="6"/>
      <c r="BT481" s="6"/>
      <c r="CH481" s="6"/>
    </row>
    <row r="482" ht="13.5" customHeight="1">
      <c r="P482" s="6"/>
      <c r="AD482" s="6"/>
      <c r="AR482" s="6"/>
      <c r="BF482" s="6"/>
      <c r="BT482" s="6"/>
      <c r="CH482" s="6"/>
    </row>
    <row r="483" ht="13.5" customHeight="1">
      <c r="P483" s="6"/>
      <c r="AD483" s="6"/>
      <c r="AR483" s="6"/>
      <c r="BF483" s="6"/>
      <c r="BT483" s="6"/>
      <c r="CH483" s="6"/>
    </row>
    <row r="484" ht="13.5" customHeight="1">
      <c r="P484" s="6"/>
      <c r="AD484" s="6"/>
      <c r="AR484" s="6"/>
      <c r="BF484" s="6"/>
      <c r="BT484" s="6"/>
      <c r="CH484" s="6"/>
    </row>
    <row r="485" ht="13.5" customHeight="1">
      <c r="P485" s="6"/>
      <c r="AD485" s="6"/>
      <c r="AR485" s="6"/>
      <c r="BF485" s="6"/>
      <c r="BT485" s="6"/>
      <c r="CH485" s="6"/>
    </row>
    <row r="486" ht="13.5" customHeight="1">
      <c r="P486" s="6"/>
      <c r="AD486" s="6"/>
      <c r="AR486" s="6"/>
      <c r="BF486" s="6"/>
      <c r="BT486" s="6"/>
      <c r="CH486" s="6"/>
    </row>
    <row r="487" ht="13.5" customHeight="1">
      <c r="P487" s="6"/>
      <c r="AD487" s="6"/>
      <c r="AR487" s="6"/>
      <c r="BF487" s="6"/>
      <c r="BT487" s="6"/>
      <c r="CH487" s="6"/>
    </row>
    <row r="488" ht="13.5" customHeight="1">
      <c r="P488" s="6"/>
      <c r="AD488" s="6"/>
      <c r="AR488" s="6"/>
      <c r="BF488" s="6"/>
      <c r="BT488" s="6"/>
      <c r="CH488" s="6"/>
    </row>
    <row r="489" ht="13.5" customHeight="1">
      <c r="P489" s="6"/>
      <c r="AD489" s="6"/>
      <c r="AR489" s="6"/>
      <c r="BF489" s="6"/>
      <c r="BT489" s="6"/>
      <c r="CH489" s="6"/>
    </row>
    <row r="490" ht="13.5" customHeight="1">
      <c r="P490" s="6"/>
      <c r="AD490" s="6"/>
      <c r="AR490" s="6"/>
      <c r="BF490" s="6"/>
      <c r="BT490" s="6"/>
      <c r="CH490" s="6"/>
    </row>
    <row r="491" ht="13.5" customHeight="1">
      <c r="P491" s="6"/>
      <c r="AD491" s="6"/>
      <c r="AR491" s="6"/>
      <c r="BF491" s="6"/>
      <c r="BT491" s="6"/>
      <c r="CH491" s="6"/>
    </row>
    <row r="492" ht="13.5" customHeight="1">
      <c r="P492" s="6"/>
      <c r="AD492" s="6"/>
      <c r="AR492" s="6"/>
      <c r="BF492" s="6"/>
      <c r="BT492" s="6"/>
      <c r="CH492" s="6"/>
    </row>
    <row r="493" ht="13.5" customHeight="1">
      <c r="P493" s="6"/>
      <c r="AD493" s="6"/>
      <c r="AR493" s="6"/>
      <c r="BF493" s="6"/>
      <c r="BT493" s="6"/>
      <c r="CH493" s="6"/>
    </row>
    <row r="494" ht="13.5" customHeight="1">
      <c r="P494" s="6"/>
      <c r="AD494" s="6"/>
      <c r="AR494" s="6"/>
      <c r="BF494" s="6"/>
      <c r="BT494" s="6"/>
      <c r="CH494" s="6"/>
    </row>
    <row r="495" ht="13.5" customHeight="1">
      <c r="P495" s="6"/>
      <c r="AD495" s="6"/>
      <c r="AR495" s="6"/>
      <c r="BF495" s="6"/>
      <c r="BT495" s="6"/>
      <c r="CH495" s="6"/>
    </row>
    <row r="496" ht="13.5" customHeight="1">
      <c r="P496" s="6"/>
      <c r="AD496" s="6"/>
      <c r="AR496" s="6"/>
      <c r="BF496" s="6"/>
      <c r="BT496" s="6"/>
      <c r="CH496" s="6"/>
    </row>
    <row r="497" ht="13.5" customHeight="1">
      <c r="P497" s="6"/>
      <c r="AD497" s="6"/>
      <c r="AR497" s="6"/>
      <c r="BF497" s="6"/>
      <c r="BT497" s="6"/>
      <c r="CH497" s="6"/>
    </row>
    <row r="498" ht="13.5" customHeight="1">
      <c r="P498" s="6"/>
      <c r="AD498" s="6"/>
      <c r="AR498" s="6"/>
      <c r="BF498" s="6"/>
      <c r="BT498" s="6"/>
      <c r="CH498" s="6"/>
    </row>
    <row r="499" ht="13.5" customHeight="1">
      <c r="P499" s="6"/>
      <c r="AD499" s="6"/>
      <c r="AR499" s="6"/>
      <c r="BF499" s="6"/>
      <c r="BT499" s="6"/>
      <c r="CH499" s="6"/>
    </row>
    <row r="500" ht="13.5" customHeight="1">
      <c r="P500" s="6"/>
      <c r="AD500" s="6"/>
      <c r="AR500" s="6"/>
      <c r="BF500" s="6"/>
      <c r="BT500" s="6"/>
      <c r="CH500" s="6"/>
    </row>
    <row r="501" ht="13.5" customHeight="1">
      <c r="P501" s="6"/>
      <c r="AD501" s="6"/>
      <c r="AR501" s="6"/>
      <c r="BF501" s="6"/>
      <c r="BT501" s="6"/>
      <c r="CH501" s="6"/>
    </row>
    <row r="502" ht="13.5" customHeight="1">
      <c r="P502" s="6"/>
      <c r="AD502" s="6"/>
      <c r="AR502" s="6"/>
      <c r="BF502" s="6"/>
      <c r="BT502" s="6"/>
      <c r="CH502" s="6"/>
    </row>
    <row r="503" ht="13.5" customHeight="1">
      <c r="P503" s="6"/>
      <c r="AD503" s="6"/>
      <c r="AR503" s="6"/>
      <c r="BF503" s="6"/>
      <c r="BT503" s="6"/>
      <c r="CH503" s="6"/>
    </row>
    <row r="504" ht="13.5" customHeight="1">
      <c r="P504" s="6"/>
      <c r="AD504" s="6"/>
      <c r="AR504" s="6"/>
      <c r="BF504" s="6"/>
      <c r="BT504" s="6"/>
      <c r="CH504" s="6"/>
    </row>
    <row r="505" ht="13.5" customHeight="1">
      <c r="P505" s="6"/>
      <c r="AD505" s="6"/>
      <c r="AR505" s="6"/>
      <c r="BF505" s="6"/>
      <c r="BT505" s="6"/>
      <c r="CH505" s="6"/>
    </row>
    <row r="506" ht="13.5" customHeight="1">
      <c r="P506" s="6"/>
      <c r="AD506" s="6"/>
      <c r="AR506" s="6"/>
      <c r="BF506" s="6"/>
      <c r="BT506" s="6"/>
      <c r="CH506" s="6"/>
    </row>
    <row r="507" ht="13.5" customHeight="1">
      <c r="P507" s="6"/>
      <c r="AD507" s="6"/>
      <c r="AR507" s="6"/>
      <c r="BF507" s="6"/>
      <c r="BT507" s="6"/>
      <c r="CH507" s="6"/>
    </row>
    <row r="508" ht="13.5" customHeight="1">
      <c r="P508" s="6"/>
      <c r="AD508" s="6"/>
      <c r="AR508" s="6"/>
      <c r="BF508" s="6"/>
      <c r="BT508" s="6"/>
      <c r="CH508" s="6"/>
    </row>
    <row r="509" ht="13.5" customHeight="1">
      <c r="P509" s="6"/>
      <c r="AD509" s="6"/>
      <c r="AR509" s="6"/>
      <c r="BF509" s="6"/>
      <c r="BT509" s="6"/>
      <c r="CH509" s="6"/>
    </row>
    <row r="510" ht="13.5" customHeight="1">
      <c r="P510" s="6"/>
      <c r="AD510" s="6"/>
      <c r="AR510" s="6"/>
      <c r="BF510" s="6"/>
      <c r="BT510" s="6"/>
      <c r="CH510" s="6"/>
    </row>
    <row r="511" ht="13.5" customHeight="1">
      <c r="P511" s="6"/>
      <c r="AD511" s="6"/>
      <c r="AR511" s="6"/>
      <c r="BF511" s="6"/>
      <c r="BT511" s="6"/>
      <c r="CH511" s="6"/>
    </row>
    <row r="512" ht="13.5" customHeight="1">
      <c r="P512" s="6"/>
      <c r="AD512" s="6"/>
      <c r="AR512" s="6"/>
      <c r="BF512" s="6"/>
      <c r="BT512" s="6"/>
      <c r="CH512" s="6"/>
    </row>
    <row r="513" ht="13.5" customHeight="1">
      <c r="P513" s="6"/>
      <c r="AD513" s="6"/>
      <c r="AR513" s="6"/>
      <c r="BF513" s="6"/>
      <c r="BT513" s="6"/>
      <c r="CH513" s="6"/>
    </row>
    <row r="514" ht="13.5" customHeight="1">
      <c r="P514" s="6"/>
      <c r="AD514" s="6"/>
      <c r="AR514" s="6"/>
      <c r="BF514" s="6"/>
      <c r="BT514" s="6"/>
      <c r="CH514" s="6"/>
    </row>
    <row r="515" ht="13.5" customHeight="1">
      <c r="P515" s="6"/>
      <c r="AD515" s="6"/>
      <c r="AR515" s="6"/>
      <c r="BF515" s="6"/>
      <c r="BT515" s="6"/>
      <c r="CH515" s="6"/>
    </row>
    <row r="516" ht="13.5" customHeight="1">
      <c r="P516" s="6"/>
      <c r="AD516" s="6"/>
      <c r="AR516" s="6"/>
      <c r="BF516" s="6"/>
      <c r="BT516" s="6"/>
      <c r="CH516" s="6"/>
    </row>
    <row r="517" ht="13.5" customHeight="1">
      <c r="P517" s="6"/>
      <c r="AD517" s="6"/>
      <c r="AR517" s="6"/>
      <c r="BF517" s="6"/>
      <c r="BT517" s="6"/>
      <c r="CH517" s="6"/>
    </row>
    <row r="518" ht="13.5" customHeight="1">
      <c r="P518" s="6"/>
      <c r="AD518" s="6"/>
      <c r="AR518" s="6"/>
      <c r="BF518" s="6"/>
      <c r="BT518" s="6"/>
      <c r="CH518" s="6"/>
    </row>
    <row r="519" ht="13.5" customHeight="1">
      <c r="P519" s="6"/>
      <c r="AD519" s="6"/>
      <c r="AR519" s="6"/>
      <c r="BF519" s="6"/>
      <c r="BT519" s="6"/>
      <c r="CH519" s="6"/>
    </row>
    <row r="520" ht="13.5" customHeight="1">
      <c r="P520" s="6"/>
      <c r="AD520" s="6"/>
      <c r="AR520" s="6"/>
      <c r="BF520" s="6"/>
      <c r="BT520" s="6"/>
      <c r="CH520" s="6"/>
    </row>
    <row r="521" ht="13.5" customHeight="1">
      <c r="P521" s="6"/>
      <c r="AD521" s="6"/>
      <c r="AR521" s="6"/>
      <c r="BF521" s="6"/>
      <c r="BT521" s="6"/>
      <c r="CH521" s="6"/>
    </row>
    <row r="522" ht="13.5" customHeight="1">
      <c r="P522" s="6"/>
      <c r="AD522" s="6"/>
      <c r="AR522" s="6"/>
      <c r="BF522" s="6"/>
      <c r="BT522" s="6"/>
      <c r="CH522" s="6"/>
    </row>
    <row r="523" ht="13.5" customHeight="1">
      <c r="P523" s="6"/>
      <c r="AD523" s="6"/>
      <c r="AR523" s="6"/>
      <c r="BF523" s="6"/>
      <c r="BT523" s="6"/>
      <c r="CH523" s="6"/>
    </row>
    <row r="524" ht="13.5" customHeight="1">
      <c r="P524" s="6"/>
      <c r="AD524" s="6"/>
      <c r="AR524" s="6"/>
      <c r="BF524" s="6"/>
      <c r="BT524" s="6"/>
      <c r="CH524" s="6"/>
    </row>
    <row r="525" ht="13.5" customHeight="1">
      <c r="P525" s="6"/>
      <c r="AD525" s="6"/>
      <c r="AR525" s="6"/>
      <c r="BF525" s="6"/>
      <c r="BT525" s="6"/>
      <c r="CH525" s="6"/>
    </row>
    <row r="526" ht="13.5" customHeight="1">
      <c r="P526" s="6"/>
      <c r="AD526" s="6"/>
      <c r="AR526" s="6"/>
      <c r="BF526" s="6"/>
      <c r="BT526" s="6"/>
      <c r="CH526" s="6"/>
    </row>
    <row r="527" ht="13.5" customHeight="1">
      <c r="P527" s="6"/>
      <c r="AD527" s="6"/>
      <c r="AR527" s="6"/>
      <c r="BF527" s="6"/>
      <c r="BT527" s="6"/>
      <c r="CH527" s="6"/>
    </row>
    <row r="528" ht="13.5" customHeight="1">
      <c r="P528" s="6"/>
      <c r="AD528" s="6"/>
      <c r="AR528" s="6"/>
      <c r="BF528" s="6"/>
      <c r="BT528" s="6"/>
      <c r="CH528" s="6"/>
    </row>
    <row r="529" ht="13.5" customHeight="1">
      <c r="P529" s="6"/>
      <c r="AD529" s="6"/>
      <c r="AR529" s="6"/>
      <c r="BF529" s="6"/>
      <c r="BT529" s="6"/>
      <c r="CH529" s="6"/>
    </row>
    <row r="530" ht="13.5" customHeight="1">
      <c r="P530" s="6"/>
      <c r="AD530" s="6"/>
      <c r="AR530" s="6"/>
      <c r="BF530" s="6"/>
      <c r="BT530" s="6"/>
      <c r="CH530" s="6"/>
    </row>
    <row r="531" ht="13.5" customHeight="1">
      <c r="P531" s="6"/>
      <c r="AD531" s="6"/>
      <c r="AR531" s="6"/>
      <c r="BF531" s="6"/>
      <c r="BT531" s="6"/>
      <c r="CH531" s="6"/>
    </row>
    <row r="532" ht="13.5" customHeight="1">
      <c r="P532" s="6"/>
      <c r="AD532" s="6"/>
      <c r="AR532" s="6"/>
      <c r="BF532" s="6"/>
      <c r="BT532" s="6"/>
      <c r="CH532" s="6"/>
    </row>
    <row r="533" ht="13.5" customHeight="1">
      <c r="P533" s="6"/>
      <c r="AD533" s="6"/>
      <c r="AR533" s="6"/>
      <c r="BF533" s="6"/>
      <c r="BT533" s="6"/>
      <c r="CH533" s="6"/>
    </row>
    <row r="534" ht="13.5" customHeight="1">
      <c r="P534" s="6"/>
      <c r="AD534" s="6"/>
      <c r="AR534" s="6"/>
      <c r="BF534" s="6"/>
      <c r="BT534" s="6"/>
      <c r="CH534" s="6"/>
    </row>
    <row r="535" ht="13.5" customHeight="1">
      <c r="P535" s="6"/>
      <c r="AD535" s="6"/>
      <c r="AR535" s="6"/>
      <c r="BF535" s="6"/>
      <c r="BT535" s="6"/>
      <c r="CH535" s="6"/>
    </row>
    <row r="536" ht="13.5" customHeight="1">
      <c r="P536" s="6"/>
      <c r="AD536" s="6"/>
      <c r="AR536" s="6"/>
      <c r="BF536" s="6"/>
      <c r="BT536" s="6"/>
      <c r="CH536" s="6"/>
    </row>
    <row r="537" ht="13.5" customHeight="1">
      <c r="P537" s="6"/>
      <c r="AD537" s="6"/>
      <c r="AR537" s="6"/>
      <c r="BF537" s="6"/>
      <c r="BT537" s="6"/>
      <c r="CH537" s="6"/>
    </row>
    <row r="538" ht="13.5" customHeight="1">
      <c r="P538" s="6"/>
      <c r="AD538" s="6"/>
      <c r="AR538" s="6"/>
      <c r="BF538" s="6"/>
      <c r="BT538" s="6"/>
      <c r="CH538" s="6"/>
    </row>
    <row r="539" ht="13.5" customHeight="1">
      <c r="P539" s="6"/>
      <c r="AD539" s="6"/>
      <c r="AR539" s="6"/>
      <c r="BF539" s="6"/>
      <c r="BT539" s="6"/>
      <c r="CH539" s="6"/>
    </row>
    <row r="540" ht="13.5" customHeight="1">
      <c r="P540" s="6"/>
      <c r="AD540" s="6"/>
      <c r="AR540" s="6"/>
      <c r="BF540" s="6"/>
      <c r="BT540" s="6"/>
      <c r="CH540" s="6"/>
    </row>
    <row r="541" ht="13.5" customHeight="1">
      <c r="P541" s="6"/>
      <c r="AD541" s="6"/>
      <c r="AR541" s="6"/>
      <c r="BF541" s="6"/>
      <c r="BT541" s="6"/>
      <c r="CH541" s="6"/>
    </row>
    <row r="542" ht="13.5" customHeight="1">
      <c r="P542" s="6"/>
      <c r="AD542" s="6"/>
      <c r="AR542" s="6"/>
      <c r="BF542" s="6"/>
      <c r="BT542" s="6"/>
      <c r="CH542" s="6"/>
    </row>
    <row r="543" ht="13.5" customHeight="1">
      <c r="P543" s="6"/>
      <c r="AD543" s="6"/>
      <c r="AR543" s="6"/>
      <c r="BF543" s="6"/>
      <c r="BT543" s="6"/>
      <c r="CH543" s="6"/>
    </row>
    <row r="544" ht="13.5" customHeight="1">
      <c r="P544" s="6"/>
      <c r="AD544" s="6"/>
      <c r="AR544" s="6"/>
      <c r="BF544" s="6"/>
      <c r="BT544" s="6"/>
      <c r="CH544" s="6"/>
    </row>
    <row r="545" ht="13.5" customHeight="1">
      <c r="P545" s="6"/>
      <c r="AD545" s="6"/>
      <c r="AR545" s="6"/>
      <c r="BF545" s="6"/>
      <c r="BT545" s="6"/>
      <c r="CH545" s="6"/>
    </row>
    <row r="546" ht="13.5" customHeight="1">
      <c r="P546" s="6"/>
      <c r="AD546" s="6"/>
      <c r="AR546" s="6"/>
      <c r="BF546" s="6"/>
      <c r="BT546" s="6"/>
      <c r="CH546" s="6"/>
    </row>
    <row r="547" ht="13.5" customHeight="1">
      <c r="P547" s="6"/>
      <c r="AD547" s="6"/>
      <c r="AR547" s="6"/>
      <c r="BF547" s="6"/>
      <c r="BT547" s="6"/>
      <c r="CH547" s="6"/>
    </row>
    <row r="548" ht="13.5" customHeight="1">
      <c r="P548" s="6"/>
      <c r="AD548" s="6"/>
      <c r="AR548" s="6"/>
      <c r="BF548" s="6"/>
      <c r="BT548" s="6"/>
      <c r="CH548" s="6"/>
    </row>
    <row r="549" ht="13.5" customHeight="1">
      <c r="P549" s="6"/>
      <c r="AD549" s="6"/>
      <c r="AR549" s="6"/>
      <c r="BF549" s="6"/>
      <c r="BT549" s="6"/>
      <c r="CH549" s="6"/>
    </row>
    <row r="550" ht="13.5" customHeight="1">
      <c r="P550" s="6"/>
      <c r="AD550" s="6"/>
      <c r="AR550" s="6"/>
      <c r="BF550" s="6"/>
      <c r="BT550" s="6"/>
      <c r="CH550" s="6"/>
    </row>
    <row r="551" ht="13.5" customHeight="1">
      <c r="P551" s="6"/>
      <c r="AD551" s="6"/>
      <c r="AR551" s="6"/>
      <c r="BF551" s="6"/>
      <c r="BT551" s="6"/>
      <c r="CH551" s="6"/>
    </row>
    <row r="552" ht="13.5" customHeight="1">
      <c r="P552" s="6"/>
      <c r="AD552" s="6"/>
      <c r="AR552" s="6"/>
      <c r="BF552" s="6"/>
      <c r="BT552" s="6"/>
      <c r="CH552" s="6"/>
    </row>
    <row r="553" ht="13.5" customHeight="1">
      <c r="P553" s="6"/>
      <c r="AD553" s="6"/>
      <c r="AR553" s="6"/>
      <c r="BF553" s="6"/>
      <c r="BT553" s="6"/>
      <c r="CH553" s="6"/>
    </row>
    <row r="554" ht="13.5" customHeight="1">
      <c r="P554" s="6"/>
      <c r="AD554" s="6"/>
      <c r="AR554" s="6"/>
      <c r="BF554" s="6"/>
      <c r="BT554" s="6"/>
      <c r="CH554" s="6"/>
    </row>
    <row r="555" ht="13.5" customHeight="1">
      <c r="P555" s="6"/>
      <c r="AD555" s="6"/>
      <c r="AR555" s="6"/>
      <c r="BF555" s="6"/>
      <c r="BT555" s="6"/>
      <c r="CH555" s="6"/>
    </row>
    <row r="556" ht="13.5" customHeight="1">
      <c r="P556" s="6"/>
      <c r="AD556" s="6"/>
      <c r="AR556" s="6"/>
      <c r="BF556" s="6"/>
      <c r="BT556" s="6"/>
      <c r="CH556" s="6"/>
    </row>
    <row r="557" ht="13.5" customHeight="1">
      <c r="P557" s="6"/>
      <c r="AD557" s="6"/>
      <c r="AR557" s="6"/>
      <c r="BF557" s="6"/>
      <c r="BT557" s="6"/>
      <c r="CH557" s="6"/>
    </row>
    <row r="558" ht="13.5" customHeight="1">
      <c r="P558" s="6"/>
      <c r="AD558" s="6"/>
      <c r="AR558" s="6"/>
      <c r="BF558" s="6"/>
      <c r="BT558" s="6"/>
      <c r="CH558" s="6"/>
    </row>
    <row r="559" ht="13.5" customHeight="1">
      <c r="P559" s="6"/>
      <c r="AD559" s="6"/>
      <c r="AR559" s="6"/>
      <c r="BF559" s="6"/>
      <c r="BT559" s="6"/>
      <c r="CH559" s="6"/>
    </row>
    <row r="560" ht="13.5" customHeight="1">
      <c r="P560" s="6"/>
      <c r="AD560" s="6"/>
      <c r="AR560" s="6"/>
      <c r="BF560" s="6"/>
      <c r="BT560" s="6"/>
      <c r="CH560" s="6"/>
    </row>
    <row r="561" ht="13.5" customHeight="1">
      <c r="P561" s="6"/>
      <c r="AD561" s="6"/>
      <c r="AR561" s="6"/>
      <c r="BF561" s="6"/>
      <c r="BT561" s="6"/>
      <c r="CH561" s="6"/>
    </row>
    <row r="562" ht="13.5" customHeight="1">
      <c r="P562" s="6"/>
      <c r="AD562" s="6"/>
      <c r="AR562" s="6"/>
      <c r="BF562" s="6"/>
      <c r="BT562" s="6"/>
      <c r="CH562" s="6"/>
    </row>
    <row r="563" ht="13.5" customHeight="1">
      <c r="P563" s="6"/>
      <c r="AD563" s="6"/>
      <c r="AR563" s="6"/>
      <c r="BF563" s="6"/>
      <c r="BT563" s="6"/>
      <c r="CH563" s="6"/>
    </row>
    <row r="564" ht="13.5" customHeight="1">
      <c r="P564" s="6"/>
      <c r="AD564" s="6"/>
      <c r="AR564" s="6"/>
      <c r="BF564" s="6"/>
      <c r="BT564" s="6"/>
      <c r="CH564" s="6"/>
    </row>
    <row r="565" ht="13.5" customHeight="1">
      <c r="P565" s="6"/>
      <c r="AD565" s="6"/>
      <c r="AR565" s="6"/>
      <c r="BF565" s="6"/>
      <c r="BT565" s="6"/>
      <c r="CH565" s="6"/>
    </row>
    <row r="566" ht="13.5" customHeight="1">
      <c r="P566" s="6"/>
      <c r="AD566" s="6"/>
      <c r="AR566" s="6"/>
      <c r="BF566" s="6"/>
      <c r="BT566" s="6"/>
      <c r="CH566" s="6"/>
    </row>
    <row r="567" ht="13.5" customHeight="1">
      <c r="P567" s="6"/>
      <c r="AD567" s="6"/>
      <c r="AR567" s="6"/>
      <c r="BF567" s="6"/>
      <c r="BT567" s="6"/>
      <c r="CH567" s="6"/>
    </row>
    <row r="568" ht="13.5" customHeight="1">
      <c r="P568" s="6"/>
      <c r="AD568" s="6"/>
      <c r="AR568" s="6"/>
      <c r="BF568" s="6"/>
      <c r="BT568" s="6"/>
      <c r="CH568" s="6"/>
    </row>
    <row r="569" ht="13.5" customHeight="1">
      <c r="P569" s="6"/>
      <c r="AD569" s="6"/>
      <c r="AR569" s="6"/>
      <c r="BF569" s="6"/>
      <c r="BT569" s="6"/>
      <c r="CH569" s="6"/>
    </row>
    <row r="570" ht="13.5" customHeight="1">
      <c r="P570" s="6"/>
      <c r="AD570" s="6"/>
      <c r="AR570" s="6"/>
      <c r="BF570" s="6"/>
      <c r="BT570" s="6"/>
      <c r="CH570" s="6"/>
    </row>
    <row r="571" ht="13.5" customHeight="1">
      <c r="P571" s="6"/>
      <c r="AD571" s="6"/>
      <c r="AR571" s="6"/>
      <c r="BF571" s="6"/>
      <c r="BT571" s="6"/>
      <c r="CH571" s="6"/>
    </row>
    <row r="572" ht="13.5" customHeight="1">
      <c r="P572" s="6"/>
      <c r="AD572" s="6"/>
      <c r="AR572" s="6"/>
      <c r="BF572" s="6"/>
      <c r="BT572" s="6"/>
      <c r="CH572" s="6"/>
    </row>
    <row r="573" ht="13.5" customHeight="1">
      <c r="P573" s="6"/>
      <c r="AD573" s="6"/>
      <c r="AR573" s="6"/>
      <c r="BF573" s="6"/>
      <c r="BT573" s="6"/>
      <c r="CH573" s="6"/>
    </row>
    <row r="574" ht="13.5" customHeight="1">
      <c r="P574" s="6"/>
      <c r="AD574" s="6"/>
      <c r="AR574" s="6"/>
      <c r="BF574" s="6"/>
      <c r="BT574" s="6"/>
      <c r="CH574" s="6"/>
    </row>
    <row r="575" ht="13.5" customHeight="1">
      <c r="P575" s="6"/>
      <c r="AD575" s="6"/>
      <c r="AR575" s="6"/>
      <c r="BF575" s="6"/>
      <c r="BT575" s="6"/>
      <c r="CH575" s="6"/>
    </row>
    <row r="576" ht="13.5" customHeight="1">
      <c r="P576" s="6"/>
      <c r="AD576" s="6"/>
      <c r="AR576" s="6"/>
      <c r="BF576" s="6"/>
      <c r="BT576" s="6"/>
      <c r="CH576" s="6"/>
    </row>
    <row r="577" ht="13.5" customHeight="1">
      <c r="P577" s="6"/>
      <c r="AD577" s="6"/>
      <c r="AR577" s="6"/>
      <c r="BF577" s="6"/>
      <c r="BT577" s="6"/>
      <c r="CH577" s="6"/>
    </row>
    <row r="578" ht="13.5" customHeight="1">
      <c r="P578" s="6"/>
      <c r="AD578" s="6"/>
      <c r="AR578" s="6"/>
      <c r="BF578" s="6"/>
      <c r="BT578" s="6"/>
      <c r="CH578" s="6"/>
    </row>
    <row r="579" ht="13.5" customHeight="1">
      <c r="P579" s="6"/>
      <c r="AD579" s="6"/>
      <c r="AR579" s="6"/>
      <c r="BF579" s="6"/>
      <c r="BT579" s="6"/>
      <c r="CH579" s="6"/>
    </row>
    <row r="580" ht="13.5" customHeight="1">
      <c r="P580" s="6"/>
      <c r="AD580" s="6"/>
      <c r="AR580" s="6"/>
      <c r="BF580" s="6"/>
      <c r="BT580" s="6"/>
      <c r="CH580" s="6"/>
    </row>
    <row r="581" ht="13.5" customHeight="1">
      <c r="P581" s="6"/>
      <c r="AD581" s="6"/>
      <c r="AR581" s="6"/>
      <c r="BF581" s="6"/>
      <c r="BT581" s="6"/>
      <c r="CH581" s="6"/>
    </row>
    <row r="582" ht="13.5" customHeight="1">
      <c r="P582" s="6"/>
      <c r="AD582" s="6"/>
      <c r="AR582" s="6"/>
      <c r="BF582" s="6"/>
      <c r="BT582" s="6"/>
      <c r="CH582" s="6"/>
    </row>
    <row r="583" ht="13.5" customHeight="1">
      <c r="P583" s="6"/>
      <c r="AD583" s="6"/>
      <c r="AR583" s="6"/>
      <c r="BF583" s="6"/>
      <c r="BT583" s="6"/>
      <c r="CH583" s="6"/>
    </row>
    <row r="584" ht="13.5" customHeight="1">
      <c r="P584" s="6"/>
      <c r="AD584" s="6"/>
      <c r="AR584" s="6"/>
      <c r="BF584" s="6"/>
      <c r="BT584" s="6"/>
      <c r="CH584" s="6"/>
    </row>
    <row r="585" ht="13.5" customHeight="1">
      <c r="P585" s="6"/>
      <c r="AD585" s="6"/>
      <c r="AR585" s="6"/>
      <c r="BF585" s="6"/>
      <c r="BT585" s="6"/>
      <c r="CH585" s="6"/>
    </row>
    <row r="586" ht="13.5" customHeight="1">
      <c r="P586" s="6"/>
      <c r="AD586" s="6"/>
      <c r="AR586" s="6"/>
      <c r="BF586" s="6"/>
      <c r="BT586" s="6"/>
      <c r="CH586" s="6"/>
    </row>
    <row r="587" ht="13.5" customHeight="1">
      <c r="P587" s="6"/>
      <c r="AD587" s="6"/>
      <c r="AR587" s="6"/>
      <c r="BF587" s="6"/>
      <c r="BT587" s="6"/>
      <c r="CH587" s="6"/>
    </row>
    <row r="588" ht="13.5" customHeight="1">
      <c r="P588" s="6"/>
      <c r="AD588" s="6"/>
      <c r="AR588" s="6"/>
      <c r="BF588" s="6"/>
      <c r="BT588" s="6"/>
      <c r="CH588" s="6"/>
    </row>
    <row r="589" ht="13.5" customHeight="1">
      <c r="P589" s="6"/>
      <c r="AD589" s="6"/>
      <c r="AR589" s="6"/>
      <c r="BF589" s="6"/>
      <c r="BT589" s="6"/>
      <c r="CH589" s="6"/>
    </row>
    <row r="590" ht="13.5" customHeight="1">
      <c r="P590" s="6"/>
      <c r="AD590" s="6"/>
      <c r="AR590" s="6"/>
      <c r="BF590" s="6"/>
      <c r="BT590" s="6"/>
      <c r="CH590" s="6"/>
    </row>
    <row r="591" ht="13.5" customHeight="1">
      <c r="P591" s="6"/>
      <c r="AD591" s="6"/>
      <c r="AR591" s="6"/>
      <c r="BF591" s="6"/>
      <c r="BT591" s="6"/>
      <c r="CH591" s="6"/>
    </row>
    <row r="592" ht="13.5" customHeight="1">
      <c r="P592" s="6"/>
      <c r="AD592" s="6"/>
      <c r="AR592" s="6"/>
      <c r="BF592" s="6"/>
      <c r="BT592" s="6"/>
      <c r="CH592" s="6"/>
    </row>
    <row r="593" ht="13.5" customHeight="1">
      <c r="P593" s="6"/>
      <c r="AD593" s="6"/>
      <c r="AR593" s="6"/>
      <c r="BF593" s="6"/>
      <c r="BT593" s="6"/>
      <c r="CH593" s="6"/>
    </row>
    <row r="594" ht="13.5" customHeight="1">
      <c r="P594" s="6"/>
      <c r="AD594" s="6"/>
      <c r="AR594" s="6"/>
      <c r="BF594" s="6"/>
      <c r="BT594" s="6"/>
      <c r="CH594" s="6"/>
    </row>
    <row r="595" ht="13.5" customHeight="1">
      <c r="P595" s="6"/>
      <c r="AD595" s="6"/>
      <c r="AR595" s="6"/>
      <c r="BF595" s="6"/>
      <c r="BT595" s="6"/>
      <c r="CH595" s="6"/>
    </row>
    <row r="596" ht="13.5" customHeight="1">
      <c r="P596" s="6"/>
      <c r="AD596" s="6"/>
      <c r="AR596" s="6"/>
      <c r="BF596" s="6"/>
      <c r="BT596" s="6"/>
      <c r="CH596" s="6"/>
    </row>
    <row r="597" ht="13.5" customHeight="1">
      <c r="P597" s="6"/>
      <c r="AD597" s="6"/>
      <c r="AR597" s="6"/>
      <c r="BF597" s="6"/>
      <c r="BT597" s="6"/>
      <c r="CH597" s="6"/>
    </row>
    <row r="598" ht="13.5" customHeight="1">
      <c r="P598" s="6"/>
      <c r="AD598" s="6"/>
      <c r="AR598" s="6"/>
      <c r="BF598" s="6"/>
      <c r="BT598" s="6"/>
      <c r="CH598" s="6"/>
    </row>
    <row r="599" ht="13.5" customHeight="1">
      <c r="P599" s="6"/>
      <c r="AD599" s="6"/>
      <c r="AR599" s="6"/>
      <c r="BF599" s="6"/>
      <c r="BT599" s="6"/>
      <c r="CH599" s="6"/>
    </row>
    <row r="600" ht="13.5" customHeight="1">
      <c r="P600" s="6"/>
      <c r="AD600" s="6"/>
      <c r="AR600" s="6"/>
      <c r="BF600" s="6"/>
      <c r="BT600" s="6"/>
      <c r="CH600" s="6"/>
    </row>
    <row r="601" ht="13.5" customHeight="1">
      <c r="P601" s="6"/>
      <c r="AD601" s="6"/>
      <c r="AR601" s="6"/>
      <c r="BF601" s="6"/>
      <c r="BT601" s="6"/>
      <c r="CH601" s="6"/>
    </row>
    <row r="602" ht="13.5" customHeight="1">
      <c r="P602" s="6"/>
      <c r="AD602" s="6"/>
      <c r="AR602" s="6"/>
      <c r="BF602" s="6"/>
      <c r="BT602" s="6"/>
      <c r="CH602" s="6"/>
    </row>
    <row r="603" ht="13.5" customHeight="1">
      <c r="P603" s="6"/>
      <c r="AD603" s="6"/>
      <c r="AR603" s="6"/>
      <c r="BF603" s="6"/>
      <c r="BT603" s="6"/>
      <c r="CH603" s="6"/>
    </row>
    <row r="604" ht="13.5" customHeight="1">
      <c r="P604" s="6"/>
      <c r="AD604" s="6"/>
      <c r="AR604" s="6"/>
      <c r="BF604" s="6"/>
      <c r="BT604" s="6"/>
      <c r="CH604" s="6"/>
    </row>
    <row r="605" ht="13.5" customHeight="1">
      <c r="P605" s="6"/>
      <c r="AD605" s="6"/>
      <c r="AR605" s="6"/>
      <c r="BF605" s="6"/>
      <c r="BT605" s="6"/>
      <c r="CH605" s="6"/>
    </row>
    <row r="606" ht="13.5" customHeight="1">
      <c r="P606" s="6"/>
      <c r="AD606" s="6"/>
      <c r="AR606" s="6"/>
      <c r="BF606" s="6"/>
      <c r="BT606" s="6"/>
      <c r="CH606" s="6"/>
    </row>
    <row r="607" ht="13.5" customHeight="1">
      <c r="P607" s="6"/>
      <c r="AD607" s="6"/>
      <c r="AR607" s="6"/>
      <c r="BF607" s="6"/>
      <c r="BT607" s="6"/>
      <c r="CH607" s="6"/>
    </row>
    <row r="608" ht="13.5" customHeight="1">
      <c r="P608" s="6"/>
      <c r="AD608" s="6"/>
      <c r="AR608" s="6"/>
      <c r="BF608" s="6"/>
      <c r="BT608" s="6"/>
      <c r="CH608" s="6"/>
    </row>
    <row r="609" ht="13.5" customHeight="1">
      <c r="P609" s="6"/>
      <c r="AD609" s="6"/>
      <c r="AR609" s="6"/>
      <c r="BF609" s="6"/>
      <c r="BT609" s="6"/>
      <c r="CH609" s="6"/>
    </row>
    <row r="610" ht="13.5" customHeight="1">
      <c r="P610" s="6"/>
      <c r="AD610" s="6"/>
      <c r="AR610" s="6"/>
      <c r="BF610" s="6"/>
      <c r="BT610" s="6"/>
      <c r="CH610" s="6"/>
    </row>
    <row r="611" ht="13.5" customHeight="1">
      <c r="P611" s="6"/>
      <c r="AD611" s="6"/>
      <c r="AR611" s="6"/>
      <c r="BF611" s="6"/>
      <c r="BT611" s="6"/>
      <c r="CH611" s="6"/>
    </row>
    <row r="612" ht="13.5" customHeight="1">
      <c r="P612" s="6"/>
      <c r="AD612" s="6"/>
      <c r="AR612" s="6"/>
      <c r="BF612" s="6"/>
      <c r="BT612" s="6"/>
      <c r="CH612" s="6"/>
    </row>
    <row r="613" ht="13.5" customHeight="1">
      <c r="P613" s="6"/>
      <c r="AD613" s="6"/>
      <c r="AR613" s="6"/>
      <c r="BF613" s="6"/>
      <c r="BT613" s="6"/>
      <c r="CH613" s="6"/>
    </row>
    <row r="614" ht="13.5" customHeight="1">
      <c r="P614" s="6"/>
      <c r="AD614" s="6"/>
      <c r="AR614" s="6"/>
      <c r="BF614" s="6"/>
      <c r="BT614" s="6"/>
      <c r="CH614" s="6"/>
    </row>
    <row r="615" ht="13.5" customHeight="1">
      <c r="P615" s="6"/>
      <c r="AD615" s="6"/>
      <c r="AR615" s="6"/>
      <c r="BF615" s="6"/>
      <c r="BT615" s="6"/>
      <c r="CH615" s="6"/>
    </row>
    <row r="616" ht="13.5" customHeight="1">
      <c r="P616" s="6"/>
      <c r="AD616" s="6"/>
      <c r="AR616" s="6"/>
      <c r="BF616" s="6"/>
      <c r="BT616" s="6"/>
      <c r="CH616" s="6"/>
    </row>
    <row r="617" ht="13.5" customHeight="1">
      <c r="P617" s="6"/>
      <c r="AD617" s="6"/>
      <c r="AR617" s="6"/>
      <c r="BF617" s="6"/>
      <c r="BT617" s="6"/>
      <c r="CH617" s="6"/>
    </row>
    <row r="618" ht="13.5" customHeight="1">
      <c r="P618" s="6"/>
      <c r="AD618" s="6"/>
      <c r="AR618" s="6"/>
      <c r="BF618" s="6"/>
      <c r="BT618" s="6"/>
      <c r="CH618" s="6"/>
    </row>
    <row r="619" ht="13.5" customHeight="1">
      <c r="P619" s="6"/>
      <c r="AD619" s="6"/>
      <c r="AR619" s="6"/>
      <c r="BF619" s="6"/>
      <c r="BT619" s="6"/>
      <c r="CH619" s="6"/>
    </row>
    <row r="620" ht="13.5" customHeight="1">
      <c r="P620" s="6"/>
      <c r="AD620" s="6"/>
      <c r="AR620" s="6"/>
      <c r="BF620" s="6"/>
      <c r="BT620" s="6"/>
      <c r="CH620" s="6"/>
    </row>
    <row r="621" ht="13.5" customHeight="1">
      <c r="P621" s="6"/>
      <c r="AD621" s="6"/>
      <c r="AR621" s="6"/>
      <c r="BF621" s="6"/>
      <c r="BT621" s="6"/>
      <c r="CH621" s="6"/>
    </row>
    <row r="622" ht="13.5" customHeight="1">
      <c r="P622" s="6"/>
      <c r="AD622" s="6"/>
      <c r="AR622" s="6"/>
      <c r="BF622" s="6"/>
      <c r="BT622" s="6"/>
      <c r="CH622" s="6"/>
    </row>
    <row r="623" ht="13.5" customHeight="1">
      <c r="P623" s="6"/>
      <c r="AD623" s="6"/>
      <c r="AR623" s="6"/>
      <c r="BF623" s="6"/>
      <c r="BT623" s="6"/>
      <c r="CH623" s="6"/>
    </row>
    <row r="624" ht="13.5" customHeight="1">
      <c r="P624" s="6"/>
      <c r="AD624" s="6"/>
      <c r="AR624" s="6"/>
      <c r="BF624" s="6"/>
      <c r="BT624" s="6"/>
      <c r="CH624" s="6"/>
    </row>
    <row r="625" ht="13.5" customHeight="1">
      <c r="P625" s="6"/>
      <c r="AD625" s="6"/>
      <c r="AR625" s="6"/>
      <c r="BF625" s="6"/>
      <c r="BT625" s="6"/>
      <c r="CH625" s="6"/>
    </row>
    <row r="626" ht="13.5" customHeight="1">
      <c r="P626" s="6"/>
      <c r="AD626" s="6"/>
      <c r="AR626" s="6"/>
      <c r="BF626" s="6"/>
      <c r="BT626" s="6"/>
      <c r="CH626" s="6"/>
    </row>
    <row r="627" ht="13.5" customHeight="1">
      <c r="P627" s="6"/>
      <c r="AD627" s="6"/>
      <c r="AR627" s="6"/>
      <c r="BF627" s="6"/>
      <c r="BT627" s="6"/>
      <c r="CH627" s="6"/>
    </row>
    <row r="628" ht="13.5" customHeight="1">
      <c r="P628" s="6"/>
      <c r="AD628" s="6"/>
      <c r="AR628" s="6"/>
      <c r="BF628" s="6"/>
      <c r="BT628" s="6"/>
      <c r="CH628" s="6"/>
    </row>
    <row r="629" ht="13.5" customHeight="1">
      <c r="P629" s="6"/>
      <c r="AD629" s="6"/>
      <c r="AR629" s="6"/>
      <c r="BF629" s="6"/>
      <c r="BT629" s="6"/>
      <c r="CH629" s="6"/>
    </row>
    <row r="630" ht="13.5" customHeight="1">
      <c r="P630" s="6"/>
      <c r="AD630" s="6"/>
      <c r="AR630" s="6"/>
      <c r="BF630" s="6"/>
      <c r="BT630" s="6"/>
      <c r="CH630" s="6"/>
    </row>
    <row r="631" ht="13.5" customHeight="1">
      <c r="P631" s="6"/>
      <c r="AD631" s="6"/>
      <c r="AR631" s="6"/>
      <c r="BF631" s="6"/>
      <c r="BT631" s="6"/>
      <c r="CH631" s="6"/>
    </row>
    <row r="632" ht="13.5" customHeight="1">
      <c r="P632" s="6"/>
      <c r="AD632" s="6"/>
      <c r="AR632" s="6"/>
      <c r="BF632" s="6"/>
      <c r="BT632" s="6"/>
      <c r="CH632" s="6"/>
    </row>
    <row r="633" ht="13.5" customHeight="1">
      <c r="P633" s="6"/>
      <c r="AD633" s="6"/>
      <c r="AR633" s="6"/>
      <c r="BF633" s="6"/>
      <c r="BT633" s="6"/>
      <c r="CH633" s="6"/>
    </row>
    <row r="634" ht="13.5" customHeight="1">
      <c r="P634" s="6"/>
      <c r="AD634" s="6"/>
      <c r="AR634" s="6"/>
      <c r="BF634" s="6"/>
      <c r="BT634" s="6"/>
      <c r="CH634" s="6"/>
    </row>
    <row r="635" ht="13.5" customHeight="1">
      <c r="P635" s="6"/>
      <c r="AD635" s="6"/>
      <c r="AR635" s="6"/>
      <c r="BF635" s="6"/>
      <c r="BT635" s="6"/>
      <c r="CH635" s="6"/>
    </row>
    <row r="636" ht="13.5" customHeight="1">
      <c r="P636" s="6"/>
      <c r="AD636" s="6"/>
      <c r="AR636" s="6"/>
      <c r="BF636" s="6"/>
      <c r="BT636" s="6"/>
      <c r="CH636" s="6"/>
    </row>
    <row r="637" ht="13.5" customHeight="1">
      <c r="P637" s="6"/>
      <c r="AD637" s="6"/>
      <c r="AR637" s="6"/>
      <c r="BF637" s="6"/>
      <c r="BT637" s="6"/>
      <c r="CH637" s="6"/>
    </row>
    <row r="638" ht="13.5" customHeight="1">
      <c r="P638" s="6"/>
      <c r="AD638" s="6"/>
      <c r="AR638" s="6"/>
      <c r="BF638" s="6"/>
      <c r="BT638" s="6"/>
      <c r="CH638" s="6"/>
    </row>
    <row r="639" ht="13.5" customHeight="1">
      <c r="P639" s="6"/>
      <c r="AD639" s="6"/>
      <c r="AR639" s="6"/>
      <c r="BF639" s="6"/>
      <c r="BT639" s="6"/>
      <c r="CH639" s="6"/>
    </row>
    <row r="640" ht="13.5" customHeight="1">
      <c r="P640" s="6"/>
      <c r="AD640" s="6"/>
      <c r="AR640" s="6"/>
      <c r="BF640" s="6"/>
      <c r="BT640" s="6"/>
      <c r="CH640" s="6"/>
    </row>
    <row r="641" ht="13.5" customHeight="1">
      <c r="P641" s="6"/>
      <c r="AD641" s="6"/>
      <c r="AR641" s="6"/>
      <c r="BF641" s="6"/>
      <c r="BT641" s="6"/>
      <c r="CH641" s="6"/>
    </row>
    <row r="642" ht="13.5" customHeight="1">
      <c r="P642" s="6"/>
      <c r="AD642" s="6"/>
      <c r="AR642" s="6"/>
      <c r="BF642" s="6"/>
      <c r="BT642" s="6"/>
      <c r="CH642" s="6"/>
    </row>
    <row r="643" ht="13.5" customHeight="1">
      <c r="P643" s="6"/>
      <c r="AD643" s="6"/>
      <c r="AR643" s="6"/>
      <c r="BF643" s="6"/>
      <c r="BT643" s="6"/>
      <c r="CH643" s="6"/>
    </row>
    <row r="644" ht="13.5" customHeight="1">
      <c r="P644" s="6"/>
      <c r="AD644" s="6"/>
      <c r="AR644" s="6"/>
      <c r="BF644" s="6"/>
      <c r="BT644" s="6"/>
      <c r="CH644" s="6"/>
    </row>
    <row r="645" ht="13.5" customHeight="1">
      <c r="P645" s="6"/>
      <c r="AD645" s="6"/>
      <c r="AR645" s="6"/>
      <c r="BF645" s="6"/>
      <c r="BT645" s="6"/>
      <c r="CH645" s="6"/>
    </row>
    <row r="646" ht="13.5" customHeight="1">
      <c r="P646" s="6"/>
      <c r="AD646" s="6"/>
      <c r="AR646" s="6"/>
      <c r="BF646" s="6"/>
      <c r="BT646" s="6"/>
      <c r="CH646" s="6"/>
    </row>
    <row r="647" ht="13.5" customHeight="1">
      <c r="P647" s="6"/>
      <c r="AD647" s="6"/>
      <c r="AR647" s="6"/>
      <c r="BF647" s="6"/>
      <c r="BT647" s="6"/>
      <c r="CH647" s="6"/>
    </row>
    <row r="648" ht="13.5" customHeight="1">
      <c r="P648" s="6"/>
      <c r="AD648" s="6"/>
      <c r="AR648" s="6"/>
      <c r="BF648" s="6"/>
      <c r="BT648" s="6"/>
      <c r="CH648" s="6"/>
    </row>
    <row r="649" ht="13.5" customHeight="1">
      <c r="P649" s="6"/>
      <c r="AD649" s="6"/>
      <c r="AR649" s="6"/>
      <c r="BF649" s="6"/>
      <c r="BT649" s="6"/>
      <c r="CH649" s="6"/>
    </row>
    <row r="650" ht="13.5" customHeight="1">
      <c r="P650" s="6"/>
      <c r="AD650" s="6"/>
      <c r="AR650" s="6"/>
      <c r="BF650" s="6"/>
      <c r="BT650" s="6"/>
      <c r="CH650" s="6"/>
    </row>
    <row r="651" ht="13.5" customHeight="1">
      <c r="P651" s="6"/>
      <c r="AD651" s="6"/>
      <c r="AR651" s="6"/>
      <c r="BF651" s="6"/>
      <c r="BT651" s="6"/>
      <c r="CH651" s="6"/>
    </row>
    <row r="652" ht="13.5" customHeight="1">
      <c r="P652" s="6"/>
      <c r="AD652" s="6"/>
      <c r="AR652" s="6"/>
      <c r="BF652" s="6"/>
      <c r="BT652" s="6"/>
      <c r="CH652" s="6"/>
    </row>
    <row r="653" ht="13.5" customHeight="1">
      <c r="P653" s="6"/>
      <c r="AD653" s="6"/>
      <c r="AR653" s="6"/>
      <c r="BF653" s="6"/>
      <c r="BT653" s="6"/>
      <c r="CH653" s="6"/>
    </row>
    <row r="654" ht="13.5" customHeight="1">
      <c r="P654" s="6"/>
      <c r="AD654" s="6"/>
      <c r="AR654" s="6"/>
      <c r="BF654" s="6"/>
      <c r="BT654" s="6"/>
      <c r="CH654" s="6"/>
    </row>
    <row r="655" ht="13.5" customHeight="1">
      <c r="P655" s="6"/>
      <c r="AD655" s="6"/>
      <c r="AR655" s="6"/>
      <c r="BF655" s="6"/>
      <c r="BT655" s="6"/>
      <c r="CH655" s="6"/>
    </row>
    <row r="656" ht="13.5" customHeight="1">
      <c r="P656" s="6"/>
      <c r="AD656" s="6"/>
      <c r="AR656" s="6"/>
      <c r="BF656" s="6"/>
      <c r="BT656" s="6"/>
      <c r="CH656" s="6"/>
    </row>
    <row r="657" ht="13.5" customHeight="1">
      <c r="P657" s="6"/>
      <c r="AD657" s="6"/>
      <c r="AR657" s="6"/>
      <c r="BF657" s="6"/>
      <c r="BT657" s="6"/>
      <c r="CH657" s="6"/>
    </row>
    <row r="658" ht="13.5" customHeight="1">
      <c r="P658" s="6"/>
      <c r="AD658" s="6"/>
      <c r="AR658" s="6"/>
      <c r="BF658" s="6"/>
      <c r="BT658" s="6"/>
      <c r="CH658" s="6"/>
    </row>
    <row r="659" ht="13.5" customHeight="1">
      <c r="P659" s="6"/>
      <c r="AD659" s="6"/>
      <c r="AR659" s="6"/>
      <c r="BF659" s="6"/>
      <c r="BT659" s="6"/>
      <c r="CH659" s="6"/>
    </row>
    <row r="660" ht="13.5" customHeight="1">
      <c r="P660" s="6"/>
      <c r="AD660" s="6"/>
      <c r="AR660" s="6"/>
      <c r="BF660" s="6"/>
      <c r="BT660" s="6"/>
      <c r="CH660" s="6"/>
    </row>
    <row r="661" ht="13.5" customHeight="1">
      <c r="P661" s="6"/>
      <c r="AD661" s="6"/>
      <c r="AR661" s="6"/>
      <c r="BF661" s="6"/>
      <c r="BT661" s="6"/>
      <c r="CH661" s="6"/>
    </row>
    <row r="662" ht="13.5" customHeight="1">
      <c r="P662" s="6"/>
      <c r="AD662" s="6"/>
      <c r="AR662" s="6"/>
      <c r="BF662" s="6"/>
      <c r="BT662" s="6"/>
      <c r="CH662" s="6"/>
    </row>
    <row r="663" ht="13.5" customHeight="1">
      <c r="P663" s="6"/>
      <c r="AD663" s="6"/>
      <c r="AR663" s="6"/>
      <c r="BF663" s="6"/>
      <c r="BT663" s="6"/>
      <c r="CH663" s="6"/>
    </row>
    <row r="664" ht="13.5" customHeight="1">
      <c r="P664" s="6"/>
      <c r="AD664" s="6"/>
      <c r="AR664" s="6"/>
      <c r="BF664" s="6"/>
      <c r="BT664" s="6"/>
      <c r="CH664" s="6"/>
    </row>
    <row r="665" ht="13.5" customHeight="1">
      <c r="P665" s="6"/>
      <c r="AD665" s="6"/>
      <c r="AR665" s="6"/>
      <c r="BF665" s="6"/>
      <c r="BT665" s="6"/>
      <c r="CH665" s="6"/>
    </row>
    <row r="666" ht="13.5" customHeight="1">
      <c r="P666" s="6"/>
      <c r="AD666" s="6"/>
      <c r="AR666" s="6"/>
      <c r="BF666" s="6"/>
      <c r="BT666" s="6"/>
      <c r="CH666" s="6"/>
    </row>
    <row r="667" ht="13.5" customHeight="1">
      <c r="P667" s="6"/>
      <c r="AD667" s="6"/>
      <c r="AR667" s="6"/>
      <c r="BF667" s="6"/>
      <c r="BT667" s="6"/>
      <c r="CH667" s="6"/>
    </row>
    <row r="668" ht="13.5" customHeight="1">
      <c r="P668" s="6"/>
      <c r="AD668" s="6"/>
      <c r="AR668" s="6"/>
      <c r="BF668" s="6"/>
      <c r="BT668" s="6"/>
      <c r="CH668" s="6"/>
    </row>
    <row r="669" ht="13.5" customHeight="1">
      <c r="P669" s="6"/>
      <c r="AD669" s="6"/>
      <c r="AR669" s="6"/>
      <c r="BF669" s="6"/>
      <c r="BT669" s="6"/>
      <c r="CH669" s="6"/>
    </row>
    <row r="670" ht="13.5" customHeight="1">
      <c r="P670" s="6"/>
      <c r="AD670" s="6"/>
      <c r="AR670" s="6"/>
      <c r="BF670" s="6"/>
      <c r="BT670" s="6"/>
      <c r="CH670" s="6"/>
    </row>
    <row r="671" ht="13.5" customHeight="1">
      <c r="P671" s="6"/>
      <c r="AD671" s="6"/>
      <c r="AR671" s="6"/>
      <c r="BF671" s="6"/>
      <c r="BT671" s="6"/>
      <c r="CH671" s="6"/>
    </row>
    <row r="672" ht="13.5" customHeight="1">
      <c r="P672" s="6"/>
      <c r="AD672" s="6"/>
      <c r="AR672" s="6"/>
      <c r="BF672" s="6"/>
      <c r="BT672" s="6"/>
      <c r="CH672" s="6"/>
    </row>
    <row r="673" ht="13.5" customHeight="1">
      <c r="P673" s="6"/>
      <c r="AD673" s="6"/>
      <c r="AR673" s="6"/>
      <c r="BF673" s="6"/>
      <c r="BT673" s="6"/>
      <c r="CH673" s="6"/>
    </row>
    <row r="674" ht="13.5" customHeight="1">
      <c r="P674" s="6"/>
      <c r="AD674" s="6"/>
      <c r="AR674" s="6"/>
      <c r="BF674" s="6"/>
      <c r="BT674" s="6"/>
      <c r="CH674" s="6"/>
    </row>
    <row r="675" ht="13.5" customHeight="1">
      <c r="P675" s="6"/>
      <c r="AD675" s="6"/>
      <c r="AR675" s="6"/>
      <c r="BF675" s="6"/>
      <c r="BT675" s="6"/>
      <c r="CH675" s="6"/>
    </row>
    <row r="676" ht="13.5" customHeight="1">
      <c r="P676" s="6"/>
      <c r="AD676" s="6"/>
      <c r="AR676" s="6"/>
      <c r="BF676" s="6"/>
      <c r="BT676" s="6"/>
      <c r="CH676" s="6"/>
    </row>
    <row r="677" ht="13.5" customHeight="1">
      <c r="P677" s="6"/>
      <c r="AD677" s="6"/>
      <c r="AR677" s="6"/>
      <c r="BF677" s="6"/>
      <c r="BT677" s="6"/>
      <c r="CH677" s="6"/>
    </row>
    <row r="678" ht="13.5" customHeight="1">
      <c r="P678" s="6"/>
      <c r="AD678" s="6"/>
      <c r="AR678" s="6"/>
      <c r="BF678" s="6"/>
      <c r="BT678" s="6"/>
      <c r="CH678" s="6"/>
    </row>
    <row r="679" ht="13.5" customHeight="1">
      <c r="P679" s="6"/>
      <c r="AD679" s="6"/>
      <c r="AR679" s="6"/>
      <c r="BF679" s="6"/>
      <c r="BT679" s="6"/>
      <c r="CH679" s="6"/>
    </row>
    <row r="680" ht="13.5" customHeight="1">
      <c r="P680" s="6"/>
      <c r="AD680" s="6"/>
      <c r="AR680" s="6"/>
      <c r="BF680" s="6"/>
      <c r="BT680" s="6"/>
      <c r="CH680" s="6"/>
    </row>
    <row r="681" ht="13.5" customHeight="1">
      <c r="P681" s="6"/>
      <c r="AD681" s="6"/>
      <c r="AR681" s="6"/>
      <c r="BF681" s="6"/>
      <c r="BT681" s="6"/>
      <c r="CH681" s="6"/>
    </row>
    <row r="682" ht="13.5" customHeight="1">
      <c r="P682" s="6"/>
      <c r="AD682" s="6"/>
      <c r="AR682" s="6"/>
      <c r="BF682" s="6"/>
      <c r="BT682" s="6"/>
      <c r="CH682" s="6"/>
    </row>
    <row r="683" ht="13.5" customHeight="1">
      <c r="P683" s="6"/>
      <c r="AD683" s="6"/>
      <c r="AR683" s="6"/>
      <c r="BF683" s="6"/>
      <c r="BT683" s="6"/>
      <c r="CH683" s="6"/>
    </row>
    <row r="684" ht="13.5" customHeight="1">
      <c r="P684" s="6"/>
      <c r="AD684" s="6"/>
      <c r="AR684" s="6"/>
      <c r="BF684" s="6"/>
      <c r="BT684" s="6"/>
      <c r="CH684" s="6"/>
    </row>
    <row r="685" ht="13.5" customHeight="1">
      <c r="P685" s="6"/>
      <c r="AD685" s="6"/>
      <c r="AR685" s="6"/>
      <c r="BF685" s="6"/>
      <c r="BT685" s="6"/>
      <c r="CH685" s="6"/>
    </row>
    <row r="686" ht="13.5" customHeight="1">
      <c r="P686" s="6"/>
      <c r="AD686" s="6"/>
      <c r="AR686" s="6"/>
      <c r="BF686" s="6"/>
      <c r="BT686" s="6"/>
      <c r="CH686" s="6"/>
    </row>
    <row r="687" ht="13.5" customHeight="1">
      <c r="P687" s="6"/>
      <c r="AD687" s="6"/>
      <c r="AR687" s="6"/>
      <c r="BF687" s="6"/>
      <c r="BT687" s="6"/>
      <c r="CH687" s="6"/>
    </row>
    <row r="688" ht="13.5" customHeight="1">
      <c r="P688" s="6"/>
      <c r="AD688" s="6"/>
      <c r="AR688" s="6"/>
      <c r="BF688" s="6"/>
      <c r="BT688" s="6"/>
      <c r="CH688" s="6"/>
    </row>
    <row r="689" ht="13.5" customHeight="1">
      <c r="P689" s="6"/>
      <c r="AD689" s="6"/>
      <c r="AR689" s="6"/>
      <c r="BF689" s="6"/>
      <c r="BT689" s="6"/>
      <c r="CH689" s="6"/>
    </row>
    <row r="690" ht="13.5" customHeight="1">
      <c r="P690" s="6"/>
      <c r="AD690" s="6"/>
      <c r="AR690" s="6"/>
      <c r="BF690" s="6"/>
      <c r="BT690" s="6"/>
      <c r="CH690" s="6"/>
    </row>
    <row r="691" ht="13.5" customHeight="1">
      <c r="P691" s="6"/>
      <c r="AD691" s="6"/>
      <c r="AR691" s="6"/>
      <c r="BF691" s="6"/>
      <c r="BT691" s="6"/>
      <c r="CH691" s="6"/>
    </row>
    <row r="692" ht="13.5" customHeight="1">
      <c r="P692" s="6"/>
      <c r="AD692" s="6"/>
      <c r="AR692" s="6"/>
      <c r="BF692" s="6"/>
      <c r="BT692" s="6"/>
      <c r="CH692" s="6"/>
    </row>
    <row r="693" ht="13.5" customHeight="1">
      <c r="P693" s="6"/>
      <c r="AD693" s="6"/>
      <c r="AR693" s="6"/>
      <c r="BF693" s="6"/>
      <c r="BT693" s="6"/>
      <c r="CH693" s="6"/>
    </row>
    <row r="694" ht="13.5" customHeight="1">
      <c r="P694" s="6"/>
      <c r="AD694" s="6"/>
      <c r="AR694" s="6"/>
      <c r="BF694" s="6"/>
      <c r="BT694" s="6"/>
      <c r="CH694" s="6"/>
    </row>
    <row r="695" ht="13.5" customHeight="1">
      <c r="P695" s="6"/>
      <c r="AD695" s="6"/>
      <c r="AR695" s="6"/>
      <c r="BF695" s="6"/>
      <c r="BT695" s="6"/>
      <c r="CH695" s="6"/>
    </row>
    <row r="696" ht="13.5" customHeight="1">
      <c r="P696" s="6"/>
      <c r="AD696" s="6"/>
      <c r="AR696" s="6"/>
      <c r="BF696" s="6"/>
      <c r="BT696" s="6"/>
      <c r="CH696" s="6"/>
    </row>
    <row r="697" ht="13.5" customHeight="1">
      <c r="P697" s="6"/>
      <c r="AD697" s="6"/>
      <c r="AR697" s="6"/>
      <c r="BF697" s="6"/>
      <c r="BT697" s="6"/>
      <c r="CH697" s="6"/>
    </row>
    <row r="698" ht="13.5" customHeight="1">
      <c r="P698" s="6"/>
      <c r="AD698" s="6"/>
      <c r="AR698" s="6"/>
      <c r="BF698" s="6"/>
      <c r="BT698" s="6"/>
      <c r="CH698" s="6"/>
    </row>
    <row r="699" ht="13.5" customHeight="1">
      <c r="P699" s="6"/>
      <c r="AD699" s="6"/>
      <c r="AR699" s="6"/>
      <c r="BF699" s="6"/>
      <c r="BT699" s="6"/>
      <c r="CH699" s="6"/>
    </row>
    <row r="700" ht="13.5" customHeight="1">
      <c r="P700" s="6"/>
      <c r="AD700" s="6"/>
      <c r="AR700" s="6"/>
      <c r="BF700" s="6"/>
      <c r="BT700" s="6"/>
      <c r="CH700" s="6"/>
    </row>
    <row r="701" ht="13.5" customHeight="1">
      <c r="P701" s="6"/>
      <c r="AD701" s="6"/>
      <c r="AR701" s="6"/>
      <c r="BF701" s="6"/>
      <c r="BT701" s="6"/>
      <c r="CH701" s="6"/>
    </row>
    <row r="702" ht="13.5" customHeight="1">
      <c r="P702" s="6"/>
      <c r="AD702" s="6"/>
      <c r="AR702" s="6"/>
      <c r="BF702" s="6"/>
      <c r="BT702" s="6"/>
      <c r="CH702" s="6"/>
    </row>
    <row r="703" ht="13.5" customHeight="1">
      <c r="P703" s="6"/>
      <c r="AD703" s="6"/>
      <c r="AR703" s="6"/>
      <c r="BF703" s="6"/>
      <c r="BT703" s="6"/>
      <c r="CH703" s="6"/>
    </row>
    <row r="704" ht="13.5" customHeight="1">
      <c r="P704" s="6"/>
      <c r="AD704" s="6"/>
      <c r="AR704" s="6"/>
      <c r="BF704" s="6"/>
      <c r="BT704" s="6"/>
      <c r="CH704" s="6"/>
    </row>
    <row r="705" ht="13.5" customHeight="1">
      <c r="P705" s="6"/>
      <c r="AD705" s="6"/>
      <c r="AR705" s="6"/>
      <c r="BF705" s="6"/>
      <c r="BT705" s="6"/>
      <c r="CH705" s="6"/>
    </row>
    <row r="706" ht="13.5" customHeight="1">
      <c r="P706" s="6"/>
      <c r="AD706" s="6"/>
      <c r="AR706" s="6"/>
      <c r="BF706" s="6"/>
      <c r="BT706" s="6"/>
      <c r="CH706" s="6"/>
    </row>
    <row r="707" ht="13.5" customHeight="1">
      <c r="P707" s="6"/>
      <c r="AD707" s="6"/>
      <c r="AR707" s="6"/>
      <c r="BF707" s="6"/>
      <c r="BT707" s="6"/>
      <c r="CH707" s="6"/>
    </row>
    <row r="708" ht="13.5" customHeight="1">
      <c r="P708" s="6"/>
      <c r="AD708" s="6"/>
      <c r="AR708" s="6"/>
      <c r="BF708" s="6"/>
      <c r="BT708" s="6"/>
      <c r="CH708" s="6"/>
    </row>
    <row r="709" ht="13.5" customHeight="1">
      <c r="P709" s="6"/>
      <c r="AD709" s="6"/>
      <c r="AR709" s="6"/>
      <c r="BF709" s="6"/>
      <c r="BT709" s="6"/>
      <c r="CH709" s="6"/>
    </row>
    <row r="710" ht="13.5" customHeight="1">
      <c r="P710" s="6"/>
      <c r="AD710" s="6"/>
      <c r="AR710" s="6"/>
      <c r="BF710" s="6"/>
      <c r="BT710" s="6"/>
      <c r="CH710" s="6"/>
    </row>
    <row r="711" ht="13.5" customHeight="1">
      <c r="P711" s="6"/>
      <c r="AD711" s="6"/>
      <c r="AR711" s="6"/>
      <c r="BF711" s="6"/>
      <c r="BT711" s="6"/>
      <c r="CH711" s="6"/>
    </row>
    <row r="712" ht="13.5" customHeight="1">
      <c r="P712" s="6"/>
      <c r="AD712" s="6"/>
      <c r="AR712" s="6"/>
      <c r="BF712" s="6"/>
      <c r="BT712" s="6"/>
      <c r="CH712" s="6"/>
    </row>
    <row r="713" ht="13.5" customHeight="1">
      <c r="P713" s="6"/>
      <c r="AD713" s="6"/>
      <c r="AR713" s="6"/>
      <c r="BF713" s="6"/>
      <c r="BT713" s="6"/>
      <c r="CH713" s="6"/>
    </row>
    <row r="714" ht="13.5" customHeight="1">
      <c r="P714" s="6"/>
      <c r="AD714" s="6"/>
      <c r="AR714" s="6"/>
      <c r="BF714" s="6"/>
      <c r="BT714" s="6"/>
      <c r="CH714" s="6"/>
    </row>
    <row r="715" ht="13.5" customHeight="1">
      <c r="P715" s="6"/>
      <c r="AD715" s="6"/>
      <c r="AR715" s="6"/>
      <c r="BF715" s="6"/>
      <c r="BT715" s="6"/>
      <c r="CH715" s="6"/>
    </row>
    <row r="716" ht="13.5" customHeight="1">
      <c r="P716" s="6"/>
      <c r="AD716" s="6"/>
      <c r="AR716" s="6"/>
      <c r="BF716" s="6"/>
      <c r="BT716" s="6"/>
      <c r="CH716" s="6"/>
    </row>
    <row r="717" ht="13.5" customHeight="1">
      <c r="P717" s="6"/>
      <c r="AD717" s="6"/>
      <c r="AR717" s="6"/>
      <c r="BF717" s="6"/>
      <c r="BT717" s="6"/>
      <c r="CH717" s="6"/>
    </row>
    <row r="718" ht="13.5" customHeight="1">
      <c r="P718" s="6"/>
      <c r="AD718" s="6"/>
      <c r="AR718" s="6"/>
      <c r="BF718" s="6"/>
      <c r="BT718" s="6"/>
      <c r="CH718" s="6"/>
    </row>
    <row r="719" ht="13.5" customHeight="1">
      <c r="P719" s="6"/>
      <c r="AD719" s="6"/>
      <c r="AR719" s="6"/>
      <c r="BF719" s="6"/>
      <c r="BT719" s="6"/>
      <c r="CH719" s="6"/>
    </row>
    <row r="720" ht="13.5" customHeight="1">
      <c r="P720" s="6"/>
      <c r="AD720" s="6"/>
      <c r="AR720" s="6"/>
      <c r="BF720" s="6"/>
      <c r="BT720" s="6"/>
      <c r="CH720" s="6"/>
    </row>
    <row r="721" ht="13.5" customHeight="1">
      <c r="P721" s="6"/>
      <c r="AD721" s="6"/>
      <c r="AR721" s="6"/>
      <c r="BF721" s="6"/>
      <c r="BT721" s="6"/>
      <c r="CH721" s="6"/>
    </row>
    <row r="722" ht="13.5" customHeight="1">
      <c r="P722" s="6"/>
      <c r="AD722" s="6"/>
      <c r="AR722" s="6"/>
      <c r="BF722" s="6"/>
      <c r="BT722" s="6"/>
      <c r="CH722" s="6"/>
    </row>
    <row r="723" ht="13.5" customHeight="1">
      <c r="P723" s="6"/>
      <c r="AD723" s="6"/>
      <c r="AR723" s="6"/>
      <c r="BF723" s="6"/>
      <c r="BT723" s="6"/>
      <c r="CH723" s="6"/>
    </row>
    <row r="724" ht="13.5" customHeight="1">
      <c r="P724" s="6"/>
      <c r="AD724" s="6"/>
      <c r="AR724" s="6"/>
      <c r="BF724" s="6"/>
      <c r="BT724" s="6"/>
      <c r="CH724" s="6"/>
    </row>
    <row r="725" ht="13.5" customHeight="1">
      <c r="P725" s="6"/>
      <c r="AD725" s="6"/>
      <c r="AR725" s="6"/>
      <c r="BF725" s="6"/>
      <c r="BT725" s="6"/>
      <c r="CH725" s="6"/>
    </row>
    <row r="726" ht="13.5" customHeight="1">
      <c r="P726" s="6"/>
      <c r="AD726" s="6"/>
      <c r="AR726" s="6"/>
      <c r="BF726" s="6"/>
      <c r="BT726" s="6"/>
      <c r="CH726" s="6"/>
    </row>
    <row r="727" ht="13.5" customHeight="1">
      <c r="P727" s="6"/>
      <c r="AD727" s="6"/>
      <c r="AR727" s="6"/>
      <c r="BF727" s="6"/>
      <c r="BT727" s="6"/>
      <c r="CH727" s="6"/>
    </row>
    <row r="728" ht="13.5" customHeight="1">
      <c r="P728" s="6"/>
      <c r="AD728" s="6"/>
      <c r="AR728" s="6"/>
      <c r="BF728" s="6"/>
      <c r="BT728" s="6"/>
      <c r="CH728" s="6"/>
    </row>
    <row r="729" ht="13.5" customHeight="1">
      <c r="P729" s="6"/>
      <c r="AD729" s="6"/>
      <c r="AR729" s="6"/>
      <c r="BF729" s="6"/>
      <c r="BT729" s="6"/>
      <c r="CH729" s="6"/>
    </row>
    <row r="730" ht="13.5" customHeight="1">
      <c r="P730" s="6"/>
      <c r="AD730" s="6"/>
      <c r="AR730" s="6"/>
      <c r="BF730" s="6"/>
      <c r="BT730" s="6"/>
      <c r="CH730" s="6"/>
    </row>
    <row r="731" ht="13.5" customHeight="1">
      <c r="P731" s="6"/>
      <c r="AD731" s="6"/>
      <c r="AR731" s="6"/>
      <c r="BF731" s="6"/>
      <c r="BT731" s="6"/>
      <c r="CH731" s="6"/>
    </row>
    <row r="732" ht="13.5" customHeight="1">
      <c r="P732" s="6"/>
      <c r="AD732" s="6"/>
      <c r="AR732" s="6"/>
      <c r="BF732" s="6"/>
      <c r="BT732" s="6"/>
      <c r="CH732" s="6"/>
    </row>
    <row r="733" ht="13.5" customHeight="1">
      <c r="P733" s="6"/>
      <c r="AD733" s="6"/>
      <c r="AR733" s="6"/>
      <c r="BF733" s="6"/>
      <c r="BT733" s="6"/>
      <c r="CH733" s="6"/>
    </row>
    <row r="734" ht="13.5" customHeight="1">
      <c r="P734" s="6"/>
      <c r="AD734" s="6"/>
      <c r="AR734" s="6"/>
      <c r="BF734" s="6"/>
      <c r="BT734" s="6"/>
      <c r="CH734" s="6"/>
    </row>
    <row r="735" ht="13.5" customHeight="1">
      <c r="P735" s="6"/>
      <c r="AD735" s="6"/>
      <c r="AR735" s="6"/>
      <c r="BF735" s="6"/>
      <c r="BT735" s="6"/>
      <c r="CH735" s="6"/>
    </row>
    <row r="736" ht="13.5" customHeight="1">
      <c r="P736" s="6"/>
      <c r="AD736" s="6"/>
      <c r="AR736" s="6"/>
      <c r="BF736" s="6"/>
      <c r="BT736" s="6"/>
      <c r="CH736" s="6"/>
    </row>
    <row r="737" ht="13.5" customHeight="1">
      <c r="P737" s="6"/>
      <c r="AD737" s="6"/>
      <c r="AR737" s="6"/>
      <c r="BF737" s="6"/>
      <c r="BT737" s="6"/>
      <c r="CH737" s="6"/>
    </row>
    <row r="738" ht="13.5" customHeight="1">
      <c r="P738" s="6"/>
      <c r="AD738" s="6"/>
      <c r="AR738" s="6"/>
      <c r="BF738" s="6"/>
      <c r="BT738" s="6"/>
      <c r="CH738" s="6"/>
    </row>
    <row r="739" ht="13.5" customHeight="1">
      <c r="P739" s="6"/>
      <c r="AD739" s="6"/>
      <c r="AR739" s="6"/>
      <c r="BF739" s="6"/>
      <c r="BT739" s="6"/>
      <c r="CH739" s="6"/>
    </row>
    <row r="740" ht="13.5" customHeight="1">
      <c r="P740" s="6"/>
      <c r="AD740" s="6"/>
      <c r="AR740" s="6"/>
      <c r="BF740" s="6"/>
      <c r="BT740" s="6"/>
      <c r="CH740" s="6"/>
    </row>
    <row r="741" ht="13.5" customHeight="1">
      <c r="P741" s="6"/>
      <c r="AD741" s="6"/>
      <c r="AR741" s="6"/>
      <c r="BF741" s="6"/>
      <c r="BT741" s="6"/>
      <c r="CH741" s="6"/>
    </row>
    <row r="742" ht="13.5" customHeight="1">
      <c r="P742" s="6"/>
      <c r="AD742" s="6"/>
      <c r="AR742" s="6"/>
      <c r="BF742" s="6"/>
      <c r="BT742" s="6"/>
      <c r="CH742" s="6"/>
    </row>
    <row r="743" ht="13.5" customHeight="1">
      <c r="P743" s="6"/>
      <c r="AD743" s="6"/>
      <c r="AR743" s="6"/>
      <c r="BF743" s="6"/>
      <c r="BT743" s="6"/>
      <c r="CH743" s="6"/>
    </row>
    <row r="744" ht="13.5" customHeight="1">
      <c r="P744" s="6"/>
      <c r="AD744" s="6"/>
      <c r="AR744" s="6"/>
      <c r="BF744" s="6"/>
      <c r="BT744" s="6"/>
      <c r="CH744" s="6"/>
    </row>
    <row r="745" ht="13.5" customHeight="1">
      <c r="P745" s="6"/>
      <c r="AD745" s="6"/>
      <c r="AR745" s="6"/>
      <c r="BF745" s="6"/>
      <c r="BT745" s="6"/>
      <c r="CH745" s="6"/>
    </row>
    <row r="746" ht="13.5" customHeight="1">
      <c r="P746" s="6"/>
      <c r="AD746" s="6"/>
      <c r="AR746" s="6"/>
      <c r="BF746" s="6"/>
      <c r="BT746" s="6"/>
      <c r="CH746" s="6"/>
    </row>
    <row r="747" ht="13.5" customHeight="1">
      <c r="P747" s="6"/>
      <c r="AD747" s="6"/>
      <c r="AR747" s="6"/>
      <c r="BF747" s="6"/>
      <c r="BT747" s="6"/>
      <c r="CH747" s="6"/>
    </row>
    <row r="748" ht="13.5" customHeight="1">
      <c r="P748" s="6"/>
      <c r="AD748" s="6"/>
      <c r="AR748" s="6"/>
      <c r="BF748" s="6"/>
      <c r="BT748" s="6"/>
      <c r="CH748" s="6"/>
    </row>
    <row r="749" ht="13.5" customHeight="1">
      <c r="P749" s="6"/>
      <c r="AD749" s="6"/>
      <c r="AR749" s="6"/>
      <c r="BF749" s="6"/>
      <c r="BT749" s="6"/>
      <c r="CH749" s="6"/>
    </row>
    <row r="750" ht="13.5" customHeight="1">
      <c r="P750" s="6"/>
      <c r="AD750" s="6"/>
      <c r="AR750" s="6"/>
      <c r="BF750" s="6"/>
      <c r="BT750" s="6"/>
      <c r="CH750" s="6"/>
    </row>
    <row r="751" ht="13.5" customHeight="1">
      <c r="P751" s="6"/>
      <c r="AD751" s="6"/>
      <c r="AR751" s="6"/>
      <c r="BF751" s="6"/>
      <c r="BT751" s="6"/>
      <c r="CH751" s="6"/>
    </row>
    <row r="752" ht="13.5" customHeight="1">
      <c r="P752" s="6"/>
      <c r="AD752" s="6"/>
      <c r="AR752" s="6"/>
      <c r="BF752" s="6"/>
      <c r="BT752" s="6"/>
      <c r="CH752" s="6"/>
    </row>
    <row r="753" ht="13.5" customHeight="1">
      <c r="P753" s="6"/>
      <c r="AD753" s="6"/>
      <c r="AR753" s="6"/>
      <c r="BF753" s="6"/>
      <c r="BT753" s="6"/>
      <c r="CH753" s="6"/>
    </row>
    <row r="754" ht="13.5" customHeight="1">
      <c r="P754" s="6"/>
      <c r="AD754" s="6"/>
      <c r="AR754" s="6"/>
      <c r="BF754" s="6"/>
      <c r="BT754" s="6"/>
      <c r="CH754" s="6"/>
    </row>
    <row r="755" ht="13.5" customHeight="1">
      <c r="P755" s="6"/>
      <c r="AD755" s="6"/>
      <c r="AR755" s="6"/>
      <c r="BF755" s="6"/>
      <c r="BT755" s="6"/>
      <c r="CH755" s="6"/>
    </row>
    <row r="756" ht="13.5" customHeight="1">
      <c r="P756" s="6"/>
      <c r="AD756" s="6"/>
      <c r="AR756" s="6"/>
      <c r="BF756" s="6"/>
      <c r="BT756" s="6"/>
      <c r="CH756" s="6"/>
    </row>
    <row r="757" ht="13.5" customHeight="1">
      <c r="P757" s="6"/>
      <c r="AD757" s="6"/>
      <c r="AR757" s="6"/>
      <c r="BF757" s="6"/>
      <c r="BT757" s="6"/>
      <c r="CH757" s="6"/>
    </row>
    <row r="758" ht="13.5" customHeight="1">
      <c r="P758" s="6"/>
      <c r="AD758" s="6"/>
      <c r="AR758" s="6"/>
      <c r="BF758" s="6"/>
      <c r="BT758" s="6"/>
      <c r="CH758" s="6"/>
    </row>
    <row r="759" ht="13.5" customHeight="1">
      <c r="P759" s="6"/>
      <c r="AD759" s="6"/>
      <c r="AR759" s="6"/>
      <c r="BF759" s="6"/>
      <c r="BT759" s="6"/>
      <c r="CH759" s="6"/>
    </row>
    <row r="760" ht="13.5" customHeight="1">
      <c r="P760" s="6"/>
      <c r="AD760" s="6"/>
      <c r="AR760" s="6"/>
      <c r="BF760" s="6"/>
      <c r="BT760" s="6"/>
      <c r="CH760" s="6"/>
    </row>
    <row r="761" ht="13.5" customHeight="1">
      <c r="P761" s="6"/>
      <c r="AD761" s="6"/>
      <c r="AR761" s="6"/>
      <c r="BF761" s="6"/>
      <c r="BT761" s="6"/>
      <c r="CH761" s="6"/>
    </row>
    <row r="762" ht="13.5" customHeight="1">
      <c r="P762" s="6"/>
      <c r="AD762" s="6"/>
      <c r="AR762" s="6"/>
      <c r="BF762" s="6"/>
      <c r="BT762" s="6"/>
      <c r="CH762" s="6"/>
    </row>
    <row r="763" ht="13.5" customHeight="1">
      <c r="P763" s="6"/>
      <c r="AD763" s="6"/>
      <c r="AR763" s="6"/>
      <c r="BF763" s="6"/>
      <c r="BT763" s="6"/>
      <c r="CH763" s="6"/>
    </row>
    <row r="764" ht="13.5" customHeight="1">
      <c r="P764" s="6"/>
      <c r="AD764" s="6"/>
      <c r="AR764" s="6"/>
      <c r="BF764" s="6"/>
      <c r="BT764" s="6"/>
      <c r="CH764" s="6"/>
    </row>
    <row r="765" ht="13.5" customHeight="1">
      <c r="P765" s="6"/>
      <c r="AD765" s="6"/>
      <c r="AR765" s="6"/>
      <c r="BF765" s="6"/>
      <c r="BT765" s="6"/>
      <c r="CH765" s="6"/>
    </row>
    <row r="766" ht="13.5" customHeight="1">
      <c r="P766" s="6"/>
      <c r="AD766" s="6"/>
      <c r="AR766" s="6"/>
      <c r="BF766" s="6"/>
      <c r="BT766" s="6"/>
      <c r="CH766" s="6"/>
    </row>
    <row r="767" ht="13.5" customHeight="1">
      <c r="P767" s="6"/>
      <c r="AD767" s="6"/>
      <c r="AR767" s="6"/>
      <c r="BF767" s="6"/>
      <c r="BT767" s="6"/>
      <c r="CH767" s="6"/>
    </row>
    <row r="768" ht="13.5" customHeight="1">
      <c r="P768" s="6"/>
      <c r="AD768" s="6"/>
      <c r="AR768" s="6"/>
      <c r="BF768" s="6"/>
      <c r="BT768" s="6"/>
      <c r="CH768" s="6"/>
    </row>
    <row r="769" ht="13.5" customHeight="1">
      <c r="P769" s="6"/>
      <c r="AD769" s="6"/>
      <c r="AR769" s="6"/>
      <c r="BF769" s="6"/>
      <c r="BT769" s="6"/>
      <c r="CH769" s="6"/>
    </row>
    <row r="770" ht="13.5" customHeight="1">
      <c r="P770" s="6"/>
      <c r="AD770" s="6"/>
      <c r="AR770" s="6"/>
      <c r="BF770" s="6"/>
      <c r="BT770" s="6"/>
      <c r="CH770" s="6"/>
    </row>
    <row r="771" ht="13.5" customHeight="1">
      <c r="P771" s="6"/>
      <c r="AD771" s="6"/>
      <c r="AR771" s="6"/>
      <c r="BF771" s="6"/>
      <c r="BT771" s="6"/>
      <c r="CH771" s="6"/>
    </row>
    <row r="772" ht="13.5" customHeight="1">
      <c r="P772" s="6"/>
      <c r="AD772" s="6"/>
      <c r="AR772" s="6"/>
      <c r="BF772" s="6"/>
      <c r="BT772" s="6"/>
      <c r="CH772" s="6"/>
    </row>
    <row r="773" ht="13.5" customHeight="1">
      <c r="P773" s="6"/>
      <c r="AD773" s="6"/>
      <c r="AR773" s="6"/>
      <c r="BF773" s="6"/>
      <c r="BT773" s="6"/>
      <c r="CH773" s="6"/>
    </row>
    <row r="774" ht="13.5" customHeight="1">
      <c r="P774" s="6"/>
      <c r="AD774" s="6"/>
      <c r="AR774" s="6"/>
      <c r="BF774" s="6"/>
      <c r="BT774" s="6"/>
      <c r="CH774" s="6"/>
    </row>
    <row r="775" ht="13.5" customHeight="1">
      <c r="P775" s="6"/>
      <c r="AD775" s="6"/>
      <c r="AR775" s="6"/>
      <c r="BF775" s="6"/>
      <c r="BT775" s="6"/>
      <c r="CH775" s="6"/>
    </row>
    <row r="776" ht="13.5" customHeight="1">
      <c r="P776" s="6"/>
      <c r="AD776" s="6"/>
      <c r="AR776" s="6"/>
      <c r="BF776" s="6"/>
      <c r="BT776" s="6"/>
      <c r="CH776" s="6"/>
    </row>
    <row r="777" ht="13.5" customHeight="1">
      <c r="P777" s="6"/>
      <c r="AD777" s="6"/>
      <c r="AR777" s="6"/>
      <c r="BF777" s="6"/>
      <c r="BT777" s="6"/>
      <c r="CH777" s="6"/>
    </row>
    <row r="778" ht="13.5" customHeight="1">
      <c r="P778" s="6"/>
      <c r="AD778" s="6"/>
      <c r="AR778" s="6"/>
      <c r="BF778" s="6"/>
      <c r="BT778" s="6"/>
      <c r="CH778" s="6"/>
    </row>
    <row r="779" ht="13.5" customHeight="1">
      <c r="P779" s="6"/>
      <c r="AD779" s="6"/>
      <c r="AR779" s="6"/>
      <c r="BF779" s="6"/>
      <c r="BT779" s="6"/>
      <c r="CH779" s="6"/>
    </row>
    <row r="780" ht="13.5" customHeight="1">
      <c r="P780" s="6"/>
      <c r="AD780" s="6"/>
      <c r="AR780" s="6"/>
      <c r="BF780" s="6"/>
      <c r="BT780" s="6"/>
      <c r="CH780" s="6"/>
    </row>
    <row r="781" ht="13.5" customHeight="1">
      <c r="P781" s="6"/>
      <c r="AD781" s="6"/>
      <c r="AR781" s="6"/>
      <c r="BF781" s="6"/>
      <c r="BT781" s="6"/>
      <c r="CH781" s="6"/>
    </row>
    <row r="782" ht="13.5" customHeight="1">
      <c r="P782" s="6"/>
      <c r="AD782" s="6"/>
      <c r="AR782" s="6"/>
      <c r="BF782" s="6"/>
      <c r="BT782" s="6"/>
      <c r="CH782" s="6"/>
    </row>
    <row r="783" ht="13.5" customHeight="1">
      <c r="P783" s="6"/>
      <c r="AD783" s="6"/>
      <c r="AR783" s="6"/>
      <c r="BF783" s="6"/>
      <c r="BT783" s="6"/>
      <c r="CH783" s="6"/>
    </row>
    <row r="784" ht="13.5" customHeight="1">
      <c r="P784" s="6"/>
      <c r="AD784" s="6"/>
      <c r="AR784" s="6"/>
      <c r="BF784" s="6"/>
      <c r="BT784" s="6"/>
      <c r="CH784" s="6"/>
    </row>
    <row r="785" ht="13.5" customHeight="1">
      <c r="P785" s="6"/>
      <c r="AD785" s="6"/>
      <c r="AR785" s="6"/>
      <c r="BF785" s="6"/>
      <c r="BT785" s="6"/>
      <c r="CH785" s="6"/>
    </row>
    <row r="786" ht="13.5" customHeight="1">
      <c r="P786" s="6"/>
      <c r="AD786" s="6"/>
      <c r="AR786" s="6"/>
      <c r="BF786" s="6"/>
      <c r="BT786" s="6"/>
      <c r="CH786" s="6"/>
    </row>
    <row r="787" ht="13.5" customHeight="1">
      <c r="P787" s="6"/>
      <c r="AD787" s="6"/>
      <c r="AR787" s="6"/>
      <c r="BF787" s="6"/>
      <c r="BT787" s="6"/>
      <c r="CH787" s="6"/>
    </row>
    <row r="788" ht="13.5" customHeight="1">
      <c r="P788" s="6"/>
      <c r="AD788" s="6"/>
      <c r="AR788" s="6"/>
      <c r="BF788" s="6"/>
      <c r="BT788" s="6"/>
      <c r="CH788" s="6"/>
    </row>
    <row r="789" ht="13.5" customHeight="1">
      <c r="P789" s="6"/>
      <c r="AD789" s="6"/>
      <c r="AR789" s="6"/>
      <c r="BF789" s="6"/>
      <c r="BT789" s="6"/>
      <c r="CH789" s="6"/>
    </row>
    <row r="790" ht="13.5" customHeight="1">
      <c r="P790" s="6"/>
      <c r="AD790" s="6"/>
      <c r="AR790" s="6"/>
      <c r="BF790" s="6"/>
      <c r="BT790" s="6"/>
      <c r="CH790" s="6"/>
    </row>
    <row r="791" ht="13.5" customHeight="1">
      <c r="P791" s="6"/>
      <c r="AD791" s="6"/>
      <c r="AR791" s="6"/>
      <c r="BF791" s="6"/>
      <c r="BT791" s="6"/>
      <c r="CH791" s="6"/>
    </row>
    <row r="792" ht="13.5" customHeight="1">
      <c r="P792" s="6"/>
      <c r="AD792" s="6"/>
      <c r="AR792" s="6"/>
      <c r="BF792" s="6"/>
      <c r="BT792" s="6"/>
      <c r="CH792" s="6"/>
    </row>
    <row r="793" ht="13.5" customHeight="1">
      <c r="P793" s="6"/>
      <c r="AD793" s="6"/>
      <c r="AR793" s="6"/>
      <c r="BF793" s="6"/>
      <c r="BT793" s="6"/>
      <c r="CH793" s="6"/>
    </row>
    <row r="794" ht="13.5" customHeight="1">
      <c r="P794" s="6"/>
      <c r="AD794" s="6"/>
      <c r="AR794" s="6"/>
      <c r="BF794" s="6"/>
      <c r="BT794" s="6"/>
      <c r="CH794" s="6"/>
    </row>
    <row r="795" ht="13.5" customHeight="1">
      <c r="P795" s="6"/>
      <c r="AD795" s="6"/>
      <c r="AR795" s="6"/>
      <c r="BF795" s="6"/>
      <c r="BT795" s="6"/>
      <c r="CH795" s="6"/>
    </row>
    <row r="796" ht="13.5" customHeight="1">
      <c r="P796" s="6"/>
      <c r="AD796" s="6"/>
      <c r="AR796" s="6"/>
      <c r="BF796" s="6"/>
      <c r="BT796" s="6"/>
      <c r="CH796" s="6"/>
    </row>
    <row r="797" ht="13.5" customHeight="1">
      <c r="P797" s="6"/>
      <c r="AD797" s="6"/>
      <c r="AR797" s="6"/>
      <c r="BF797" s="6"/>
      <c r="BT797" s="6"/>
      <c r="CH797" s="6"/>
    </row>
    <row r="798" ht="13.5" customHeight="1">
      <c r="P798" s="6"/>
      <c r="AD798" s="6"/>
      <c r="AR798" s="6"/>
      <c r="BF798" s="6"/>
      <c r="BT798" s="6"/>
      <c r="CH798" s="6"/>
    </row>
    <row r="799" ht="13.5" customHeight="1">
      <c r="P799" s="6"/>
      <c r="AD799" s="6"/>
      <c r="AR799" s="6"/>
      <c r="BF799" s="6"/>
      <c r="BT799" s="6"/>
      <c r="CH799" s="6"/>
    </row>
    <row r="800" ht="13.5" customHeight="1">
      <c r="P800" s="6"/>
      <c r="AD800" s="6"/>
      <c r="AR800" s="6"/>
      <c r="BF800" s="6"/>
      <c r="BT800" s="6"/>
      <c r="CH800" s="6"/>
    </row>
    <row r="801" ht="13.5" customHeight="1">
      <c r="P801" s="6"/>
      <c r="AD801" s="6"/>
      <c r="AR801" s="6"/>
      <c r="BF801" s="6"/>
      <c r="BT801" s="6"/>
      <c r="CH801" s="6"/>
    </row>
    <row r="802" ht="13.5" customHeight="1">
      <c r="P802" s="6"/>
      <c r="AD802" s="6"/>
      <c r="AR802" s="6"/>
      <c r="BF802" s="6"/>
      <c r="BT802" s="6"/>
      <c r="CH802" s="6"/>
    </row>
    <row r="803" ht="13.5" customHeight="1">
      <c r="P803" s="6"/>
      <c r="AD803" s="6"/>
      <c r="AR803" s="6"/>
      <c r="BF803" s="6"/>
      <c r="BT803" s="6"/>
      <c r="CH803" s="6"/>
    </row>
    <row r="804" ht="13.5" customHeight="1">
      <c r="P804" s="6"/>
      <c r="AD804" s="6"/>
      <c r="AR804" s="6"/>
      <c r="BF804" s="6"/>
      <c r="BT804" s="6"/>
      <c r="CH804" s="6"/>
    </row>
    <row r="805" ht="13.5" customHeight="1">
      <c r="P805" s="6"/>
      <c r="AD805" s="6"/>
      <c r="AR805" s="6"/>
      <c r="BF805" s="6"/>
      <c r="BT805" s="6"/>
      <c r="CH805" s="6"/>
    </row>
    <row r="806" ht="13.5" customHeight="1">
      <c r="P806" s="6"/>
      <c r="AD806" s="6"/>
      <c r="AR806" s="6"/>
      <c r="BF806" s="6"/>
      <c r="BT806" s="6"/>
      <c r="CH806" s="6"/>
    </row>
    <row r="807" ht="13.5" customHeight="1">
      <c r="P807" s="6"/>
      <c r="AD807" s="6"/>
      <c r="AR807" s="6"/>
      <c r="BF807" s="6"/>
      <c r="BT807" s="6"/>
      <c r="CH807" s="6"/>
    </row>
    <row r="808" ht="13.5" customHeight="1">
      <c r="P808" s="6"/>
      <c r="AD808" s="6"/>
      <c r="AR808" s="6"/>
      <c r="BF808" s="6"/>
      <c r="BT808" s="6"/>
      <c r="CH808" s="6"/>
    </row>
    <row r="809" ht="13.5" customHeight="1">
      <c r="P809" s="6"/>
      <c r="AD809" s="6"/>
      <c r="AR809" s="6"/>
      <c r="BF809" s="6"/>
      <c r="BT809" s="6"/>
      <c r="CH809" s="6"/>
    </row>
    <row r="810" ht="13.5" customHeight="1">
      <c r="P810" s="6"/>
      <c r="AD810" s="6"/>
      <c r="AR810" s="6"/>
      <c r="BF810" s="6"/>
      <c r="BT810" s="6"/>
      <c r="CH810" s="6"/>
    </row>
    <row r="811" ht="13.5" customHeight="1">
      <c r="P811" s="6"/>
      <c r="AD811" s="6"/>
      <c r="AR811" s="6"/>
      <c r="BF811" s="6"/>
      <c r="BT811" s="6"/>
      <c r="CH811" s="6"/>
    </row>
    <row r="812" ht="13.5" customHeight="1">
      <c r="P812" s="6"/>
      <c r="AD812" s="6"/>
      <c r="AR812" s="6"/>
      <c r="BF812" s="6"/>
      <c r="BT812" s="6"/>
      <c r="CH812" s="6"/>
    </row>
    <row r="813" ht="13.5" customHeight="1">
      <c r="P813" s="6"/>
      <c r="AD813" s="6"/>
      <c r="AR813" s="6"/>
      <c r="BF813" s="6"/>
      <c r="BT813" s="6"/>
      <c r="CH813" s="6"/>
    </row>
    <row r="814" ht="13.5" customHeight="1">
      <c r="P814" s="6"/>
      <c r="AD814" s="6"/>
      <c r="AR814" s="6"/>
      <c r="BF814" s="6"/>
      <c r="BT814" s="6"/>
      <c r="CH814" s="6"/>
    </row>
    <row r="815" ht="13.5" customHeight="1">
      <c r="P815" s="6"/>
      <c r="AD815" s="6"/>
      <c r="AR815" s="6"/>
      <c r="BF815" s="6"/>
      <c r="BT815" s="6"/>
      <c r="CH815" s="6"/>
    </row>
    <row r="816" ht="13.5" customHeight="1">
      <c r="P816" s="6"/>
      <c r="AD816" s="6"/>
      <c r="AR816" s="6"/>
      <c r="BF816" s="6"/>
      <c r="BT816" s="6"/>
      <c r="CH816" s="6"/>
    </row>
    <row r="817" ht="13.5" customHeight="1">
      <c r="P817" s="6"/>
      <c r="AD817" s="6"/>
      <c r="AR817" s="6"/>
      <c r="BF817" s="6"/>
      <c r="BT817" s="6"/>
      <c r="CH817" s="6"/>
    </row>
    <row r="818" ht="13.5" customHeight="1">
      <c r="P818" s="6"/>
      <c r="AD818" s="6"/>
      <c r="AR818" s="6"/>
      <c r="BF818" s="6"/>
      <c r="BT818" s="6"/>
      <c r="CH818" s="6"/>
    </row>
    <row r="819" ht="13.5" customHeight="1">
      <c r="P819" s="6"/>
      <c r="AD819" s="6"/>
      <c r="AR819" s="6"/>
      <c r="BF819" s="6"/>
      <c r="BT819" s="6"/>
      <c r="CH819" s="6"/>
    </row>
    <row r="820" ht="13.5" customHeight="1">
      <c r="P820" s="6"/>
      <c r="AD820" s="6"/>
      <c r="AR820" s="6"/>
      <c r="BF820" s="6"/>
      <c r="BT820" s="6"/>
      <c r="CH820" s="6"/>
    </row>
    <row r="821" ht="13.5" customHeight="1">
      <c r="P821" s="6"/>
      <c r="AD821" s="6"/>
      <c r="AR821" s="6"/>
      <c r="BF821" s="6"/>
      <c r="BT821" s="6"/>
      <c r="CH821" s="6"/>
    </row>
    <row r="822" ht="13.5" customHeight="1">
      <c r="P822" s="6"/>
      <c r="AD822" s="6"/>
      <c r="AR822" s="6"/>
      <c r="BF822" s="6"/>
      <c r="BT822" s="6"/>
      <c r="CH822" s="6"/>
    </row>
    <row r="823" ht="13.5" customHeight="1">
      <c r="P823" s="6"/>
      <c r="AD823" s="6"/>
      <c r="AR823" s="6"/>
      <c r="BF823" s="6"/>
      <c r="BT823" s="6"/>
      <c r="CH823" s="6"/>
    </row>
    <row r="824" ht="13.5" customHeight="1">
      <c r="P824" s="6"/>
      <c r="AD824" s="6"/>
      <c r="AR824" s="6"/>
      <c r="BF824" s="6"/>
      <c r="BT824" s="6"/>
      <c r="CH824" s="6"/>
    </row>
    <row r="825" ht="13.5" customHeight="1">
      <c r="P825" s="6"/>
      <c r="AD825" s="6"/>
      <c r="AR825" s="6"/>
      <c r="BF825" s="6"/>
      <c r="BT825" s="6"/>
      <c r="CH825" s="6"/>
    </row>
    <row r="826" ht="13.5" customHeight="1">
      <c r="P826" s="6"/>
      <c r="AD826" s="6"/>
      <c r="AR826" s="6"/>
      <c r="BF826" s="6"/>
      <c r="BT826" s="6"/>
      <c r="CH826" s="6"/>
    </row>
    <row r="827" ht="13.5" customHeight="1">
      <c r="P827" s="6"/>
      <c r="AD827" s="6"/>
      <c r="AR827" s="6"/>
      <c r="BF827" s="6"/>
      <c r="BT827" s="6"/>
      <c r="CH827" s="6"/>
    </row>
    <row r="828" ht="13.5" customHeight="1">
      <c r="P828" s="6"/>
      <c r="AD828" s="6"/>
      <c r="AR828" s="6"/>
      <c r="BF828" s="6"/>
      <c r="BT828" s="6"/>
      <c r="CH828" s="6"/>
    </row>
    <row r="829" ht="13.5" customHeight="1">
      <c r="P829" s="6"/>
      <c r="AD829" s="6"/>
      <c r="AR829" s="6"/>
      <c r="BF829" s="6"/>
      <c r="BT829" s="6"/>
      <c r="CH829" s="6"/>
    </row>
    <row r="830" ht="13.5" customHeight="1">
      <c r="P830" s="6"/>
      <c r="AD830" s="6"/>
      <c r="AR830" s="6"/>
      <c r="BF830" s="6"/>
      <c r="BT830" s="6"/>
      <c r="CH830" s="6"/>
    </row>
    <row r="831" ht="13.5" customHeight="1">
      <c r="P831" s="6"/>
      <c r="AD831" s="6"/>
      <c r="AR831" s="6"/>
      <c r="BF831" s="6"/>
      <c r="BT831" s="6"/>
      <c r="CH831" s="6"/>
    </row>
    <row r="832" ht="13.5" customHeight="1">
      <c r="P832" s="6"/>
      <c r="AD832" s="6"/>
      <c r="AR832" s="6"/>
      <c r="BF832" s="6"/>
      <c r="BT832" s="6"/>
      <c r="CH832" s="6"/>
    </row>
    <row r="833" ht="13.5" customHeight="1">
      <c r="P833" s="6"/>
      <c r="AD833" s="6"/>
      <c r="AR833" s="6"/>
      <c r="BF833" s="6"/>
      <c r="BT833" s="6"/>
      <c r="CH833" s="6"/>
    </row>
    <row r="834" ht="13.5" customHeight="1">
      <c r="P834" s="6"/>
      <c r="AD834" s="6"/>
      <c r="AR834" s="6"/>
      <c r="BF834" s="6"/>
      <c r="BT834" s="6"/>
      <c r="CH834" s="6"/>
    </row>
    <row r="835" ht="13.5" customHeight="1">
      <c r="P835" s="6"/>
      <c r="AD835" s="6"/>
      <c r="AR835" s="6"/>
      <c r="BF835" s="6"/>
      <c r="BT835" s="6"/>
      <c r="CH835" s="6"/>
    </row>
    <row r="836" ht="13.5" customHeight="1">
      <c r="P836" s="6"/>
      <c r="AD836" s="6"/>
      <c r="AR836" s="6"/>
      <c r="BF836" s="6"/>
      <c r="BT836" s="6"/>
      <c r="CH836" s="6"/>
    </row>
    <row r="837" ht="13.5" customHeight="1">
      <c r="P837" s="6"/>
      <c r="AD837" s="6"/>
      <c r="AR837" s="6"/>
      <c r="BF837" s="6"/>
      <c r="BT837" s="6"/>
      <c r="CH837" s="6"/>
    </row>
    <row r="838" ht="13.5" customHeight="1">
      <c r="P838" s="6"/>
      <c r="AD838" s="6"/>
      <c r="AR838" s="6"/>
      <c r="BF838" s="6"/>
      <c r="BT838" s="6"/>
      <c r="CH838" s="6"/>
    </row>
    <row r="839" ht="13.5" customHeight="1">
      <c r="P839" s="6"/>
      <c r="AD839" s="6"/>
      <c r="AR839" s="6"/>
      <c r="BF839" s="6"/>
      <c r="BT839" s="6"/>
      <c r="CH839" s="6"/>
    </row>
    <row r="840" ht="13.5" customHeight="1">
      <c r="P840" s="6"/>
      <c r="AD840" s="6"/>
      <c r="AR840" s="6"/>
      <c r="BF840" s="6"/>
      <c r="BT840" s="6"/>
      <c r="CH840" s="6"/>
    </row>
    <row r="841" ht="13.5" customHeight="1">
      <c r="P841" s="6"/>
      <c r="AD841" s="6"/>
      <c r="AR841" s="6"/>
      <c r="BF841" s="6"/>
      <c r="BT841" s="6"/>
      <c r="CH841" s="6"/>
    </row>
    <row r="842" ht="13.5" customHeight="1">
      <c r="P842" s="6"/>
      <c r="AD842" s="6"/>
      <c r="AR842" s="6"/>
      <c r="BF842" s="6"/>
      <c r="BT842" s="6"/>
      <c r="CH842" s="6"/>
    </row>
    <row r="843" ht="13.5" customHeight="1">
      <c r="P843" s="6"/>
      <c r="AD843" s="6"/>
      <c r="AR843" s="6"/>
      <c r="BF843" s="6"/>
      <c r="BT843" s="6"/>
      <c r="CH843" s="6"/>
    </row>
    <row r="844" ht="13.5" customHeight="1">
      <c r="P844" s="6"/>
      <c r="AD844" s="6"/>
      <c r="AR844" s="6"/>
      <c r="BF844" s="6"/>
      <c r="BT844" s="6"/>
      <c r="CH844" s="6"/>
    </row>
    <row r="845" ht="13.5" customHeight="1">
      <c r="P845" s="6"/>
      <c r="AD845" s="6"/>
      <c r="AR845" s="6"/>
      <c r="BF845" s="6"/>
      <c r="BT845" s="6"/>
      <c r="CH845" s="6"/>
    </row>
    <row r="846" ht="13.5" customHeight="1">
      <c r="P846" s="6"/>
      <c r="AD846" s="6"/>
      <c r="AR846" s="6"/>
      <c r="BF846" s="6"/>
      <c r="BT846" s="6"/>
      <c r="CH846" s="6"/>
    </row>
    <row r="847" ht="13.5" customHeight="1">
      <c r="P847" s="6"/>
      <c r="AD847" s="6"/>
      <c r="AR847" s="6"/>
      <c r="BF847" s="6"/>
      <c r="BT847" s="6"/>
      <c r="CH847" s="6"/>
    </row>
    <row r="848" ht="13.5" customHeight="1">
      <c r="P848" s="6"/>
      <c r="AD848" s="6"/>
      <c r="AR848" s="6"/>
      <c r="BF848" s="6"/>
      <c r="BT848" s="6"/>
      <c r="CH848" s="6"/>
    </row>
    <row r="849" ht="13.5" customHeight="1">
      <c r="P849" s="6"/>
      <c r="AD849" s="6"/>
      <c r="AR849" s="6"/>
      <c r="BF849" s="6"/>
      <c r="BT849" s="6"/>
      <c r="CH849" s="6"/>
    </row>
    <row r="850" ht="13.5" customHeight="1">
      <c r="P850" s="6"/>
      <c r="AD850" s="6"/>
      <c r="AR850" s="6"/>
      <c r="BF850" s="6"/>
      <c r="BT850" s="6"/>
      <c r="CH850" s="6"/>
    </row>
    <row r="851" ht="13.5" customHeight="1">
      <c r="P851" s="6"/>
      <c r="AD851" s="6"/>
      <c r="AR851" s="6"/>
      <c r="BF851" s="6"/>
      <c r="BT851" s="6"/>
      <c r="CH851" s="6"/>
    </row>
    <row r="852" ht="13.5" customHeight="1">
      <c r="P852" s="6"/>
      <c r="AD852" s="6"/>
      <c r="AR852" s="6"/>
      <c r="BF852" s="6"/>
      <c r="BT852" s="6"/>
      <c r="CH852" s="6"/>
    </row>
    <row r="853" ht="13.5" customHeight="1">
      <c r="P853" s="6"/>
      <c r="AD853" s="6"/>
      <c r="AR853" s="6"/>
      <c r="BF853" s="6"/>
      <c r="BT853" s="6"/>
      <c r="CH853" s="6"/>
    </row>
    <row r="854" ht="13.5" customHeight="1">
      <c r="P854" s="6"/>
      <c r="AD854" s="6"/>
      <c r="AR854" s="6"/>
      <c r="BF854" s="6"/>
      <c r="BT854" s="6"/>
      <c r="CH854" s="6"/>
    </row>
    <row r="855" ht="13.5" customHeight="1">
      <c r="P855" s="6"/>
      <c r="AD855" s="6"/>
      <c r="AR855" s="6"/>
      <c r="BF855" s="6"/>
      <c r="BT855" s="6"/>
      <c r="CH855" s="6"/>
    </row>
    <row r="856" ht="13.5" customHeight="1">
      <c r="P856" s="6"/>
      <c r="AD856" s="6"/>
      <c r="AR856" s="6"/>
      <c r="BF856" s="6"/>
      <c r="BT856" s="6"/>
      <c r="CH856" s="6"/>
    </row>
    <row r="857" ht="13.5" customHeight="1">
      <c r="P857" s="6"/>
      <c r="AD857" s="6"/>
      <c r="AR857" s="6"/>
      <c r="BF857" s="6"/>
      <c r="BT857" s="6"/>
      <c r="CH857" s="6"/>
    </row>
    <row r="858" ht="13.5" customHeight="1">
      <c r="P858" s="6"/>
      <c r="AD858" s="6"/>
      <c r="AR858" s="6"/>
      <c r="BF858" s="6"/>
      <c r="BT858" s="6"/>
      <c r="CH858" s="6"/>
    </row>
    <row r="859" ht="13.5" customHeight="1">
      <c r="P859" s="6"/>
      <c r="AD859" s="6"/>
      <c r="AR859" s="6"/>
      <c r="BF859" s="6"/>
      <c r="BT859" s="6"/>
      <c r="CH859" s="6"/>
    </row>
    <row r="860" ht="13.5" customHeight="1">
      <c r="P860" s="6"/>
      <c r="AD860" s="6"/>
      <c r="AR860" s="6"/>
      <c r="BF860" s="6"/>
      <c r="BT860" s="6"/>
      <c r="CH860" s="6"/>
    </row>
    <row r="861" ht="13.5" customHeight="1">
      <c r="P861" s="6"/>
      <c r="AD861" s="6"/>
      <c r="AR861" s="6"/>
      <c r="BF861" s="6"/>
      <c r="BT861" s="6"/>
      <c r="CH861" s="6"/>
    </row>
    <row r="862" ht="13.5" customHeight="1">
      <c r="P862" s="6"/>
      <c r="AD862" s="6"/>
      <c r="AR862" s="6"/>
      <c r="BF862" s="6"/>
      <c r="BT862" s="6"/>
      <c r="CH862" s="6"/>
    </row>
    <row r="863" ht="13.5" customHeight="1">
      <c r="P863" s="6"/>
      <c r="AD863" s="6"/>
      <c r="AR863" s="6"/>
      <c r="BF863" s="6"/>
      <c r="BT863" s="6"/>
      <c r="CH863" s="6"/>
    </row>
    <row r="864" ht="13.5" customHeight="1">
      <c r="P864" s="6"/>
      <c r="AD864" s="6"/>
      <c r="AR864" s="6"/>
      <c r="BF864" s="6"/>
      <c r="BT864" s="6"/>
      <c r="CH864" s="6"/>
    </row>
    <row r="865" ht="13.5" customHeight="1">
      <c r="P865" s="6"/>
      <c r="AD865" s="6"/>
      <c r="AR865" s="6"/>
      <c r="BF865" s="6"/>
      <c r="BT865" s="6"/>
      <c r="CH865" s="6"/>
    </row>
    <row r="866" ht="13.5" customHeight="1">
      <c r="P866" s="6"/>
      <c r="AD866" s="6"/>
      <c r="AR866" s="6"/>
      <c r="BF866" s="6"/>
      <c r="BT866" s="6"/>
      <c r="CH866" s="6"/>
    </row>
    <row r="867" ht="13.5" customHeight="1">
      <c r="P867" s="6"/>
      <c r="AD867" s="6"/>
      <c r="AR867" s="6"/>
      <c r="BF867" s="6"/>
      <c r="BT867" s="6"/>
      <c r="CH867" s="6"/>
    </row>
    <row r="868" ht="13.5" customHeight="1">
      <c r="P868" s="6"/>
      <c r="AD868" s="6"/>
      <c r="AR868" s="6"/>
      <c r="BF868" s="6"/>
      <c r="BT868" s="6"/>
      <c r="CH868" s="6"/>
    </row>
    <row r="869" ht="13.5" customHeight="1">
      <c r="P869" s="6"/>
      <c r="AD869" s="6"/>
      <c r="AR869" s="6"/>
      <c r="BF869" s="6"/>
      <c r="BT869" s="6"/>
      <c r="CH869" s="6"/>
    </row>
    <row r="870" ht="13.5" customHeight="1">
      <c r="P870" s="6"/>
      <c r="AD870" s="6"/>
      <c r="AR870" s="6"/>
      <c r="BF870" s="6"/>
      <c r="BT870" s="6"/>
      <c r="CH870" s="6"/>
    </row>
    <row r="871" ht="13.5" customHeight="1">
      <c r="P871" s="6"/>
      <c r="AD871" s="6"/>
      <c r="AR871" s="6"/>
      <c r="BF871" s="6"/>
      <c r="BT871" s="6"/>
      <c r="CH871" s="6"/>
    </row>
    <row r="872" ht="13.5" customHeight="1">
      <c r="P872" s="6"/>
      <c r="AD872" s="6"/>
      <c r="AR872" s="6"/>
      <c r="BF872" s="6"/>
      <c r="BT872" s="6"/>
      <c r="CH872" s="6"/>
    </row>
    <row r="873" ht="13.5" customHeight="1">
      <c r="P873" s="6"/>
      <c r="AD873" s="6"/>
      <c r="AR873" s="6"/>
      <c r="BF873" s="6"/>
      <c r="BT873" s="6"/>
      <c r="CH873" s="6"/>
    </row>
    <row r="874" ht="13.5" customHeight="1">
      <c r="P874" s="6"/>
      <c r="AD874" s="6"/>
      <c r="AR874" s="6"/>
      <c r="BF874" s="6"/>
      <c r="BT874" s="6"/>
      <c r="CH874" s="6"/>
    </row>
    <row r="875" ht="13.5" customHeight="1">
      <c r="P875" s="6"/>
      <c r="AD875" s="6"/>
      <c r="AR875" s="6"/>
      <c r="BF875" s="6"/>
      <c r="BT875" s="6"/>
      <c r="CH875" s="6"/>
    </row>
    <row r="876" ht="13.5" customHeight="1">
      <c r="P876" s="6"/>
      <c r="AD876" s="6"/>
      <c r="AR876" s="6"/>
      <c r="BF876" s="6"/>
      <c r="BT876" s="6"/>
      <c r="CH876" s="6"/>
    </row>
    <row r="877" ht="13.5" customHeight="1">
      <c r="P877" s="6"/>
      <c r="AD877" s="6"/>
      <c r="AR877" s="6"/>
      <c r="BF877" s="6"/>
      <c r="BT877" s="6"/>
      <c r="CH877" s="6"/>
    </row>
    <row r="878" ht="13.5" customHeight="1">
      <c r="P878" s="6"/>
      <c r="AD878" s="6"/>
      <c r="AR878" s="6"/>
      <c r="BF878" s="6"/>
      <c r="BT878" s="6"/>
      <c r="CH878" s="6"/>
    </row>
    <row r="879" ht="13.5" customHeight="1">
      <c r="P879" s="6"/>
      <c r="AD879" s="6"/>
      <c r="AR879" s="6"/>
      <c r="BF879" s="6"/>
      <c r="BT879" s="6"/>
      <c r="CH879" s="6"/>
    </row>
    <row r="880" ht="13.5" customHeight="1">
      <c r="P880" s="6"/>
      <c r="AD880" s="6"/>
      <c r="AR880" s="6"/>
      <c r="BF880" s="6"/>
      <c r="BT880" s="6"/>
      <c r="CH880" s="6"/>
    </row>
    <row r="881" ht="13.5" customHeight="1">
      <c r="P881" s="6"/>
      <c r="AD881" s="6"/>
      <c r="AR881" s="6"/>
      <c r="BF881" s="6"/>
      <c r="BT881" s="6"/>
      <c r="CH881" s="6"/>
    </row>
    <row r="882" ht="13.5" customHeight="1">
      <c r="P882" s="6"/>
      <c r="AD882" s="6"/>
      <c r="AR882" s="6"/>
      <c r="BF882" s="6"/>
      <c r="BT882" s="6"/>
      <c r="CH882" s="6"/>
    </row>
    <row r="883" ht="13.5" customHeight="1">
      <c r="P883" s="6"/>
      <c r="AD883" s="6"/>
      <c r="AR883" s="6"/>
      <c r="BF883" s="6"/>
      <c r="BT883" s="6"/>
      <c r="CH883" s="6"/>
    </row>
    <row r="884" ht="13.5" customHeight="1">
      <c r="P884" s="6"/>
      <c r="AD884" s="6"/>
      <c r="AR884" s="6"/>
      <c r="BF884" s="6"/>
      <c r="BT884" s="6"/>
      <c r="CH884" s="6"/>
    </row>
    <row r="885" ht="13.5" customHeight="1">
      <c r="P885" s="6"/>
      <c r="AD885" s="6"/>
      <c r="AR885" s="6"/>
      <c r="BF885" s="6"/>
      <c r="BT885" s="6"/>
      <c r="CH885" s="6"/>
    </row>
    <row r="886" ht="13.5" customHeight="1">
      <c r="P886" s="6"/>
      <c r="AD886" s="6"/>
      <c r="AR886" s="6"/>
      <c r="BF886" s="6"/>
      <c r="BT886" s="6"/>
      <c r="CH886" s="6"/>
    </row>
    <row r="887" ht="13.5" customHeight="1">
      <c r="P887" s="6"/>
      <c r="AD887" s="6"/>
      <c r="AR887" s="6"/>
      <c r="BF887" s="6"/>
      <c r="BT887" s="6"/>
      <c r="CH887" s="6"/>
    </row>
    <row r="888" ht="13.5" customHeight="1">
      <c r="P888" s="6"/>
      <c r="AD888" s="6"/>
      <c r="AR888" s="6"/>
      <c r="BF888" s="6"/>
      <c r="BT888" s="6"/>
      <c r="CH888" s="6"/>
    </row>
    <row r="889" ht="13.5" customHeight="1">
      <c r="P889" s="6"/>
      <c r="AD889" s="6"/>
      <c r="AR889" s="6"/>
      <c r="BF889" s="6"/>
      <c r="BT889" s="6"/>
      <c r="CH889" s="6"/>
    </row>
    <row r="890" ht="13.5" customHeight="1">
      <c r="P890" s="6"/>
      <c r="AD890" s="6"/>
      <c r="AR890" s="6"/>
      <c r="BF890" s="6"/>
      <c r="BT890" s="6"/>
      <c r="CH890" s="6"/>
    </row>
    <row r="891" ht="13.5" customHeight="1">
      <c r="P891" s="6"/>
      <c r="AD891" s="6"/>
      <c r="AR891" s="6"/>
      <c r="BF891" s="6"/>
      <c r="BT891" s="6"/>
      <c r="CH891" s="6"/>
    </row>
    <row r="892" ht="13.5" customHeight="1">
      <c r="P892" s="6"/>
      <c r="AD892" s="6"/>
      <c r="AR892" s="6"/>
      <c r="BF892" s="6"/>
      <c r="BT892" s="6"/>
      <c r="CH892" s="6"/>
    </row>
    <row r="893" ht="13.5" customHeight="1">
      <c r="P893" s="6"/>
      <c r="AD893" s="6"/>
      <c r="AR893" s="6"/>
      <c r="BF893" s="6"/>
      <c r="BT893" s="6"/>
      <c r="CH893" s="6"/>
    </row>
    <row r="894" ht="13.5" customHeight="1">
      <c r="P894" s="6"/>
      <c r="AD894" s="6"/>
      <c r="AR894" s="6"/>
      <c r="BF894" s="6"/>
      <c r="BT894" s="6"/>
      <c r="CH894" s="6"/>
    </row>
    <row r="895" ht="13.5" customHeight="1">
      <c r="P895" s="6"/>
      <c r="AD895" s="6"/>
      <c r="AR895" s="6"/>
      <c r="BF895" s="6"/>
      <c r="BT895" s="6"/>
      <c r="CH895" s="6"/>
    </row>
    <row r="896" ht="13.5" customHeight="1">
      <c r="P896" s="6"/>
      <c r="AD896" s="6"/>
      <c r="AR896" s="6"/>
      <c r="BF896" s="6"/>
      <c r="BT896" s="6"/>
      <c r="CH896" s="6"/>
    </row>
    <row r="897" ht="13.5" customHeight="1">
      <c r="P897" s="6"/>
      <c r="AD897" s="6"/>
      <c r="AR897" s="6"/>
      <c r="BF897" s="6"/>
      <c r="BT897" s="6"/>
      <c r="CH897" s="6"/>
    </row>
    <row r="898" ht="13.5" customHeight="1">
      <c r="P898" s="6"/>
      <c r="AD898" s="6"/>
      <c r="AR898" s="6"/>
      <c r="BF898" s="6"/>
      <c r="BT898" s="6"/>
      <c r="CH898" s="6"/>
    </row>
    <row r="899" ht="13.5" customHeight="1">
      <c r="P899" s="6"/>
      <c r="AD899" s="6"/>
      <c r="AR899" s="6"/>
      <c r="BF899" s="6"/>
      <c r="BT899" s="6"/>
      <c r="CH899" s="6"/>
    </row>
    <row r="900" ht="13.5" customHeight="1">
      <c r="P900" s="6"/>
      <c r="AD900" s="6"/>
      <c r="AR900" s="6"/>
      <c r="BF900" s="6"/>
      <c r="BT900" s="6"/>
      <c r="CH900" s="6"/>
    </row>
    <row r="901" ht="13.5" customHeight="1">
      <c r="P901" s="6"/>
      <c r="AD901" s="6"/>
      <c r="AR901" s="6"/>
      <c r="BF901" s="6"/>
      <c r="BT901" s="6"/>
      <c r="CH901" s="6"/>
    </row>
    <row r="902" ht="13.5" customHeight="1">
      <c r="P902" s="6"/>
      <c r="AD902" s="6"/>
      <c r="AR902" s="6"/>
      <c r="BF902" s="6"/>
      <c r="BT902" s="6"/>
      <c r="CH902" s="6"/>
    </row>
    <row r="903" ht="13.5" customHeight="1">
      <c r="P903" s="6"/>
      <c r="AD903" s="6"/>
      <c r="AR903" s="6"/>
      <c r="BF903" s="6"/>
      <c r="BT903" s="6"/>
      <c r="CH903" s="6"/>
    </row>
    <row r="904" ht="13.5" customHeight="1">
      <c r="P904" s="6"/>
      <c r="AD904" s="6"/>
      <c r="AR904" s="6"/>
      <c r="BF904" s="6"/>
      <c r="BT904" s="6"/>
      <c r="CH904" s="6"/>
    </row>
    <row r="905" ht="13.5" customHeight="1">
      <c r="P905" s="6"/>
      <c r="AD905" s="6"/>
      <c r="AR905" s="6"/>
      <c r="BF905" s="6"/>
      <c r="BT905" s="6"/>
      <c r="CH905" s="6"/>
    </row>
    <row r="906" ht="13.5" customHeight="1">
      <c r="P906" s="6"/>
      <c r="AD906" s="6"/>
      <c r="AR906" s="6"/>
      <c r="BF906" s="6"/>
      <c r="BT906" s="6"/>
      <c r="CH906" s="6"/>
    </row>
    <row r="907" ht="13.5" customHeight="1">
      <c r="P907" s="6"/>
      <c r="AD907" s="6"/>
      <c r="AR907" s="6"/>
      <c r="BF907" s="6"/>
      <c r="BT907" s="6"/>
      <c r="CH907" s="6"/>
    </row>
    <row r="908" ht="13.5" customHeight="1">
      <c r="P908" s="6"/>
      <c r="AD908" s="6"/>
      <c r="AR908" s="6"/>
      <c r="BF908" s="6"/>
      <c r="BT908" s="6"/>
      <c r="CH908" s="6"/>
    </row>
    <row r="909" ht="13.5" customHeight="1">
      <c r="P909" s="6"/>
      <c r="AD909" s="6"/>
      <c r="AR909" s="6"/>
      <c r="BF909" s="6"/>
      <c r="BT909" s="6"/>
      <c r="CH909" s="6"/>
    </row>
    <row r="910" ht="13.5" customHeight="1">
      <c r="P910" s="6"/>
      <c r="AD910" s="6"/>
      <c r="AR910" s="6"/>
      <c r="BF910" s="6"/>
      <c r="BT910" s="6"/>
      <c r="CH910" s="6"/>
    </row>
    <row r="911" ht="13.5" customHeight="1">
      <c r="P911" s="6"/>
      <c r="AD911" s="6"/>
      <c r="AR911" s="6"/>
      <c r="BF911" s="6"/>
      <c r="BT911" s="6"/>
      <c r="CH911" s="6"/>
    </row>
    <row r="912" ht="13.5" customHeight="1">
      <c r="P912" s="6"/>
      <c r="AD912" s="6"/>
      <c r="AR912" s="6"/>
      <c r="BF912" s="6"/>
      <c r="BT912" s="6"/>
      <c r="CH912" s="6"/>
    </row>
    <row r="913" ht="13.5" customHeight="1">
      <c r="P913" s="6"/>
      <c r="AD913" s="6"/>
      <c r="AR913" s="6"/>
      <c r="BF913" s="6"/>
      <c r="BT913" s="6"/>
      <c r="CH913" s="6"/>
    </row>
    <row r="914" ht="13.5" customHeight="1">
      <c r="P914" s="6"/>
      <c r="AD914" s="6"/>
      <c r="AR914" s="6"/>
      <c r="BF914" s="6"/>
      <c r="BT914" s="6"/>
      <c r="CH914" s="6"/>
    </row>
    <row r="915" ht="13.5" customHeight="1">
      <c r="P915" s="6"/>
      <c r="AD915" s="6"/>
      <c r="AR915" s="6"/>
      <c r="BF915" s="6"/>
      <c r="BT915" s="6"/>
      <c r="CH915" s="6"/>
    </row>
    <row r="916" ht="13.5" customHeight="1">
      <c r="P916" s="6"/>
      <c r="AD916" s="6"/>
      <c r="AR916" s="6"/>
      <c r="BF916" s="6"/>
      <c r="BT916" s="6"/>
      <c r="CH916" s="6"/>
    </row>
    <row r="917" ht="13.5" customHeight="1">
      <c r="P917" s="6"/>
      <c r="AD917" s="6"/>
      <c r="AR917" s="6"/>
      <c r="BF917" s="6"/>
      <c r="BT917" s="6"/>
      <c r="CH917" s="6"/>
    </row>
    <row r="918" ht="13.5" customHeight="1">
      <c r="P918" s="6"/>
      <c r="AD918" s="6"/>
      <c r="AR918" s="6"/>
      <c r="BF918" s="6"/>
      <c r="BT918" s="6"/>
      <c r="CH918" s="6"/>
    </row>
    <row r="919" ht="13.5" customHeight="1">
      <c r="P919" s="6"/>
      <c r="AD919" s="6"/>
      <c r="AR919" s="6"/>
      <c r="BF919" s="6"/>
      <c r="BT919" s="6"/>
      <c r="CH919" s="6"/>
    </row>
    <row r="920" ht="13.5" customHeight="1">
      <c r="P920" s="6"/>
      <c r="AD920" s="6"/>
      <c r="AR920" s="6"/>
      <c r="BF920" s="6"/>
      <c r="BT920" s="6"/>
      <c r="CH920" s="6"/>
    </row>
    <row r="921" ht="13.5" customHeight="1">
      <c r="P921" s="6"/>
      <c r="AD921" s="6"/>
      <c r="AR921" s="6"/>
      <c r="BF921" s="6"/>
      <c r="BT921" s="6"/>
      <c r="CH921" s="6"/>
    </row>
    <row r="922" ht="13.5" customHeight="1">
      <c r="P922" s="6"/>
      <c r="AD922" s="6"/>
      <c r="AR922" s="6"/>
      <c r="BF922" s="6"/>
      <c r="BT922" s="6"/>
      <c r="CH922" s="6"/>
    </row>
    <row r="923" ht="13.5" customHeight="1">
      <c r="P923" s="6"/>
      <c r="AD923" s="6"/>
      <c r="AR923" s="6"/>
      <c r="BF923" s="6"/>
      <c r="BT923" s="6"/>
      <c r="CH923" s="6"/>
    </row>
    <row r="924" ht="13.5" customHeight="1">
      <c r="P924" s="6"/>
      <c r="AD924" s="6"/>
      <c r="AR924" s="6"/>
      <c r="BF924" s="6"/>
      <c r="BT924" s="6"/>
      <c r="CH924" s="6"/>
    </row>
    <row r="925" ht="13.5" customHeight="1">
      <c r="P925" s="6"/>
      <c r="AD925" s="6"/>
      <c r="AR925" s="6"/>
      <c r="BF925" s="6"/>
      <c r="BT925" s="6"/>
      <c r="CH925" s="6"/>
    </row>
    <row r="926" ht="13.5" customHeight="1">
      <c r="P926" s="6"/>
      <c r="AD926" s="6"/>
      <c r="AR926" s="6"/>
      <c r="BF926" s="6"/>
      <c r="BT926" s="6"/>
      <c r="CH926" s="6"/>
    </row>
    <row r="927" ht="13.5" customHeight="1">
      <c r="P927" s="6"/>
      <c r="AD927" s="6"/>
      <c r="AR927" s="6"/>
      <c r="BF927" s="6"/>
      <c r="BT927" s="6"/>
      <c r="CH927" s="6"/>
    </row>
    <row r="928" ht="13.5" customHeight="1">
      <c r="P928" s="6"/>
      <c r="AD928" s="6"/>
      <c r="AR928" s="6"/>
      <c r="BF928" s="6"/>
      <c r="BT928" s="6"/>
      <c r="CH928" s="6"/>
    </row>
    <row r="929" ht="13.5" customHeight="1">
      <c r="P929" s="6"/>
      <c r="AD929" s="6"/>
      <c r="AR929" s="6"/>
      <c r="BF929" s="6"/>
      <c r="BT929" s="6"/>
      <c r="CH929" s="6"/>
    </row>
    <row r="930" ht="13.5" customHeight="1">
      <c r="P930" s="6"/>
      <c r="AD930" s="6"/>
      <c r="AR930" s="6"/>
      <c r="BF930" s="6"/>
      <c r="BT930" s="6"/>
      <c r="CH930" s="6"/>
    </row>
    <row r="931" ht="13.5" customHeight="1">
      <c r="P931" s="6"/>
      <c r="AD931" s="6"/>
      <c r="AR931" s="6"/>
      <c r="BF931" s="6"/>
      <c r="BT931" s="6"/>
      <c r="CH931" s="6"/>
    </row>
    <row r="932" ht="13.5" customHeight="1">
      <c r="P932" s="6"/>
      <c r="AD932" s="6"/>
      <c r="AR932" s="6"/>
      <c r="BF932" s="6"/>
      <c r="BT932" s="6"/>
      <c r="CH932" s="6"/>
    </row>
    <row r="933" ht="13.5" customHeight="1">
      <c r="P933" s="6"/>
      <c r="AD933" s="6"/>
      <c r="AR933" s="6"/>
      <c r="BF933" s="6"/>
      <c r="BT933" s="6"/>
      <c r="CH933" s="6"/>
    </row>
    <row r="934" ht="13.5" customHeight="1">
      <c r="P934" s="6"/>
      <c r="AD934" s="6"/>
      <c r="AR934" s="6"/>
      <c r="BF934" s="6"/>
      <c r="BT934" s="6"/>
      <c r="CH934" s="6"/>
    </row>
    <row r="935" ht="13.5" customHeight="1">
      <c r="P935" s="6"/>
      <c r="AD935" s="6"/>
      <c r="AR935" s="6"/>
      <c r="BF935" s="6"/>
      <c r="BT935" s="6"/>
      <c r="CH935" s="6"/>
    </row>
    <row r="936" ht="13.5" customHeight="1">
      <c r="P936" s="6"/>
      <c r="AD936" s="6"/>
      <c r="AR936" s="6"/>
      <c r="BF936" s="6"/>
      <c r="BT936" s="6"/>
      <c r="CH936" s="6"/>
    </row>
    <row r="937" ht="13.5" customHeight="1">
      <c r="P937" s="6"/>
      <c r="AD937" s="6"/>
      <c r="AR937" s="6"/>
      <c r="BF937" s="6"/>
      <c r="BT937" s="6"/>
      <c r="CH937" s="6"/>
    </row>
    <row r="938" ht="13.5" customHeight="1">
      <c r="P938" s="6"/>
      <c r="AD938" s="6"/>
      <c r="AR938" s="6"/>
      <c r="BF938" s="6"/>
      <c r="BT938" s="6"/>
      <c r="CH938" s="6"/>
    </row>
    <row r="939" ht="13.5" customHeight="1">
      <c r="P939" s="6"/>
      <c r="AD939" s="6"/>
      <c r="AR939" s="6"/>
      <c r="BF939" s="6"/>
      <c r="BT939" s="6"/>
      <c r="CH939" s="6"/>
    </row>
    <row r="940" ht="13.5" customHeight="1">
      <c r="P940" s="6"/>
      <c r="AD940" s="6"/>
      <c r="AR940" s="6"/>
      <c r="BF940" s="6"/>
      <c r="BT940" s="6"/>
      <c r="CH940" s="6"/>
    </row>
    <row r="941" ht="13.5" customHeight="1">
      <c r="P941" s="6"/>
      <c r="AD941" s="6"/>
      <c r="AR941" s="6"/>
      <c r="BF941" s="6"/>
      <c r="BT941" s="6"/>
      <c r="CH941" s="6"/>
    </row>
    <row r="942" ht="13.5" customHeight="1">
      <c r="P942" s="6"/>
      <c r="AD942" s="6"/>
      <c r="AR942" s="6"/>
      <c r="BF942" s="6"/>
      <c r="BT942" s="6"/>
      <c r="CH942" s="6"/>
    </row>
    <row r="943" ht="13.5" customHeight="1">
      <c r="P943" s="6"/>
      <c r="AD943" s="6"/>
      <c r="AR943" s="6"/>
      <c r="BF943" s="6"/>
      <c r="BT943" s="6"/>
      <c r="CH943" s="6"/>
    </row>
    <row r="944" ht="13.5" customHeight="1">
      <c r="P944" s="6"/>
      <c r="AD944" s="6"/>
      <c r="AR944" s="6"/>
      <c r="BF944" s="6"/>
      <c r="BT944" s="6"/>
      <c r="CH944" s="6"/>
    </row>
    <row r="945" ht="13.5" customHeight="1">
      <c r="P945" s="6"/>
      <c r="AD945" s="6"/>
      <c r="AR945" s="6"/>
      <c r="BF945" s="6"/>
      <c r="BT945" s="6"/>
      <c r="CH945" s="6"/>
    </row>
    <row r="946" ht="13.5" customHeight="1">
      <c r="P946" s="6"/>
      <c r="AD946" s="6"/>
      <c r="AR946" s="6"/>
      <c r="BF946" s="6"/>
      <c r="BT946" s="6"/>
      <c r="CH946" s="6"/>
    </row>
    <row r="947" ht="13.5" customHeight="1">
      <c r="P947" s="6"/>
      <c r="AD947" s="6"/>
      <c r="AR947" s="6"/>
      <c r="BF947" s="6"/>
      <c r="BT947" s="6"/>
      <c r="CH947" s="6"/>
    </row>
    <row r="948" ht="13.5" customHeight="1">
      <c r="P948" s="6"/>
      <c r="AD948" s="6"/>
      <c r="AR948" s="6"/>
      <c r="BF948" s="6"/>
      <c r="BT948" s="6"/>
      <c r="CH948" s="6"/>
    </row>
    <row r="949" ht="13.5" customHeight="1">
      <c r="P949" s="6"/>
      <c r="AD949" s="6"/>
      <c r="AR949" s="6"/>
      <c r="BF949" s="6"/>
      <c r="BT949" s="6"/>
      <c r="CH949" s="6"/>
    </row>
    <row r="950" ht="13.5" customHeight="1">
      <c r="P950" s="6"/>
      <c r="AD950" s="6"/>
      <c r="AR950" s="6"/>
      <c r="BF950" s="6"/>
      <c r="BT950" s="6"/>
      <c r="CH950" s="6"/>
    </row>
    <row r="951" ht="13.5" customHeight="1">
      <c r="P951" s="6"/>
      <c r="AD951" s="6"/>
      <c r="AR951" s="6"/>
      <c r="BF951" s="6"/>
      <c r="BT951" s="6"/>
      <c r="CH951" s="6"/>
    </row>
    <row r="952" ht="13.5" customHeight="1">
      <c r="P952" s="6"/>
      <c r="AD952" s="6"/>
      <c r="AR952" s="6"/>
      <c r="BF952" s="6"/>
      <c r="BT952" s="6"/>
      <c r="CH952" s="6"/>
    </row>
    <row r="953" ht="13.5" customHeight="1">
      <c r="P953" s="6"/>
      <c r="AD953" s="6"/>
      <c r="AR953" s="6"/>
      <c r="BF953" s="6"/>
      <c r="BT953" s="6"/>
      <c r="CH953" s="6"/>
    </row>
    <row r="954" ht="13.5" customHeight="1">
      <c r="P954" s="6"/>
      <c r="AD954" s="6"/>
      <c r="AR954" s="6"/>
      <c r="BF954" s="6"/>
      <c r="BT954" s="6"/>
      <c r="CH954" s="6"/>
    </row>
    <row r="955" ht="13.5" customHeight="1">
      <c r="P955" s="6"/>
      <c r="AD955" s="6"/>
      <c r="AR955" s="6"/>
      <c r="BF955" s="6"/>
      <c r="BT955" s="6"/>
      <c r="CH955" s="6"/>
    </row>
    <row r="956" ht="13.5" customHeight="1">
      <c r="P956" s="6"/>
      <c r="AD956" s="6"/>
      <c r="AR956" s="6"/>
      <c r="BF956" s="6"/>
      <c r="BT956" s="6"/>
      <c r="CH956" s="6"/>
    </row>
    <row r="957" ht="13.5" customHeight="1">
      <c r="P957" s="6"/>
      <c r="AD957" s="6"/>
      <c r="AR957" s="6"/>
      <c r="BF957" s="6"/>
      <c r="BT957" s="6"/>
      <c r="CH957" s="6"/>
    </row>
    <row r="958" ht="13.5" customHeight="1">
      <c r="P958" s="6"/>
      <c r="AD958" s="6"/>
      <c r="AR958" s="6"/>
      <c r="BF958" s="6"/>
      <c r="BT958" s="6"/>
      <c r="CH958" s="6"/>
    </row>
    <row r="959" ht="13.5" customHeight="1">
      <c r="P959" s="6"/>
      <c r="AD959" s="6"/>
      <c r="AR959" s="6"/>
      <c r="BF959" s="6"/>
      <c r="BT959" s="6"/>
      <c r="CH959" s="6"/>
    </row>
    <row r="960" ht="13.5" customHeight="1">
      <c r="P960" s="6"/>
      <c r="AD960" s="6"/>
      <c r="AR960" s="6"/>
      <c r="BF960" s="6"/>
      <c r="BT960" s="6"/>
      <c r="CH960" s="6"/>
    </row>
    <row r="961" ht="13.5" customHeight="1">
      <c r="P961" s="6"/>
      <c r="AD961" s="6"/>
      <c r="AR961" s="6"/>
      <c r="BF961" s="6"/>
      <c r="BT961" s="6"/>
      <c r="CH961" s="6"/>
    </row>
    <row r="962" ht="13.5" customHeight="1">
      <c r="P962" s="6"/>
      <c r="AD962" s="6"/>
      <c r="AR962" s="6"/>
      <c r="BF962" s="6"/>
      <c r="BT962" s="6"/>
      <c r="CH962" s="6"/>
    </row>
    <row r="963" ht="13.5" customHeight="1">
      <c r="P963" s="6"/>
      <c r="AD963" s="6"/>
      <c r="AR963" s="6"/>
      <c r="BF963" s="6"/>
      <c r="BT963" s="6"/>
      <c r="CH963" s="6"/>
    </row>
    <row r="964" ht="13.5" customHeight="1">
      <c r="P964" s="6"/>
      <c r="AD964" s="6"/>
      <c r="AR964" s="6"/>
      <c r="BF964" s="6"/>
      <c r="BT964" s="6"/>
      <c r="CH964" s="6"/>
    </row>
    <row r="965" ht="13.5" customHeight="1">
      <c r="P965" s="6"/>
      <c r="AD965" s="6"/>
      <c r="AR965" s="6"/>
      <c r="BF965" s="6"/>
      <c r="BT965" s="6"/>
      <c r="CH965" s="6"/>
    </row>
    <row r="966" ht="13.5" customHeight="1">
      <c r="P966" s="6"/>
      <c r="AD966" s="6"/>
      <c r="AR966" s="6"/>
      <c r="BF966" s="6"/>
      <c r="BT966" s="6"/>
      <c r="CH966" s="6"/>
    </row>
    <row r="967" ht="13.5" customHeight="1">
      <c r="P967" s="6"/>
      <c r="AD967" s="6"/>
      <c r="AR967" s="6"/>
      <c r="BF967" s="6"/>
      <c r="BT967" s="6"/>
      <c r="CH967" s="6"/>
    </row>
    <row r="968" ht="13.5" customHeight="1">
      <c r="P968" s="6"/>
      <c r="AD968" s="6"/>
      <c r="AR968" s="6"/>
      <c r="BF968" s="6"/>
      <c r="BT968" s="6"/>
      <c r="CH968" s="6"/>
    </row>
    <row r="969" ht="13.5" customHeight="1">
      <c r="P969" s="6"/>
      <c r="AD969" s="6"/>
      <c r="AR969" s="6"/>
      <c r="BF969" s="6"/>
      <c r="BT969" s="6"/>
      <c r="CH969" s="6"/>
    </row>
    <row r="970" ht="13.5" customHeight="1">
      <c r="P970" s="6"/>
      <c r="AD970" s="6"/>
      <c r="AR970" s="6"/>
      <c r="BF970" s="6"/>
      <c r="BT970" s="6"/>
      <c r="CH970" s="6"/>
    </row>
    <row r="971" ht="13.5" customHeight="1">
      <c r="P971" s="6"/>
      <c r="AD971" s="6"/>
      <c r="AR971" s="6"/>
      <c r="BF971" s="6"/>
      <c r="BT971" s="6"/>
      <c r="CH971" s="6"/>
    </row>
    <row r="972" ht="13.5" customHeight="1">
      <c r="P972" s="6"/>
      <c r="AD972" s="6"/>
      <c r="AR972" s="6"/>
      <c r="BF972" s="6"/>
      <c r="BT972" s="6"/>
      <c r="CH972" s="6"/>
    </row>
    <row r="973" ht="13.5" customHeight="1">
      <c r="P973" s="6"/>
      <c r="AD973" s="6"/>
      <c r="AR973" s="6"/>
      <c r="BF973" s="6"/>
      <c r="BT973" s="6"/>
      <c r="CH973" s="6"/>
    </row>
    <row r="974" ht="13.5" customHeight="1">
      <c r="P974" s="6"/>
      <c r="AD974" s="6"/>
      <c r="AR974" s="6"/>
      <c r="BF974" s="6"/>
      <c r="BT974" s="6"/>
      <c r="CH974" s="6"/>
    </row>
    <row r="975" ht="13.5" customHeight="1">
      <c r="P975" s="6"/>
      <c r="AD975" s="6"/>
      <c r="AR975" s="6"/>
      <c r="BF975" s="6"/>
      <c r="BT975" s="6"/>
      <c r="CH975" s="6"/>
    </row>
    <row r="976" ht="13.5" customHeight="1">
      <c r="P976" s="6"/>
      <c r="AD976" s="6"/>
      <c r="AR976" s="6"/>
      <c r="BF976" s="6"/>
      <c r="BT976" s="6"/>
      <c r="CH976" s="6"/>
    </row>
    <row r="977" ht="13.5" customHeight="1">
      <c r="P977" s="6"/>
      <c r="AD977" s="6"/>
      <c r="AR977" s="6"/>
      <c r="BF977" s="6"/>
      <c r="BT977" s="6"/>
      <c r="CH977" s="6"/>
    </row>
    <row r="978" ht="13.5" customHeight="1">
      <c r="P978" s="6"/>
      <c r="AD978" s="6"/>
      <c r="AR978" s="6"/>
      <c r="BF978" s="6"/>
      <c r="BT978" s="6"/>
      <c r="CH978" s="6"/>
    </row>
    <row r="979" ht="13.5" customHeight="1">
      <c r="P979" s="6"/>
      <c r="AD979" s="6"/>
      <c r="AR979" s="6"/>
      <c r="BF979" s="6"/>
      <c r="BT979" s="6"/>
      <c r="CH979" s="6"/>
    </row>
    <row r="980" ht="13.5" customHeight="1">
      <c r="P980" s="6"/>
      <c r="AD980" s="6"/>
      <c r="AR980" s="6"/>
      <c r="BF980" s="6"/>
      <c r="BT980" s="6"/>
      <c r="CH980" s="6"/>
    </row>
    <row r="981" ht="13.5" customHeight="1">
      <c r="P981" s="6"/>
      <c r="AD981" s="6"/>
      <c r="AR981" s="6"/>
      <c r="BF981" s="6"/>
      <c r="BT981" s="6"/>
      <c r="CH981" s="6"/>
    </row>
    <row r="982" ht="13.5" customHeight="1">
      <c r="P982" s="6"/>
      <c r="AD982" s="6"/>
      <c r="AR982" s="6"/>
      <c r="BF982" s="6"/>
      <c r="BT982" s="6"/>
      <c r="CH982" s="6"/>
    </row>
    <row r="983" ht="13.5" customHeight="1">
      <c r="P983" s="6"/>
      <c r="AD983" s="6"/>
      <c r="AR983" s="6"/>
      <c r="BF983" s="6"/>
      <c r="BT983" s="6"/>
      <c r="CH983" s="6"/>
    </row>
    <row r="984" ht="13.5" customHeight="1">
      <c r="P984" s="6"/>
      <c r="AD984" s="6"/>
      <c r="AR984" s="6"/>
      <c r="BF984" s="6"/>
      <c r="BT984" s="6"/>
      <c r="CH984" s="6"/>
    </row>
    <row r="985" ht="13.5" customHeight="1">
      <c r="P985" s="6"/>
      <c r="AD985" s="6"/>
      <c r="AR985" s="6"/>
      <c r="BF985" s="6"/>
      <c r="BT985" s="6"/>
      <c r="CH985" s="6"/>
    </row>
    <row r="986" ht="13.5" customHeight="1">
      <c r="P986" s="6"/>
      <c r="AD986" s="6"/>
      <c r="AR986" s="6"/>
      <c r="BF986" s="6"/>
      <c r="BT986" s="6"/>
      <c r="CH986" s="6"/>
    </row>
    <row r="987" ht="13.5" customHeight="1">
      <c r="P987" s="6"/>
      <c r="AD987" s="6"/>
      <c r="AR987" s="6"/>
      <c r="BF987" s="6"/>
      <c r="BT987" s="6"/>
      <c r="CH987" s="6"/>
    </row>
    <row r="988" ht="13.5" customHeight="1">
      <c r="P988" s="6"/>
      <c r="AD988" s="6"/>
      <c r="AR988" s="6"/>
      <c r="BF988" s="6"/>
      <c r="BT988" s="6"/>
      <c r="CH988" s="6"/>
    </row>
    <row r="989" ht="13.5" customHeight="1">
      <c r="P989" s="6"/>
      <c r="AD989" s="6"/>
      <c r="AR989" s="6"/>
      <c r="BF989" s="6"/>
      <c r="BT989" s="6"/>
      <c r="CH989" s="6"/>
    </row>
    <row r="990" ht="13.5" customHeight="1">
      <c r="P990" s="6"/>
      <c r="AD990" s="6"/>
      <c r="AR990" s="6"/>
      <c r="BF990" s="6"/>
      <c r="BT990" s="6"/>
      <c r="CH990" s="6"/>
    </row>
    <row r="991" ht="13.5" customHeight="1">
      <c r="P991" s="6"/>
      <c r="AD991" s="6"/>
      <c r="AR991" s="6"/>
      <c r="BF991" s="6"/>
      <c r="BT991" s="6"/>
      <c r="CH991" s="6"/>
    </row>
    <row r="992" ht="13.5" customHeight="1">
      <c r="P992" s="6"/>
      <c r="AD992" s="6"/>
      <c r="AR992" s="6"/>
      <c r="BF992" s="6"/>
      <c r="BT992" s="6"/>
      <c r="CH992" s="6"/>
    </row>
    <row r="993" ht="13.5" customHeight="1">
      <c r="P993" s="6"/>
      <c r="AD993" s="6"/>
      <c r="AR993" s="6"/>
      <c r="BF993" s="6"/>
      <c r="BT993" s="6"/>
      <c r="CH993" s="6"/>
    </row>
    <row r="994" ht="13.5" customHeight="1">
      <c r="P994" s="6"/>
      <c r="AD994" s="6"/>
      <c r="AR994" s="6"/>
      <c r="BF994" s="6"/>
      <c r="BT994" s="6"/>
      <c r="CH994" s="6"/>
    </row>
    <row r="995" ht="13.5" customHeight="1">
      <c r="P995" s="6"/>
      <c r="AD995" s="6"/>
      <c r="AR995" s="6"/>
      <c r="BF995" s="6"/>
      <c r="BT995" s="6"/>
      <c r="CH995" s="6"/>
    </row>
    <row r="996" ht="13.5" customHeight="1">
      <c r="P996" s="6"/>
      <c r="AD996" s="6"/>
      <c r="AR996" s="6"/>
      <c r="BF996" s="6"/>
      <c r="BT996" s="6"/>
      <c r="CH996" s="6"/>
    </row>
    <row r="997" ht="13.5" customHeight="1">
      <c r="P997" s="6"/>
      <c r="AD997" s="6"/>
      <c r="AR997" s="6"/>
      <c r="BF997" s="6"/>
      <c r="BT997" s="6"/>
      <c r="CH997" s="6"/>
    </row>
    <row r="998" ht="13.5" customHeight="1">
      <c r="P998" s="6"/>
      <c r="AD998" s="6"/>
      <c r="AR998" s="6"/>
      <c r="BF998" s="6"/>
      <c r="BT998" s="6"/>
      <c r="CH998" s="6"/>
    </row>
    <row r="999" ht="13.5" customHeight="1">
      <c r="P999" s="6"/>
      <c r="AD999" s="6"/>
      <c r="AR999" s="6"/>
      <c r="BF999" s="6"/>
      <c r="BT999" s="6"/>
      <c r="CH999" s="6"/>
    </row>
    <row r="1000" ht="13.5" customHeight="1">
      <c r="P1000" s="6"/>
      <c r="AD1000" s="6"/>
      <c r="AR1000" s="6"/>
      <c r="BF1000" s="6"/>
      <c r="BT1000" s="6"/>
      <c r="CH1000" s="6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0DD"/>
    <pageSetUpPr/>
  </sheetPr>
  <sheetViews>
    <sheetView workbookViewId="0"/>
  </sheetViews>
  <sheetFormatPr customHeight="1" defaultColWidth="12.63" defaultRowHeight="15.0" outlineLevelCol="1"/>
  <cols>
    <col customWidth="1" min="1" max="1" width="8.63"/>
    <col customWidth="1" min="2" max="3" width="18.63"/>
    <col customWidth="1" min="4" max="15" width="12.88" outlineLevel="1"/>
    <col customWidth="1" min="16" max="16" width="12.88"/>
    <col customWidth="1" min="17" max="17" width="1.63"/>
    <col customWidth="1" min="18" max="29" width="12.88" outlineLevel="1"/>
    <col customWidth="1" min="30" max="30" width="12.88"/>
    <col customWidth="1" min="31" max="31" width="1.13"/>
    <col customWidth="1" min="32" max="43" width="12.88" outlineLevel="1"/>
    <col customWidth="1" min="44" max="44" width="12.88"/>
    <col customWidth="1" min="45" max="45" width="1.13"/>
    <col customWidth="1" min="46" max="57" width="12.88" outlineLevel="1"/>
    <col customWidth="1" min="58" max="58" width="12.88"/>
    <col customWidth="1" min="59" max="59" width="1.13"/>
    <col customWidth="1" min="60" max="71" width="12.88" outlineLevel="1"/>
    <col customWidth="1" min="72" max="72" width="12.88"/>
    <col customWidth="1" min="73" max="73" width="1.5"/>
    <col customWidth="1" min="74" max="85" width="12.88" outlineLevel="1"/>
    <col customWidth="1" min="86" max="86" width="12.88"/>
    <col customWidth="1" min="87" max="87" width="1.13"/>
  </cols>
  <sheetData>
    <row r="1" ht="20.25" customHeight="1">
      <c r="B1" s="2" t="s">
        <v>0</v>
      </c>
      <c r="C1" s="2"/>
      <c r="D1" s="3" t="str">
        <f>+COMP</f>
        <v>ZHY</v>
      </c>
      <c r="E1" s="3" t="str">
        <f>+COMP</f>
        <v>ZHY</v>
      </c>
      <c r="F1" s="3" t="str">
        <f>+COMP</f>
        <v>ZHY</v>
      </c>
      <c r="G1" s="3" t="str">
        <f>+COMP</f>
        <v>ZHY</v>
      </c>
      <c r="H1" s="3" t="str">
        <f>+COMP</f>
        <v>ZHY</v>
      </c>
      <c r="I1" s="3" t="str">
        <f>+COMP</f>
        <v>ZHY</v>
      </c>
      <c r="J1" s="3" t="str">
        <f>+COMP</f>
        <v>ZHY</v>
      </c>
      <c r="K1" s="3" t="str">
        <f>+COMP</f>
        <v>ZHY</v>
      </c>
      <c r="L1" s="3" t="str">
        <f>+COMP</f>
        <v>ZHY</v>
      </c>
      <c r="M1" s="3" t="str">
        <f>+COMP</f>
        <v>ZHY</v>
      </c>
      <c r="N1" s="3" t="str">
        <f>+COMP</f>
        <v>ZHY</v>
      </c>
      <c r="O1" s="3" t="str">
        <f>+COMP</f>
        <v>ZHY</v>
      </c>
      <c r="P1" s="4" t="str">
        <f>+COMP</f>
        <v>ZHY</v>
      </c>
      <c r="R1" s="3" t="str">
        <f>+COMP</f>
        <v>ZHY</v>
      </c>
      <c r="S1" s="3" t="str">
        <f>+COMP</f>
        <v>ZHY</v>
      </c>
      <c r="T1" s="3" t="str">
        <f>+COMP</f>
        <v>ZHY</v>
      </c>
      <c r="U1" s="3" t="str">
        <f>+COMP</f>
        <v>ZHY</v>
      </c>
      <c r="V1" s="3" t="str">
        <f>+COMP</f>
        <v>ZHY</v>
      </c>
      <c r="W1" s="3" t="str">
        <f>+COMP</f>
        <v>ZHY</v>
      </c>
      <c r="X1" s="3" t="str">
        <f>+COMP</f>
        <v>ZHY</v>
      </c>
      <c r="Y1" s="3" t="str">
        <f>+COMP</f>
        <v>ZHY</v>
      </c>
      <c r="Z1" s="3" t="str">
        <f>+COMP</f>
        <v>ZHY</v>
      </c>
      <c r="AA1" s="3" t="str">
        <f>+COMP</f>
        <v>ZHY</v>
      </c>
      <c r="AB1" s="3" t="str">
        <f>+COMP</f>
        <v>ZHY</v>
      </c>
      <c r="AC1" s="3" t="str">
        <f>+COMP</f>
        <v>ZHY</v>
      </c>
      <c r="AD1" s="4" t="str">
        <f>+COMP</f>
        <v>ZHY</v>
      </c>
      <c r="AF1" s="3" t="str">
        <f>+COMP</f>
        <v>ZHY</v>
      </c>
      <c r="AG1" s="3" t="str">
        <f>+COMP</f>
        <v>ZHY</v>
      </c>
      <c r="AH1" s="3" t="str">
        <f>+COMP</f>
        <v>ZHY</v>
      </c>
      <c r="AI1" s="3" t="str">
        <f>+COMP</f>
        <v>ZHY</v>
      </c>
      <c r="AJ1" s="3" t="str">
        <f>+COMP</f>
        <v>ZHY</v>
      </c>
      <c r="AK1" s="3" t="str">
        <f>+COMP</f>
        <v>ZHY</v>
      </c>
      <c r="AL1" s="3" t="str">
        <f>+COMP</f>
        <v>ZHY</v>
      </c>
      <c r="AM1" s="3" t="str">
        <f>+COMP</f>
        <v>ZHY</v>
      </c>
      <c r="AN1" s="3" t="str">
        <f>+COMP</f>
        <v>ZHY</v>
      </c>
      <c r="AO1" s="3" t="str">
        <f>+COMP</f>
        <v>ZHY</v>
      </c>
      <c r="AP1" s="3" t="str">
        <f>+COMP</f>
        <v>ZHY</v>
      </c>
      <c r="AQ1" s="3" t="str">
        <f>+COMP</f>
        <v>ZHY</v>
      </c>
      <c r="AR1" s="4" t="str">
        <f>+COMP</f>
        <v>ZHY</v>
      </c>
      <c r="AT1" s="3" t="str">
        <f>+COMP</f>
        <v>ZHY</v>
      </c>
      <c r="AU1" s="3" t="str">
        <f>+COMP</f>
        <v>ZHY</v>
      </c>
      <c r="AV1" s="3" t="str">
        <f>+COMP</f>
        <v>ZHY</v>
      </c>
      <c r="AW1" s="3" t="str">
        <f>+COMP</f>
        <v>ZHY</v>
      </c>
      <c r="AX1" s="3" t="str">
        <f>+COMP</f>
        <v>ZHY</v>
      </c>
      <c r="AY1" s="3" t="str">
        <f>+COMP</f>
        <v>ZHY</v>
      </c>
      <c r="AZ1" s="3" t="str">
        <f>+COMP</f>
        <v>ZHY</v>
      </c>
      <c r="BA1" s="3" t="str">
        <f>+COMP</f>
        <v>ZHY</v>
      </c>
      <c r="BB1" s="3" t="str">
        <f>+COMP</f>
        <v>ZHY</v>
      </c>
      <c r="BC1" s="3" t="str">
        <f>+COMP</f>
        <v>ZHY</v>
      </c>
      <c r="BD1" s="3" t="str">
        <f>+COMP</f>
        <v>ZHY</v>
      </c>
      <c r="BE1" s="3" t="str">
        <f>+COMP</f>
        <v>ZHY</v>
      </c>
      <c r="BF1" s="4" t="str">
        <f>+COMP</f>
        <v>ZHY</v>
      </c>
      <c r="BH1" s="3" t="str">
        <f>+COMP</f>
        <v>ZHY</v>
      </c>
      <c r="BI1" s="3" t="str">
        <f>+COMP</f>
        <v>ZHY</v>
      </c>
      <c r="BJ1" s="3" t="str">
        <f>+COMP</f>
        <v>ZHY</v>
      </c>
      <c r="BK1" s="3" t="str">
        <f>+COMP</f>
        <v>ZHY</v>
      </c>
      <c r="BL1" s="3" t="str">
        <f>+COMP</f>
        <v>ZHY</v>
      </c>
      <c r="BM1" s="3" t="str">
        <f>+COMP</f>
        <v>ZHY</v>
      </c>
      <c r="BN1" s="3" t="str">
        <f>+COMP</f>
        <v>ZHY</v>
      </c>
      <c r="BO1" s="3" t="str">
        <f>+COMP</f>
        <v>ZHY</v>
      </c>
      <c r="BP1" s="3" t="str">
        <f>+COMP</f>
        <v>ZHY</v>
      </c>
      <c r="BQ1" s="3" t="str">
        <f>+COMP</f>
        <v>ZHY</v>
      </c>
      <c r="BR1" s="3" t="str">
        <f>+COMP</f>
        <v>ZHY</v>
      </c>
      <c r="BS1" s="3" t="str">
        <f>+COMP</f>
        <v>ZHY</v>
      </c>
      <c r="BT1" s="4" t="str">
        <f>+COMP</f>
        <v>ZHY</v>
      </c>
      <c r="BV1" s="3" t="str">
        <f>+COMP</f>
        <v>ZHY</v>
      </c>
      <c r="BW1" s="3" t="str">
        <f>+COMP</f>
        <v>ZHY</v>
      </c>
      <c r="BX1" s="3" t="str">
        <f>+COMP</f>
        <v>ZHY</v>
      </c>
      <c r="BY1" s="3" t="str">
        <f>+COMP</f>
        <v>ZHY</v>
      </c>
      <c r="BZ1" s="3" t="str">
        <f>+COMP</f>
        <v>ZHY</v>
      </c>
      <c r="CA1" s="3" t="str">
        <f>+COMP</f>
        <v>ZHY</v>
      </c>
      <c r="CB1" s="3" t="str">
        <f>+COMP</f>
        <v>ZHY</v>
      </c>
      <c r="CC1" s="3" t="str">
        <f>+COMP</f>
        <v>ZHY</v>
      </c>
      <c r="CD1" s="3" t="str">
        <f>+COMP</f>
        <v>ZHY</v>
      </c>
      <c r="CE1" s="3" t="str">
        <f>+COMP</f>
        <v>ZHY</v>
      </c>
      <c r="CF1" s="3" t="str">
        <f>+COMP</f>
        <v>ZHY</v>
      </c>
      <c r="CG1" s="3" t="str">
        <f>+COMP</f>
        <v>ZHY</v>
      </c>
      <c r="CH1" s="4" t="str">
        <f>+COMP</f>
        <v>ZHY</v>
      </c>
    </row>
    <row r="2" ht="20.25" customHeight="1">
      <c r="B2" s="2" t="s">
        <v>1</v>
      </c>
      <c r="C2" s="2"/>
      <c r="D2" s="3">
        <f>+YEAR</f>
        <v>2025</v>
      </c>
      <c r="E2" s="3">
        <f>+YEAR</f>
        <v>2025</v>
      </c>
      <c r="F2" s="3">
        <f>+YEAR</f>
        <v>2025</v>
      </c>
      <c r="G2" s="3">
        <f>+YEAR</f>
        <v>2025</v>
      </c>
      <c r="H2" s="3">
        <f>+YEAR</f>
        <v>2025</v>
      </c>
      <c r="I2" s="3">
        <f>+YEAR</f>
        <v>2025</v>
      </c>
      <c r="J2" s="3">
        <f>+YEAR</f>
        <v>2025</v>
      </c>
      <c r="K2" s="3">
        <f>+YEAR</f>
        <v>2025</v>
      </c>
      <c r="L2" s="3">
        <f>+YEAR</f>
        <v>2025</v>
      </c>
      <c r="M2" s="3">
        <f>+YEAR</f>
        <v>2025</v>
      </c>
      <c r="N2" s="3">
        <f>+YEAR</f>
        <v>2025</v>
      </c>
      <c r="O2" s="3">
        <f>+YEAR</f>
        <v>2025</v>
      </c>
      <c r="P2" s="4">
        <f>+YEAR</f>
        <v>2025</v>
      </c>
      <c r="R2" s="3">
        <f>+YEAR_1</f>
        <v>2026</v>
      </c>
      <c r="S2" s="3">
        <f>+YEAR_1</f>
        <v>2026</v>
      </c>
      <c r="T2" s="3">
        <f>+YEAR_1</f>
        <v>2026</v>
      </c>
      <c r="U2" s="3">
        <f>+YEAR_1</f>
        <v>2026</v>
      </c>
      <c r="V2" s="3">
        <f>+YEAR_1</f>
        <v>2026</v>
      </c>
      <c r="W2" s="3">
        <f>+YEAR_1</f>
        <v>2026</v>
      </c>
      <c r="X2" s="3">
        <f>+YEAR_1</f>
        <v>2026</v>
      </c>
      <c r="Y2" s="3">
        <f>+YEAR_1</f>
        <v>2026</v>
      </c>
      <c r="Z2" s="3">
        <f>+YEAR_1</f>
        <v>2026</v>
      </c>
      <c r="AA2" s="3">
        <f>+YEAR_1</f>
        <v>2026</v>
      </c>
      <c r="AB2" s="3">
        <f>+YEAR_1</f>
        <v>2026</v>
      </c>
      <c r="AC2" s="3">
        <f>+YEAR_1</f>
        <v>2026</v>
      </c>
      <c r="AD2" s="4">
        <f>+YEAR+1</f>
        <v>2026</v>
      </c>
      <c r="AF2" s="3">
        <f>+YEAR_2</f>
        <v>2027</v>
      </c>
      <c r="AG2" s="3">
        <f>+YEAR_2</f>
        <v>2027</v>
      </c>
      <c r="AH2" s="3">
        <f>+YEAR_2</f>
        <v>2027</v>
      </c>
      <c r="AI2" s="3">
        <f>+YEAR_2</f>
        <v>2027</v>
      </c>
      <c r="AJ2" s="3">
        <f>+YEAR_2</f>
        <v>2027</v>
      </c>
      <c r="AK2" s="3">
        <f>+YEAR_2</f>
        <v>2027</v>
      </c>
      <c r="AL2" s="3">
        <f>+YEAR_2</f>
        <v>2027</v>
      </c>
      <c r="AM2" s="3">
        <f>+YEAR_2</f>
        <v>2027</v>
      </c>
      <c r="AN2" s="3">
        <f>+YEAR_2</f>
        <v>2027</v>
      </c>
      <c r="AO2" s="3">
        <f>+YEAR_2</f>
        <v>2027</v>
      </c>
      <c r="AP2" s="3">
        <f>+YEAR_2</f>
        <v>2027</v>
      </c>
      <c r="AQ2" s="3">
        <f>+YEAR_2</f>
        <v>2027</v>
      </c>
      <c r="AR2" s="4">
        <f>+YEAR+2</f>
        <v>2027</v>
      </c>
      <c r="AT2" s="3">
        <f>+YEAR_3</f>
        <v>2028</v>
      </c>
      <c r="AU2" s="3">
        <f>+YEAR_3</f>
        <v>2028</v>
      </c>
      <c r="AV2" s="3">
        <f>+YEAR_3</f>
        <v>2028</v>
      </c>
      <c r="AW2" s="3">
        <f>+YEAR_3</f>
        <v>2028</v>
      </c>
      <c r="AX2" s="3">
        <f>+YEAR_3</f>
        <v>2028</v>
      </c>
      <c r="AY2" s="3">
        <f>+YEAR_3</f>
        <v>2028</v>
      </c>
      <c r="AZ2" s="3">
        <f>+YEAR_3</f>
        <v>2028</v>
      </c>
      <c r="BA2" s="3">
        <f>+YEAR_3</f>
        <v>2028</v>
      </c>
      <c r="BB2" s="3">
        <f>+YEAR_3</f>
        <v>2028</v>
      </c>
      <c r="BC2" s="3">
        <f>+YEAR_3</f>
        <v>2028</v>
      </c>
      <c r="BD2" s="3">
        <f>+YEAR_3</f>
        <v>2028</v>
      </c>
      <c r="BE2" s="3">
        <f>+YEAR_3</f>
        <v>2028</v>
      </c>
      <c r="BF2" s="4">
        <f>+YEAR+3</f>
        <v>2028</v>
      </c>
      <c r="BH2" s="3">
        <f>+YEAR_4</f>
        <v>2029</v>
      </c>
      <c r="BI2" s="3">
        <f>+YEAR_4</f>
        <v>2029</v>
      </c>
      <c r="BJ2" s="3">
        <f>+YEAR_4</f>
        <v>2029</v>
      </c>
      <c r="BK2" s="3">
        <f>+YEAR_4</f>
        <v>2029</v>
      </c>
      <c r="BL2" s="3">
        <f>+YEAR_4</f>
        <v>2029</v>
      </c>
      <c r="BM2" s="3">
        <f>+YEAR_4</f>
        <v>2029</v>
      </c>
      <c r="BN2" s="3">
        <f>+YEAR_4</f>
        <v>2029</v>
      </c>
      <c r="BO2" s="3">
        <f>+YEAR_4</f>
        <v>2029</v>
      </c>
      <c r="BP2" s="3">
        <f>+YEAR_4</f>
        <v>2029</v>
      </c>
      <c r="BQ2" s="3">
        <f>+YEAR_4</f>
        <v>2029</v>
      </c>
      <c r="BR2" s="3">
        <f>+YEAR_4</f>
        <v>2029</v>
      </c>
      <c r="BS2" s="3">
        <f>+YEAR_4</f>
        <v>2029</v>
      </c>
      <c r="BT2" s="4">
        <f>+YEAR+4</f>
        <v>2029</v>
      </c>
      <c r="BV2" s="3">
        <f>+YEAR_5</f>
        <v>2030</v>
      </c>
      <c r="BW2" s="3">
        <f>+YEAR_5</f>
        <v>2030</v>
      </c>
      <c r="BX2" s="3">
        <f>+YEAR_5</f>
        <v>2030</v>
      </c>
      <c r="BY2" s="3">
        <f>+YEAR_5</f>
        <v>2030</v>
      </c>
      <c r="BZ2" s="3">
        <f>+YEAR_5</f>
        <v>2030</v>
      </c>
      <c r="CA2" s="3">
        <f>+YEAR_5</f>
        <v>2030</v>
      </c>
      <c r="CB2" s="3">
        <f>+YEAR_5</f>
        <v>2030</v>
      </c>
      <c r="CC2" s="3">
        <f>+YEAR_5</f>
        <v>2030</v>
      </c>
      <c r="CD2" s="3">
        <f>+YEAR_5</f>
        <v>2030</v>
      </c>
      <c r="CE2" s="3">
        <f>+YEAR_5</f>
        <v>2030</v>
      </c>
      <c r="CF2" s="3">
        <f>+YEAR_5</f>
        <v>2030</v>
      </c>
      <c r="CG2" s="3">
        <f>+YEAR_5</f>
        <v>2030</v>
      </c>
      <c r="CH2" s="4">
        <f>+YEAR+5</f>
        <v>2030</v>
      </c>
    </row>
    <row r="3" ht="20.25" customHeight="1">
      <c r="B3" s="2" t="s">
        <v>2</v>
      </c>
      <c r="C3" s="2"/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4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4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4" t="s">
        <v>3</v>
      </c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4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4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4" t="s">
        <v>3</v>
      </c>
    </row>
    <row r="4" ht="20.25" customHeight="1">
      <c r="B4" s="2" t="s">
        <v>4</v>
      </c>
      <c r="C4" s="2"/>
      <c r="D4" s="3">
        <v>1.0</v>
      </c>
      <c r="E4" s="3">
        <f t="shared" ref="E4:O4" si="1">+D4+1</f>
        <v>2</v>
      </c>
      <c r="F4" s="3">
        <f t="shared" si="1"/>
        <v>3</v>
      </c>
      <c r="G4" s="3">
        <f t="shared" si="1"/>
        <v>4</v>
      </c>
      <c r="H4" s="3">
        <f t="shared" si="1"/>
        <v>5</v>
      </c>
      <c r="I4" s="3">
        <f t="shared" si="1"/>
        <v>6</v>
      </c>
      <c r="J4" s="3">
        <f t="shared" si="1"/>
        <v>7</v>
      </c>
      <c r="K4" s="3">
        <f t="shared" si="1"/>
        <v>8</v>
      </c>
      <c r="L4" s="3">
        <f t="shared" si="1"/>
        <v>9</v>
      </c>
      <c r="M4" s="3">
        <f t="shared" si="1"/>
        <v>10</v>
      </c>
      <c r="N4" s="3">
        <f t="shared" si="1"/>
        <v>11</v>
      </c>
      <c r="O4" s="3">
        <f t="shared" si="1"/>
        <v>12</v>
      </c>
      <c r="P4" s="4" t="s">
        <v>5</v>
      </c>
      <c r="R4" s="3">
        <v>1.0</v>
      </c>
      <c r="S4" s="3">
        <f t="shared" ref="S4:AC4" si="2">+R4+1</f>
        <v>2</v>
      </c>
      <c r="T4" s="3">
        <f t="shared" si="2"/>
        <v>3</v>
      </c>
      <c r="U4" s="3">
        <f t="shared" si="2"/>
        <v>4</v>
      </c>
      <c r="V4" s="3">
        <f t="shared" si="2"/>
        <v>5</v>
      </c>
      <c r="W4" s="3">
        <f t="shared" si="2"/>
        <v>6</v>
      </c>
      <c r="X4" s="3">
        <f t="shared" si="2"/>
        <v>7</v>
      </c>
      <c r="Y4" s="3">
        <f t="shared" si="2"/>
        <v>8</v>
      </c>
      <c r="Z4" s="3">
        <f t="shared" si="2"/>
        <v>9</v>
      </c>
      <c r="AA4" s="3">
        <f t="shared" si="2"/>
        <v>10</v>
      </c>
      <c r="AB4" s="3">
        <f t="shared" si="2"/>
        <v>11</v>
      </c>
      <c r="AC4" s="3">
        <f t="shared" si="2"/>
        <v>12</v>
      </c>
      <c r="AD4" s="4" t="s">
        <v>5</v>
      </c>
      <c r="AF4" s="3">
        <v>1.0</v>
      </c>
      <c r="AG4" s="3">
        <f t="shared" ref="AG4:AQ4" si="3">+AF4+1</f>
        <v>2</v>
      </c>
      <c r="AH4" s="3">
        <f t="shared" si="3"/>
        <v>3</v>
      </c>
      <c r="AI4" s="3">
        <f t="shared" si="3"/>
        <v>4</v>
      </c>
      <c r="AJ4" s="3">
        <f t="shared" si="3"/>
        <v>5</v>
      </c>
      <c r="AK4" s="3">
        <f t="shared" si="3"/>
        <v>6</v>
      </c>
      <c r="AL4" s="3">
        <f t="shared" si="3"/>
        <v>7</v>
      </c>
      <c r="AM4" s="3">
        <f t="shared" si="3"/>
        <v>8</v>
      </c>
      <c r="AN4" s="3">
        <f t="shared" si="3"/>
        <v>9</v>
      </c>
      <c r="AO4" s="3">
        <f t="shared" si="3"/>
        <v>10</v>
      </c>
      <c r="AP4" s="3">
        <f t="shared" si="3"/>
        <v>11</v>
      </c>
      <c r="AQ4" s="3">
        <f t="shared" si="3"/>
        <v>12</v>
      </c>
      <c r="AR4" s="4" t="s">
        <v>5</v>
      </c>
      <c r="AT4" s="3">
        <v>1.0</v>
      </c>
      <c r="AU4" s="3">
        <f t="shared" ref="AU4:BE4" si="4">+AT4+1</f>
        <v>2</v>
      </c>
      <c r="AV4" s="3">
        <f t="shared" si="4"/>
        <v>3</v>
      </c>
      <c r="AW4" s="3">
        <f t="shared" si="4"/>
        <v>4</v>
      </c>
      <c r="AX4" s="3">
        <f t="shared" si="4"/>
        <v>5</v>
      </c>
      <c r="AY4" s="3">
        <f t="shared" si="4"/>
        <v>6</v>
      </c>
      <c r="AZ4" s="3">
        <f t="shared" si="4"/>
        <v>7</v>
      </c>
      <c r="BA4" s="3">
        <f t="shared" si="4"/>
        <v>8</v>
      </c>
      <c r="BB4" s="3">
        <f t="shared" si="4"/>
        <v>9</v>
      </c>
      <c r="BC4" s="3">
        <f t="shared" si="4"/>
        <v>10</v>
      </c>
      <c r="BD4" s="3">
        <f t="shared" si="4"/>
        <v>11</v>
      </c>
      <c r="BE4" s="3">
        <f t="shared" si="4"/>
        <v>12</v>
      </c>
      <c r="BF4" s="4" t="s">
        <v>5</v>
      </c>
      <c r="BH4" s="3">
        <v>1.0</v>
      </c>
      <c r="BI4" s="3">
        <f t="shared" ref="BI4:BS4" si="5">+BH4+1</f>
        <v>2</v>
      </c>
      <c r="BJ4" s="3">
        <f t="shared" si="5"/>
        <v>3</v>
      </c>
      <c r="BK4" s="3">
        <f t="shared" si="5"/>
        <v>4</v>
      </c>
      <c r="BL4" s="3">
        <f t="shared" si="5"/>
        <v>5</v>
      </c>
      <c r="BM4" s="3">
        <f t="shared" si="5"/>
        <v>6</v>
      </c>
      <c r="BN4" s="3">
        <f t="shared" si="5"/>
        <v>7</v>
      </c>
      <c r="BO4" s="3">
        <f t="shared" si="5"/>
        <v>8</v>
      </c>
      <c r="BP4" s="3">
        <f t="shared" si="5"/>
        <v>9</v>
      </c>
      <c r="BQ4" s="3">
        <f t="shared" si="5"/>
        <v>10</v>
      </c>
      <c r="BR4" s="3">
        <f t="shared" si="5"/>
        <v>11</v>
      </c>
      <c r="BS4" s="3">
        <f t="shared" si="5"/>
        <v>12</v>
      </c>
      <c r="BT4" s="4" t="s">
        <v>5</v>
      </c>
      <c r="BV4" s="3">
        <v>1.0</v>
      </c>
      <c r="BW4" s="3">
        <f t="shared" ref="BW4:CF4" si="6">+BV4+1</f>
        <v>2</v>
      </c>
      <c r="BX4" s="3">
        <f t="shared" si="6"/>
        <v>3</v>
      </c>
      <c r="BY4" s="3">
        <f t="shared" si="6"/>
        <v>4</v>
      </c>
      <c r="BZ4" s="3">
        <f t="shared" si="6"/>
        <v>5</v>
      </c>
      <c r="CA4" s="3">
        <f t="shared" si="6"/>
        <v>6</v>
      </c>
      <c r="CB4" s="3">
        <f t="shared" si="6"/>
        <v>7</v>
      </c>
      <c r="CC4" s="3">
        <f t="shared" si="6"/>
        <v>8</v>
      </c>
      <c r="CD4" s="3">
        <f t="shared" si="6"/>
        <v>9</v>
      </c>
      <c r="CE4" s="3">
        <f t="shared" si="6"/>
        <v>10</v>
      </c>
      <c r="CF4" s="3">
        <f t="shared" si="6"/>
        <v>11</v>
      </c>
      <c r="CG4" s="3">
        <f>+CE4+1</f>
        <v>11</v>
      </c>
      <c r="CH4" s="4" t="s">
        <v>5</v>
      </c>
    </row>
    <row r="5" ht="20.25" customHeight="1">
      <c r="B5" s="2" t="s">
        <v>6</v>
      </c>
      <c r="C5" s="2"/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9</v>
      </c>
      <c r="K5" s="3" t="s">
        <v>9</v>
      </c>
      <c r="L5" s="3" t="s">
        <v>9</v>
      </c>
      <c r="M5" s="3" t="s">
        <v>10</v>
      </c>
      <c r="N5" s="3" t="s">
        <v>10</v>
      </c>
      <c r="O5" s="3" t="s">
        <v>10</v>
      </c>
      <c r="P5" s="4"/>
      <c r="R5" s="3" t="s">
        <v>7</v>
      </c>
      <c r="S5" s="3" t="s">
        <v>7</v>
      </c>
      <c r="T5" s="3" t="s">
        <v>7</v>
      </c>
      <c r="U5" s="3" t="s">
        <v>8</v>
      </c>
      <c r="V5" s="3" t="s">
        <v>8</v>
      </c>
      <c r="W5" s="3" t="s">
        <v>8</v>
      </c>
      <c r="X5" s="3" t="s">
        <v>9</v>
      </c>
      <c r="Y5" s="3" t="s">
        <v>9</v>
      </c>
      <c r="Z5" s="3" t="s">
        <v>9</v>
      </c>
      <c r="AA5" s="3" t="s">
        <v>10</v>
      </c>
      <c r="AB5" s="3" t="s">
        <v>10</v>
      </c>
      <c r="AC5" s="3" t="s">
        <v>10</v>
      </c>
      <c r="AD5" s="4"/>
      <c r="AF5" s="3" t="s">
        <v>7</v>
      </c>
      <c r="AG5" s="3" t="s">
        <v>7</v>
      </c>
      <c r="AH5" s="3" t="s">
        <v>7</v>
      </c>
      <c r="AI5" s="3" t="s">
        <v>8</v>
      </c>
      <c r="AJ5" s="3" t="s">
        <v>8</v>
      </c>
      <c r="AK5" s="3" t="s">
        <v>8</v>
      </c>
      <c r="AL5" s="3" t="s">
        <v>9</v>
      </c>
      <c r="AM5" s="3" t="s">
        <v>9</v>
      </c>
      <c r="AN5" s="3" t="s">
        <v>9</v>
      </c>
      <c r="AO5" s="3" t="s">
        <v>10</v>
      </c>
      <c r="AP5" s="3" t="s">
        <v>10</v>
      </c>
      <c r="AQ5" s="3" t="s">
        <v>10</v>
      </c>
      <c r="AR5" s="4"/>
      <c r="AT5" s="3" t="s">
        <v>7</v>
      </c>
      <c r="AU5" s="3" t="s">
        <v>7</v>
      </c>
      <c r="AV5" s="3" t="s">
        <v>7</v>
      </c>
      <c r="AW5" s="3" t="s">
        <v>8</v>
      </c>
      <c r="AX5" s="3" t="s">
        <v>8</v>
      </c>
      <c r="AY5" s="3" t="s">
        <v>8</v>
      </c>
      <c r="AZ5" s="3" t="s">
        <v>9</v>
      </c>
      <c r="BA5" s="3" t="s">
        <v>9</v>
      </c>
      <c r="BB5" s="3" t="s">
        <v>9</v>
      </c>
      <c r="BC5" s="3" t="s">
        <v>10</v>
      </c>
      <c r="BD5" s="3" t="s">
        <v>10</v>
      </c>
      <c r="BE5" s="3" t="s">
        <v>10</v>
      </c>
      <c r="BF5" s="4"/>
      <c r="BH5" s="3" t="s">
        <v>7</v>
      </c>
      <c r="BI5" s="3" t="s">
        <v>7</v>
      </c>
      <c r="BJ5" s="3" t="s">
        <v>7</v>
      </c>
      <c r="BK5" s="3" t="s">
        <v>8</v>
      </c>
      <c r="BL5" s="3" t="s">
        <v>8</v>
      </c>
      <c r="BM5" s="3" t="s">
        <v>8</v>
      </c>
      <c r="BN5" s="3" t="s">
        <v>9</v>
      </c>
      <c r="BO5" s="3" t="s">
        <v>9</v>
      </c>
      <c r="BP5" s="3" t="s">
        <v>9</v>
      </c>
      <c r="BQ5" s="3" t="s">
        <v>10</v>
      </c>
      <c r="BR5" s="3" t="s">
        <v>10</v>
      </c>
      <c r="BS5" s="3" t="s">
        <v>10</v>
      </c>
      <c r="BT5" s="4"/>
      <c r="BV5" s="3" t="s">
        <v>7</v>
      </c>
      <c r="BW5" s="3" t="s">
        <v>7</v>
      </c>
      <c r="BX5" s="3" t="s">
        <v>7</v>
      </c>
      <c r="BY5" s="3" t="s">
        <v>8</v>
      </c>
      <c r="BZ5" s="3" t="s">
        <v>8</v>
      </c>
      <c r="CA5" s="3" t="s">
        <v>8</v>
      </c>
      <c r="CB5" s="3" t="s">
        <v>9</v>
      </c>
      <c r="CC5" s="3" t="s">
        <v>9</v>
      </c>
      <c r="CD5" s="3" t="s">
        <v>9</v>
      </c>
      <c r="CE5" s="3" t="s">
        <v>10</v>
      </c>
      <c r="CF5" s="3" t="s">
        <v>10</v>
      </c>
      <c r="CG5" s="3" t="s">
        <v>10</v>
      </c>
      <c r="CH5" s="4"/>
    </row>
    <row r="6" ht="20.25" customHeight="1">
      <c r="B6" s="2" t="s">
        <v>11</v>
      </c>
      <c r="C6" s="2"/>
      <c r="D6" s="3">
        <f>+IF(D4&lt;=MONTH,1,0)</f>
        <v>1</v>
      </c>
      <c r="E6" s="3">
        <f>+IF(E4&lt;=MONTH,1,0)</f>
        <v>1</v>
      </c>
      <c r="F6" s="3">
        <f>+IF(F4&lt;=MONTH,1,0)</f>
        <v>1</v>
      </c>
      <c r="G6" s="3">
        <f>+IF(G4&lt;=MONTH,1,0)</f>
        <v>1</v>
      </c>
      <c r="H6" s="3">
        <f>+IF(H4&lt;=MONTH,1,0)</f>
        <v>1</v>
      </c>
      <c r="I6" s="3">
        <f>+IF(I4&lt;=MONTH,1,0)</f>
        <v>1</v>
      </c>
      <c r="J6" s="3">
        <f>+IF(J4&lt;=MONTH,1,0)</f>
        <v>1</v>
      </c>
      <c r="K6" s="3">
        <f>+IF(K4&lt;=MONTH,1,0)</f>
        <v>1</v>
      </c>
      <c r="L6" s="3">
        <f>+IF(L4&lt;=MONTH,1,0)</f>
        <v>1</v>
      </c>
      <c r="M6" s="3">
        <f>+IF(M4&lt;=MONTH,1,0)</f>
        <v>1</v>
      </c>
      <c r="N6" s="3">
        <f>+IF(N4&lt;=MONTH,1,0)</f>
        <v>1</v>
      </c>
      <c r="O6" s="3">
        <f>+IF(O4&lt;=MONTH,1,0)</f>
        <v>1</v>
      </c>
      <c r="P6" s="4"/>
      <c r="R6" s="3">
        <f>+IF(R4&lt;=MONTH,1,0)</f>
        <v>1</v>
      </c>
      <c r="S6" s="3">
        <f>+IF(S4&lt;=MONTH,1,0)</f>
        <v>1</v>
      </c>
      <c r="T6" s="3">
        <f>+IF(T4&lt;=MONTH,1,0)</f>
        <v>1</v>
      </c>
      <c r="U6" s="3">
        <f>+IF(U4&lt;=MONTH,1,0)</f>
        <v>1</v>
      </c>
      <c r="V6" s="3">
        <f>+IF(V4&lt;=MONTH,1,0)</f>
        <v>1</v>
      </c>
      <c r="W6" s="3">
        <f>+IF(W4&lt;=MONTH,1,0)</f>
        <v>1</v>
      </c>
      <c r="X6" s="3">
        <f>+IF(X4&lt;=MONTH,1,0)</f>
        <v>1</v>
      </c>
      <c r="Y6" s="3">
        <f>+IF(Y4&lt;=MONTH,1,0)</f>
        <v>1</v>
      </c>
      <c r="Z6" s="3">
        <f>+IF(Z4&lt;=MONTH,1,0)</f>
        <v>1</v>
      </c>
      <c r="AA6" s="3">
        <f>+IF(AA4&lt;=MONTH,1,0)</f>
        <v>1</v>
      </c>
      <c r="AB6" s="3">
        <f>+IF(AB4&lt;=MONTH,1,0)</f>
        <v>1</v>
      </c>
      <c r="AC6" s="3">
        <f>+IF(AC4&lt;=MONTH,1,0)</f>
        <v>1</v>
      </c>
      <c r="AD6" s="4"/>
      <c r="AF6" s="3">
        <f>+IF(AF4&lt;=MONTH,1,0)</f>
        <v>1</v>
      </c>
      <c r="AG6" s="3">
        <f>+IF(AG4&lt;=MONTH,1,0)</f>
        <v>1</v>
      </c>
      <c r="AH6" s="3">
        <f>+IF(AH4&lt;=MONTH,1,0)</f>
        <v>1</v>
      </c>
      <c r="AI6" s="3">
        <f>+IF(AI4&lt;=MONTH,1,0)</f>
        <v>1</v>
      </c>
      <c r="AJ6" s="3">
        <f>+IF(AJ4&lt;=MONTH,1,0)</f>
        <v>1</v>
      </c>
      <c r="AK6" s="3">
        <f>+IF(AK4&lt;=MONTH,1,0)</f>
        <v>1</v>
      </c>
      <c r="AL6" s="3">
        <f>+IF(AL4&lt;=MONTH,1,0)</f>
        <v>1</v>
      </c>
      <c r="AM6" s="3">
        <f>+IF(AM4&lt;=MONTH,1,0)</f>
        <v>1</v>
      </c>
      <c r="AN6" s="3">
        <f>+IF(AN4&lt;=MONTH,1,0)</f>
        <v>1</v>
      </c>
      <c r="AO6" s="3">
        <f>+IF(AO4&lt;=MONTH,1,0)</f>
        <v>1</v>
      </c>
      <c r="AP6" s="3">
        <f>+IF(AP4&lt;=MONTH,1,0)</f>
        <v>1</v>
      </c>
      <c r="AQ6" s="3">
        <f>+IF(AQ4&lt;=MONTH,1,0)</f>
        <v>1</v>
      </c>
      <c r="AR6" s="4"/>
      <c r="AT6" s="3">
        <f>+IF(AT4&lt;=MONTH,1,0)</f>
        <v>1</v>
      </c>
      <c r="AU6" s="3">
        <f>+IF(AU4&lt;=MONTH,1,0)</f>
        <v>1</v>
      </c>
      <c r="AV6" s="3">
        <f>+IF(AV4&lt;=MONTH,1,0)</f>
        <v>1</v>
      </c>
      <c r="AW6" s="3">
        <f>+IF(AW4&lt;=MONTH,1,0)</f>
        <v>1</v>
      </c>
      <c r="AX6" s="3">
        <f>+IF(AX4&lt;=MONTH,1,0)</f>
        <v>1</v>
      </c>
      <c r="AY6" s="3">
        <f>+IF(AY4&lt;=MONTH,1,0)</f>
        <v>1</v>
      </c>
      <c r="AZ6" s="3">
        <f>+IF(AZ4&lt;=MONTH,1,0)</f>
        <v>1</v>
      </c>
      <c r="BA6" s="3">
        <f>+IF(BA4&lt;=MONTH,1,0)</f>
        <v>1</v>
      </c>
      <c r="BB6" s="3">
        <f>+IF(BB4&lt;=MONTH,1,0)</f>
        <v>1</v>
      </c>
      <c r="BC6" s="3">
        <f>+IF(BC4&lt;=MONTH,1,0)</f>
        <v>1</v>
      </c>
      <c r="BD6" s="3">
        <f>+IF(BD4&lt;=MONTH,1,0)</f>
        <v>1</v>
      </c>
      <c r="BE6" s="3">
        <f>+IF(BE4&lt;=MONTH,1,0)</f>
        <v>1</v>
      </c>
      <c r="BF6" s="4"/>
      <c r="BH6" s="3">
        <f>+IF(BH4&lt;=MONTH,1,0)</f>
        <v>1</v>
      </c>
      <c r="BI6" s="3">
        <f>+IF(BI4&lt;=MONTH,1,0)</f>
        <v>1</v>
      </c>
      <c r="BJ6" s="3">
        <f>+IF(BJ4&lt;=MONTH,1,0)</f>
        <v>1</v>
      </c>
      <c r="BK6" s="3">
        <f>+IF(BK4&lt;=MONTH,1,0)</f>
        <v>1</v>
      </c>
      <c r="BL6" s="3">
        <f>+IF(BL4&lt;=MONTH,1,0)</f>
        <v>1</v>
      </c>
      <c r="BM6" s="3">
        <f>+IF(BM4&lt;=MONTH,1,0)</f>
        <v>1</v>
      </c>
      <c r="BN6" s="3">
        <f>+IF(BN4&lt;=MONTH,1,0)</f>
        <v>1</v>
      </c>
      <c r="BO6" s="3">
        <f>+IF(BO4&lt;=MONTH,1,0)</f>
        <v>1</v>
      </c>
      <c r="BP6" s="3">
        <f>+IF(BP4&lt;=MONTH,1,0)</f>
        <v>1</v>
      </c>
      <c r="BQ6" s="3">
        <f>+IF(BQ4&lt;=MONTH,1,0)</f>
        <v>1</v>
      </c>
      <c r="BR6" s="3">
        <f>+IF(BR4&lt;=MONTH,1,0)</f>
        <v>1</v>
      </c>
      <c r="BS6" s="3">
        <f>+IF(BS4&lt;=MONTH,1,0)</f>
        <v>1</v>
      </c>
      <c r="BT6" s="4"/>
      <c r="BV6" s="3">
        <f>+IF(BV4&lt;=MONTH,1,0)</f>
        <v>1</v>
      </c>
      <c r="BW6" s="3">
        <f>+IF(BW4&lt;=MONTH,1,0)</f>
        <v>1</v>
      </c>
      <c r="BX6" s="3">
        <f>+IF(BX4&lt;=MONTH,1,0)</f>
        <v>1</v>
      </c>
      <c r="BY6" s="3">
        <f>+IF(BY4&lt;=MONTH,1,0)</f>
        <v>1</v>
      </c>
      <c r="BZ6" s="3">
        <f>+IF(BZ4&lt;=MONTH,1,0)</f>
        <v>1</v>
      </c>
      <c r="CA6" s="3">
        <f>+IF(CA4&lt;=MONTH,1,0)</f>
        <v>1</v>
      </c>
      <c r="CB6" s="3">
        <f>+IF(CB4&lt;=MONTH,1,0)</f>
        <v>1</v>
      </c>
      <c r="CC6" s="3">
        <f>+IF(CC4&lt;=MONTH,1,0)</f>
        <v>1</v>
      </c>
      <c r="CD6" s="3">
        <f>+IF(CD4&lt;=MONTH,1,0)</f>
        <v>1</v>
      </c>
      <c r="CE6" s="3">
        <f>+IF(CE4&lt;=MONTH,1,0)</f>
        <v>1</v>
      </c>
      <c r="CF6" s="3">
        <f>+IF(CF4&lt;=MONTH,1,0)</f>
        <v>1</v>
      </c>
      <c r="CG6" s="3">
        <f>+IF(CG4&lt;=MONTH,1,0)</f>
        <v>1</v>
      </c>
      <c r="CH6" s="4"/>
    </row>
    <row r="7" ht="31.5" customHeight="1">
      <c r="P7" s="6"/>
      <c r="R7" s="65">
        <f>IND_YEAR_1</f>
        <v>0.056</v>
      </c>
      <c r="S7" s="65" t="s">
        <v>65</v>
      </c>
      <c r="AD7" s="6"/>
      <c r="AF7" s="65">
        <f>IND_YEAR_2</f>
        <v>0.051</v>
      </c>
      <c r="AG7" s="65" t="s">
        <v>65</v>
      </c>
      <c r="AR7" s="6"/>
      <c r="AT7" s="65">
        <f>IND_YEAR_3</f>
        <v>0.036</v>
      </c>
      <c r="AU7" s="65" t="s">
        <v>65</v>
      </c>
      <c r="BF7" s="6"/>
      <c r="BH7" s="65">
        <f>IND_YEAR_4</f>
        <v>0.035</v>
      </c>
      <c r="BI7" s="65" t="s">
        <v>65</v>
      </c>
      <c r="BT7" s="6"/>
      <c r="BV7" s="65">
        <f>IND_YEAR_4</f>
        <v>0.035</v>
      </c>
      <c r="BW7" s="65" t="s">
        <v>65</v>
      </c>
      <c r="CH7" s="6"/>
    </row>
    <row r="8" ht="13.5" customHeight="1">
      <c r="A8" s="62"/>
      <c r="B8" s="20" t="s">
        <v>66</v>
      </c>
      <c r="C8" s="20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9"/>
      <c r="Q8" s="66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9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9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9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9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9"/>
      <c r="CI8" s="62"/>
    </row>
    <row r="9" ht="13.5" customHeight="1">
      <c r="P9" s="6"/>
      <c r="AD9" s="6"/>
      <c r="AR9" s="6"/>
      <c r="BF9" s="6"/>
      <c r="BT9" s="6"/>
      <c r="CH9" s="6"/>
    </row>
    <row r="10" ht="21.75" customHeight="1">
      <c r="A10" s="68"/>
      <c r="B10" s="68"/>
      <c r="C10" s="68"/>
      <c r="D10" s="22">
        <f t="shared" ref="D10:P10" si="7">+D2</f>
        <v>2025</v>
      </c>
      <c r="E10" s="22">
        <f t="shared" si="7"/>
        <v>2025</v>
      </c>
      <c r="F10" s="22">
        <f t="shared" si="7"/>
        <v>2025</v>
      </c>
      <c r="G10" s="22">
        <f t="shared" si="7"/>
        <v>2025</v>
      </c>
      <c r="H10" s="22">
        <f t="shared" si="7"/>
        <v>2025</v>
      </c>
      <c r="I10" s="22">
        <f t="shared" si="7"/>
        <v>2025</v>
      </c>
      <c r="J10" s="22">
        <f t="shared" si="7"/>
        <v>2025</v>
      </c>
      <c r="K10" s="22">
        <f t="shared" si="7"/>
        <v>2025</v>
      </c>
      <c r="L10" s="22">
        <f t="shared" si="7"/>
        <v>2025</v>
      </c>
      <c r="M10" s="22">
        <f t="shared" si="7"/>
        <v>2025</v>
      </c>
      <c r="N10" s="22">
        <f t="shared" si="7"/>
        <v>2025</v>
      </c>
      <c r="O10" s="22">
        <f t="shared" si="7"/>
        <v>2025</v>
      </c>
      <c r="P10" s="21">
        <f t="shared" si="7"/>
        <v>2025</v>
      </c>
      <c r="Q10" s="68"/>
      <c r="R10" s="22">
        <f t="shared" ref="R10:AD10" si="8">+R2</f>
        <v>2026</v>
      </c>
      <c r="S10" s="22">
        <f t="shared" si="8"/>
        <v>2026</v>
      </c>
      <c r="T10" s="22">
        <f t="shared" si="8"/>
        <v>2026</v>
      </c>
      <c r="U10" s="22">
        <f t="shared" si="8"/>
        <v>2026</v>
      </c>
      <c r="V10" s="22">
        <f t="shared" si="8"/>
        <v>2026</v>
      </c>
      <c r="W10" s="22">
        <f t="shared" si="8"/>
        <v>2026</v>
      </c>
      <c r="X10" s="22">
        <f t="shared" si="8"/>
        <v>2026</v>
      </c>
      <c r="Y10" s="22">
        <f t="shared" si="8"/>
        <v>2026</v>
      </c>
      <c r="Z10" s="22">
        <f t="shared" si="8"/>
        <v>2026</v>
      </c>
      <c r="AA10" s="22">
        <f t="shared" si="8"/>
        <v>2026</v>
      </c>
      <c r="AB10" s="22">
        <f t="shared" si="8"/>
        <v>2026</v>
      </c>
      <c r="AC10" s="22">
        <f t="shared" si="8"/>
        <v>2026</v>
      </c>
      <c r="AD10" s="21">
        <f t="shared" si="8"/>
        <v>2026</v>
      </c>
      <c r="AE10" s="68"/>
      <c r="AF10" s="22">
        <f t="shared" ref="AF10:AR10" si="9">+AF2</f>
        <v>2027</v>
      </c>
      <c r="AG10" s="22">
        <f t="shared" si="9"/>
        <v>2027</v>
      </c>
      <c r="AH10" s="22">
        <f t="shared" si="9"/>
        <v>2027</v>
      </c>
      <c r="AI10" s="22">
        <f t="shared" si="9"/>
        <v>2027</v>
      </c>
      <c r="AJ10" s="22">
        <f t="shared" si="9"/>
        <v>2027</v>
      </c>
      <c r="AK10" s="22">
        <f t="shared" si="9"/>
        <v>2027</v>
      </c>
      <c r="AL10" s="22">
        <f t="shared" si="9"/>
        <v>2027</v>
      </c>
      <c r="AM10" s="22">
        <f t="shared" si="9"/>
        <v>2027</v>
      </c>
      <c r="AN10" s="22">
        <f t="shared" si="9"/>
        <v>2027</v>
      </c>
      <c r="AO10" s="22">
        <f t="shared" si="9"/>
        <v>2027</v>
      </c>
      <c r="AP10" s="22">
        <f t="shared" si="9"/>
        <v>2027</v>
      </c>
      <c r="AQ10" s="22">
        <f t="shared" si="9"/>
        <v>2027</v>
      </c>
      <c r="AR10" s="21">
        <f t="shared" si="9"/>
        <v>2027</v>
      </c>
      <c r="AS10" s="68"/>
      <c r="AT10" s="22">
        <f t="shared" ref="AT10:BF10" si="10">+AT2</f>
        <v>2028</v>
      </c>
      <c r="AU10" s="22">
        <f t="shared" si="10"/>
        <v>2028</v>
      </c>
      <c r="AV10" s="22">
        <f t="shared" si="10"/>
        <v>2028</v>
      </c>
      <c r="AW10" s="22">
        <f t="shared" si="10"/>
        <v>2028</v>
      </c>
      <c r="AX10" s="22">
        <f t="shared" si="10"/>
        <v>2028</v>
      </c>
      <c r="AY10" s="22">
        <f t="shared" si="10"/>
        <v>2028</v>
      </c>
      <c r="AZ10" s="22">
        <f t="shared" si="10"/>
        <v>2028</v>
      </c>
      <c r="BA10" s="22">
        <f t="shared" si="10"/>
        <v>2028</v>
      </c>
      <c r="BB10" s="22">
        <f t="shared" si="10"/>
        <v>2028</v>
      </c>
      <c r="BC10" s="22">
        <f t="shared" si="10"/>
        <v>2028</v>
      </c>
      <c r="BD10" s="22">
        <f t="shared" si="10"/>
        <v>2028</v>
      </c>
      <c r="BE10" s="22">
        <f t="shared" si="10"/>
        <v>2028</v>
      </c>
      <c r="BF10" s="21">
        <f t="shared" si="10"/>
        <v>2028</v>
      </c>
      <c r="BG10" s="68"/>
      <c r="BH10" s="22">
        <f t="shared" ref="BH10:BT10" si="11">+BH2</f>
        <v>2029</v>
      </c>
      <c r="BI10" s="22">
        <f t="shared" si="11"/>
        <v>2029</v>
      </c>
      <c r="BJ10" s="22">
        <f t="shared" si="11"/>
        <v>2029</v>
      </c>
      <c r="BK10" s="22">
        <f t="shared" si="11"/>
        <v>2029</v>
      </c>
      <c r="BL10" s="22">
        <f t="shared" si="11"/>
        <v>2029</v>
      </c>
      <c r="BM10" s="22">
        <f t="shared" si="11"/>
        <v>2029</v>
      </c>
      <c r="BN10" s="22">
        <f t="shared" si="11"/>
        <v>2029</v>
      </c>
      <c r="BO10" s="22">
        <f t="shared" si="11"/>
        <v>2029</v>
      </c>
      <c r="BP10" s="22">
        <f t="shared" si="11"/>
        <v>2029</v>
      </c>
      <c r="BQ10" s="22">
        <f t="shared" si="11"/>
        <v>2029</v>
      </c>
      <c r="BR10" s="22">
        <f t="shared" si="11"/>
        <v>2029</v>
      </c>
      <c r="BS10" s="22">
        <f t="shared" si="11"/>
        <v>2029</v>
      </c>
      <c r="BT10" s="21">
        <f t="shared" si="11"/>
        <v>2029</v>
      </c>
      <c r="BU10" s="68"/>
      <c r="BV10" s="22">
        <f t="shared" ref="BV10:CH10" si="12">+BV2</f>
        <v>2030</v>
      </c>
      <c r="BW10" s="22">
        <f t="shared" si="12"/>
        <v>2030</v>
      </c>
      <c r="BX10" s="22">
        <f t="shared" si="12"/>
        <v>2030</v>
      </c>
      <c r="BY10" s="22">
        <f t="shared" si="12"/>
        <v>2030</v>
      </c>
      <c r="BZ10" s="22">
        <f t="shared" si="12"/>
        <v>2030</v>
      </c>
      <c r="CA10" s="22">
        <f t="shared" si="12"/>
        <v>2030</v>
      </c>
      <c r="CB10" s="22">
        <f t="shared" si="12"/>
        <v>2030</v>
      </c>
      <c r="CC10" s="22">
        <f t="shared" si="12"/>
        <v>2030</v>
      </c>
      <c r="CD10" s="22">
        <f t="shared" si="12"/>
        <v>2030</v>
      </c>
      <c r="CE10" s="22">
        <f t="shared" si="12"/>
        <v>2030</v>
      </c>
      <c r="CF10" s="22">
        <f t="shared" si="12"/>
        <v>2030</v>
      </c>
      <c r="CG10" s="22">
        <f t="shared" si="12"/>
        <v>2030</v>
      </c>
      <c r="CH10" s="21">
        <f t="shared" si="12"/>
        <v>2030</v>
      </c>
      <c r="CI10" s="68"/>
    </row>
    <row r="11" ht="21.75" customHeight="1">
      <c r="A11" s="68"/>
      <c r="B11" s="68"/>
      <c r="C11" s="68"/>
      <c r="D11" s="22" t="s">
        <v>14</v>
      </c>
      <c r="E11" s="22" t="s">
        <v>15</v>
      </c>
      <c r="F11" s="22" t="s">
        <v>16</v>
      </c>
      <c r="G11" s="22" t="s">
        <v>17</v>
      </c>
      <c r="H11" s="22" t="s">
        <v>18</v>
      </c>
      <c r="I11" s="22" t="s">
        <v>19</v>
      </c>
      <c r="J11" s="22" t="s">
        <v>20</v>
      </c>
      <c r="K11" s="22" t="s">
        <v>21</v>
      </c>
      <c r="L11" s="22" t="s">
        <v>22</v>
      </c>
      <c r="M11" s="22" t="s">
        <v>23</v>
      </c>
      <c r="N11" s="22" t="s">
        <v>24</v>
      </c>
      <c r="O11" s="22" t="s">
        <v>25</v>
      </c>
      <c r="P11" s="21" t="s">
        <v>5</v>
      </c>
      <c r="Q11" s="68"/>
      <c r="R11" s="22" t="s">
        <v>14</v>
      </c>
      <c r="S11" s="22" t="s">
        <v>15</v>
      </c>
      <c r="T11" s="22" t="s">
        <v>16</v>
      </c>
      <c r="U11" s="22" t="s">
        <v>17</v>
      </c>
      <c r="V11" s="22" t="s">
        <v>18</v>
      </c>
      <c r="W11" s="22" t="s">
        <v>19</v>
      </c>
      <c r="X11" s="22" t="s">
        <v>20</v>
      </c>
      <c r="Y11" s="22" t="s">
        <v>21</v>
      </c>
      <c r="Z11" s="22" t="s">
        <v>22</v>
      </c>
      <c r="AA11" s="22" t="s">
        <v>23</v>
      </c>
      <c r="AB11" s="22" t="s">
        <v>24</v>
      </c>
      <c r="AC11" s="22" t="s">
        <v>25</v>
      </c>
      <c r="AD11" s="21" t="s">
        <v>5</v>
      </c>
      <c r="AE11" s="68"/>
      <c r="AF11" s="22" t="s">
        <v>14</v>
      </c>
      <c r="AG11" s="22" t="s">
        <v>15</v>
      </c>
      <c r="AH11" s="22" t="s">
        <v>16</v>
      </c>
      <c r="AI11" s="22" t="s">
        <v>17</v>
      </c>
      <c r="AJ11" s="22" t="s">
        <v>18</v>
      </c>
      <c r="AK11" s="22" t="s">
        <v>19</v>
      </c>
      <c r="AL11" s="22" t="s">
        <v>20</v>
      </c>
      <c r="AM11" s="22" t="s">
        <v>21</v>
      </c>
      <c r="AN11" s="22" t="s">
        <v>22</v>
      </c>
      <c r="AO11" s="22" t="s">
        <v>23</v>
      </c>
      <c r="AP11" s="22" t="s">
        <v>24</v>
      </c>
      <c r="AQ11" s="22" t="s">
        <v>25</v>
      </c>
      <c r="AR11" s="21" t="s">
        <v>5</v>
      </c>
      <c r="AS11" s="68"/>
      <c r="AT11" s="22" t="s">
        <v>14</v>
      </c>
      <c r="AU11" s="22" t="s">
        <v>15</v>
      </c>
      <c r="AV11" s="22" t="s">
        <v>16</v>
      </c>
      <c r="AW11" s="22" t="s">
        <v>17</v>
      </c>
      <c r="AX11" s="22" t="s">
        <v>18</v>
      </c>
      <c r="AY11" s="22" t="s">
        <v>19</v>
      </c>
      <c r="AZ11" s="22" t="s">
        <v>20</v>
      </c>
      <c r="BA11" s="22" t="s">
        <v>21</v>
      </c>
      <c r="BB11" s="22" t="s">
        <v>22</v>
      </c>
      <c r="BC11" s="22" t="s">
        <v>23</v>
      </c>
      <c r="BD11" s="22" t="s">
        <v>24</v>
      </c>
      <c r="BE11" s="22" t="s">
        <v>25</v>
      </c>
      <c r="BF11" s="21" t="s">
        <v>5</v>
      </c>
      <c r="BG11" s="68"/>
      <c r="BH11" s="22" t="s">
        <v>14</v>
      </c>
      <c r="BI11" s="22" t="s">
        <v>15</v>
      </c>
      <c r="BJ11" s="22" t="s">
        <v>16</v>
      </c>
      <c r="BK11" s="22" t="s">
        <v>17</v>
      </c>
      <c r="BL11" s="22" t="s">
        <v>18</v>
      </c>
      <c r="BM11" s="22" t="s">
        <v>19</v>
      </c>
      <c r="BN11" s="22" t="s">
        <v>20</v>
      </c>
      <c r="BO11" s="22" t="s">
        <v>21</v>
      </c>
      <c r="BP11" s="22" t="s">
        <v>22</v>
      </c>
      <c r="BQ11" s="22" t="s">
        <v>23</v>
      </c>
      <c r="BR11" s="22" t="s">
        <v>24</v>
      </c>
      <c r="BS11" s="22" t="s">
        <v>25</v>
      </c>
      <c r="BT11" s="21" t="s">
        <v>5</v>
      </c>
      <c r="BU11" s="68"/>
      <c r="BV11" s="22" t="s">
        <v>14</v>
      </c>
      <c r="BW11" s="22" t="s">
        <v>15</v>
      </c>
      <c r="BX11" s="22" t="s">
        <v>16</v>
      </c>
      <c r="BY11" s="22" t="s">
        <v>17</v>
      </c>
      <c r="BZ11" s="22" t="s">
        <v>18</v>
      </c>
      <c r="CA11" s="22" t="s">
        <v>19</v>
      </c>
      <c r="CB11" s="22" t="s">
        <v>20</v>
      </c>
      <c r="CC11" s="22" t="s">
        <v>21</v>
      </c>
      <c r="CD11" s="22" t="s">
        <v>22</v>
      </c>
      <c r="CE11" s="22" t="s">
        <v>23</v>
      </c>
      <c r="CF11" s="22" t="s">
        <v>24</v>
      </c>
      <c r="CG11" s="22" t="s">
        <v>25</v>
      </c>
      <c r="CH11" s="21" t="s">
        <v>5</v>
      </c>
      <c r="CI11" s="68"/>
    </row>
    <row r="12" ht="19.5" customHeight="1">
      <c r="A12" s="68"/>
      <c r="B12" s="69" t="s">
        <v>116</v>
      </c>
      <c r="C12" s="69" t="s">
        <v>117</v>
      </c>
      <c r="D12" s="72">
        <v>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2">
        <v>250.0</v>
      </c>
      <c r="K12" s="72">
        <v>0.0</v>
      </c>
      <c r="L12" s="72">
        <v>0.0</v>
      </c>
      <c r="M12" s="72">
        <v>0.0</v>
      </c>
      <c r="N12" s="72">
        <v>0.0</v>
      </c>
      <c r="O12" s="72">
        <v>0.0</v>
      </c>
      <c r="P12" s="71">
        <f t="shared" ref="P12:P19" si="18">SUM(D12:O12)</f>
        <v>250</v>
      </c>
      <c r="Q12" s="68"/>
      <c r="R12" s="72">
        <f t="shared" ref="R12:AC12" si="13">D12*(1+$R$7)</f>
        <v>0</v>
      </c>
      <c r="S12" s="72">
        <f t="shared" si="13"/>
        <v>0</v>
      </c>
      <c r="T12" s="72">
        <f t="shared" si="13"/>
        <v>0</v>
      </c>
      <c r="U12" s="72">
        <f t="shared" si="13"/>
        <v>0</v>
      </c>
      <c r="V12" s="72">
        <f t="shared" si="13"/>
        <v>0</v>
      </c>
      <c r="W12" s="72">
        <f t="shared" si="13"/>
        <v>0</v>
      </c>
      <c r="X12" s="72">
        <f t="shared" si="13"/>
        <v>264</v>
      </c>
      <c r="Y12" s="72">
        <f t="shared" si="13"/>
        <v>0</v>
      </c>
      <c r="Z12" s="72">
        <f t="shared" si="13"/>
        <v>0</v>
      </c>
      <c r="AA12" s="72">
        <f t="shared" si="13"/>
        <v>0</v>
      </c>
      <c r="AB12" s="72">
        <f t="shared" si="13"/>
        <v>0</v>
      </c>
      <c r="AC12" s="72">
        <f t="shared" si="13"/>
        <v>0</v>
      </c>
      <c r="AD12" s="71">
        <f t="shared" ref="AD12:AD19" si="20">SUM(R12:AC12)</f>
        <v>264</v>
      </c>
      <c r="AE12" s="68"/>
      <c r="AF12" s="72">
        <f t="shared" ref="AF12:AQ12" si="14">R12*(1+$AF$7)</f>
        <v>0</v>
      </c>
      <c r="AG12" s="72">
        <f t="shared" si="14"/>
        <v>0</v>
      </c>
      <c r="AH12" s="72">
        <f t="shared" si="14"/>
        <v>0</v>
      </c>
      <c r="AI12" s="72">
        <f t="shared" si="14"/>
        <v>0</v>
      </c>
      <c r="AJ12" s="72">
        <f t="shared" si="14"/>
        <v>0</v>
      </c>
      <c r="AK12" s="72">
        <f t="shared" si="14"/>
        <v>0</v>
      </c>
      <c r="AL12" s="72">
        <f t="shared" si="14"/>
        <v>277.464</v>
      </c>
      <c r="AM12" s="72">
        <f t="shared" si="14"/>
        <v>0</v>
      </c>
      <c r="AN12" s="72">
        <f t="shared" si="14"/>
        <v>0</v>
      </c>
      <c r="AO12" s="72">
        <f t="shared" si="14"/>
        <v>0</v>
      </c>
      <c r="AP12" s="72">
        <f t="shared" si="14"/>
        <v>0</v>
      </c>
      <c r="AQ12" s="72">
        <f t="shared" si="14"/>
        <v>0</v>
      </c>
      <c r="AR12" s="71">
        <f t="shared" ref="AR12:AR19" si="22">SUM(AF12:AQ12)</f>
        <v>277.464</v>
      </c>
      <c r="AS12" s="73"/>
      <c r="AT12" s="72">
        <f t="shared" ref="AT12:BE12" si="15">AF12*(1+$AF$7)</f>
        <v>0</v>
      </c>
      <c r="AU12" s="72">
        <f t="shared" si="15"/>
        <v>0</v>
      </c>
      <c r="AV12" s="72">
        <f t="shared" si="15"/>
        <v>0</v>
      </c>
      <c r="AW12" s="72">
        <f t="shared" si="15"/>
        <v>0</v>
      </c>
      <c r="AX12" s="72">
        <f t="shared" si="15"/>
        <v>0</v>
      </c>
      <c r="AY12" s="72">
        <f t="shared" si="15"/>
        <v>0</v>
      </c>
      <c r="AZ12" s="72">
        <f t="shared" si="15"/>
        <v>291.614664</v>
      </c>
      <c r="BA12" s="72">
        <f t="shared" si="15"/>
        <v>0</v>
      </c>
      <c r="BB12" s="72">
        <f t="shared" si="15"/>
        <v>0</v>
      </c>
      <c r="BC12" s="72">
        <f t="shared" si="15"/>
        <v>0</v>
      </c>
      <c r="BD12" s="72">
        <f t="shared" si="15"/>
        <v>0</v>
      </c>
      <c r="BE12" s="72">
        <f t="shared" si="15"/>
        <v>0</v>
      </c>
      <c r="BF12" s="71">
        <f t="shared" ref="BF12:BF19" si="24">SUM(AT12:BE12)</f>
        <v>291.614664</v>
      </c>
      <c r="BG12" s="73"/>
      <c r="BH12" s="72">
        <f t="shared" ref="BH12:BS12" si="16">AT12*(1+$AF$7)</f>
        <v>0</v>
      </c>
      <c r="BI12" s="72">
        <f t="shared" si="16"/>
        <v>0</v>
      </c>
      <c r="BJ12" s="72">
        <f t="shared" si="16"/>
        <v>0</v>
      </c>
      <c r="BK12" s="72">
        <f t="shared" si="16"/>
        <v>0</v>
      </c>
      <c r="BL12" s="72">
        <f t="shared" si="16"/>
        <v>0</v>
      </c>
      <c r="BM12" s="72">
        <f t="shared" si="16"/>
        <v>0</v>
      </c>
      <c r="BN12" s="72">
        <f t="shared" si="16"/>
        <v>306.4870119</v>
      </c>
      <c r="BO12" s="72">
        <f t="shared" si="16"/>
        <v>0</v>
      </c>
      <c r="BP12" s="72">
        <f t="shared" si="16"/>
        <v>0</v>
      </c>
      <c r="BQ12" s="72">
        <f t="shared" si="16"/>
        <v>0</v>
      </c>
      <c r="BR12" s="72">
        <f t="shared" si="16"/>
        <v>0</v>
      </c>
      <c r="BS12" s="72">
        <f t="shared" si="16"/>
        <v>0</v>
      </c>
      <c r="BT12" s="71">
        <f t="shared" ref="BT12:BT19" si="26">SUM(BH12:BS12)</f>
        <v>306.4870119</v>
      </c>
      <c r="BU12" s="73"/>
      <c r="BV12" s="72">
        <f t="shared" ref="BV12:CG12" si="17">BH12*(1+$AF$7)</f>
        <v>0</v>
      </c>
      <c r="BW12" s="72">
        <f t="shared" si="17"/>
        <v>0</v>
      </c>
      <c r="BX12" s="72">
        <f t="shared" si="17"/>
        <v>0</v>
      </c>
      <c r="BY12" s="72">
        <f t="shared" si="17"/>
        <v>0</v>
      </c>
      <c r="BZ12" s="72">
        <f t="shared" si="17"/>
        <v>0</v>
      </c>
      <c r="CA12" s="72">
        <f t="shared" si="17"/>
        <v>0</v>
      </c>
      <c r="CB12" s="72">
        <f t="shared" si="17"/>
        <v>322.1178495</v>
      </c>
      <c r="CC12" s="72">
        <f t="shared" si="17"/>
        <v>0</v>
      </c>
      <c r="CD12" s="72">
        <f t="shared" si="17"/>
        <v>0</v>
      </c>
      <c r="CE12" s="72">
        <f t="shared" si="17"/>
        <v>0</v>
      </c>
      <c r="CF12" s="72">
        <f t="shared" si="17"/>
        <v>0</v>
      </c>
      <c r="CG12" s="72">
        <f t="shared" si="17"/>
        <v>0</v>
      </c>
      <c r="CH12" s="71">
        <f t="shared" ref="CH12:CH19" si="28">SUM(BV12:CG12)</f>
        <v>322.1178495</v>
      </c>
      <c r="CI12" s="73"/>
    </row>
    <row r="13" ht="19.5" customHeight="1">
      <c r="A13" s="68"/>
      <c r="B13" s="69" t="s">
        <v>118</v>
      </c>
      <c r="C13" s="69" t="s">
        <v>119</v>
      </c>
      <c r="D13" s="72">
        <v>0.0</v>
      </c>
      <c r="E13" s="72">
        <v>0.0</v>
      </c>
      <c r="F13" s="72">
        <v>0.0</v>
      </c>
      <c r="G13" s="72">
        <v>0.0</v>
      </c>
      <c r="H13" s="72">
        <v>0.0</v>
      </c>
      <c r="I13" s="72">
        <v>0.0</v>
      </c>
      <c r="J13" s="72">
        <v>10000.0</v>
      </c>
      <c r="K13" s="72">
        <v>0.0</v>
      </c>
      <c r="L13" s="72">
        <v>0.0</v>
      </c>
      <c r="M13" s="72">
        <v>0.0</v>
      </c>
      <c r="N13" s="72">
        <v>0.0</v>
      </c>
      <c r="O13" s="72">
        <v>0.0</v>
      </c>
      <c r="P13" s="71">
        <f t="shared" si="18"/>
        <v>10000</v>
      </c>
      <c r="Q13" s="68"/>
      <c r="R13" s="72">
        <f>D13*(1+$R$7)</f>
        <v>0</v>
      </c>
      <c r="S13" s="72">
        <v>5000.0</v>
      </c>
      <c r="T13" s="72">
        <f t="shared" ref="T13:AC13" si="19">F13*(1+$R$7)</f>
        <v>0</v>
      </c>
      <c r="U13" s="72">
        <f t="shared" si="19"/>
        <v>0</v>
      </c>
      <c r="V13" s="72">
        <f t="shared" si="19"/>
        <v>0</v>
      </c>
      <c r="W13" s="72">
        <f t="shared" si="19"/>
        <v>0</v>
      </c>
      <c r="X13" s="72">
        <f t="shared" si="19"/>
        <v>10560</v>
      </c>
      <c r="Y13" s="72">
        <f t="shared" si="19"/>
        <v>0</v>
      </c>
      <c r="Z13" s="72">
        <f t="shared" si="19"/>
        <v>0</v>
      </c>
      <c r="AA13" s="72">
        <f t="shared" si="19"/>
        <v>0</v>
      </c>
      <c r="AB13" s="72">
        <f t="shared" si="19"/>
        <v>0</v>
      </c>
      <c r="AC13" s="72">
        <f t="shared" si="19"/>
        <v>0</v>
      </c>
      <c r="AD13" s="71">
        <f t="shared" si="20"/>
        <v>15560</v>
      </c>
      <c r="AE13" s="68"/>
      <c r="AF13" s="72">
        <f t="shared" ref="AF13:AQ13" si="21">R13*(1+$AF$7)</f>
        <v>0</v>
      </c>
      <c r="AG13" s="72">
        <f t="shared" si="21"/>
        <v>5255</v>
      </c>
      <c r="AH13" s="72">
        <f t="shared" si="21"/>
        <v>0</v>
      </c>
      <c r="AI13" s="72">
        <f t="shared" si="21"/>
        <v>0</v>
      </c>
      <c r="AJ13" s="72">
        <f t="shared" si="21"/>
        <v>0</v>
      </c>
      <c r="AK13" s="72">
        <f t="shared" si="21"/>
        <v>0</v>
      </c>
      <c r="AL13" s="72">
        <f t="shared" si="21"/>
        <v>11098.56</v>
      </c>
      <c r="AM13" s="72">
        <f t="shared" si="21"/>
        <v>0</v>
      </c>
      <c r="AN13" s="72">
        <f t="shared" si="21"/>
        <v>0</v>
      </c>
      <c r="AO13" s="72">
        <f t="shared" si="21"/>
        <v>0</v>
      </c>
      <c r="AP13" s="72">
        <f t="shared" si="21"/>
        <v>0</v>
      </c>
      <c r="AQ13" s="72">
        <f t="shared" si="21"/>
        <v>0</v>
      </c>
      <c r="AR13" s="71">
        <f t="shared" si="22"/>
        <v>16353.56</v>
      </c>
      <c r="AS13" s="73"/>
      <c r="AT13" s="72">
        <f t="shared" ref="AT13:BE13" si="23">AF13*(1+$AF$7)</f>
        <v>0</v>
      </c>
      <c r="AU13" s="72">
        <f t="shared" si="23"/>
        <v>5523.005</v>
      </c>
      <c r="AV13" s="72">
        <f t="shared" si="23"/>
        <v>0</v>
      </c>
      <c r="AW13" s="72">
        <f t="shared" si="23"/>
        <v>0</v>
      </c>
      <c r="AX13" s="72">
        <f t="shared" si="23"/>
        <v>0</v>
      </c>
      <c r="AY13" s="72">
        <f t="shared" si="23"/>
        <v>0</v>
      </c>
      <c r="AZ13" s="72">
        <f t="shared" si="23"/>
        <v>11664.58656</v>
      </c>
      <c r="BA13" s="72">
        <f t="shared" si="23"/>
        <v>0</v>
      </c>
      <c r="BB13" s="72">
        <f t="shared" si="23"/>
        <v>0</v>
      </c>
      <c r="BC13" s="72">
        <f t="shared" si="23"/>
        <v>0</v>
      </c>
      <c r="BD13" s="72">
        <f t="shared" si="23"/>
        <v>0</v>
      </c>
      <c r="BE13" s="72">
        <f t="shared" si="23"/>
        <v>0</v>
      </c>
      <c r="BF13" s="71">
        <f t="shared" si="24"/>
        <v>17187.59156</v>
      </c>
      <c r="BG13" s="73"/>
      <c r="BH13" s="72">
        <f t="shared" ref="BH13:BS13" si="25">AT13*(1+$AF$7)</f>
        <v>0</v>
      </c>
      <c r="BI13" s="72">
        <f t="shared" si="25"/>
        <v>5804.678255</v>
      </c>
      <c r="BJ13" s="72">
        <f t="shared" si="25"/>
        <v>0</v>
      </c>
      <c r="BK13" s="72">
        <f t="shared" si="25"/>
        <v>0</v>
      </c>
      <c r="BL13" s="72">
        <f t="shared" si="25"/>
        <v>0</v>
      </c>
      <c r="BM13" s="72">
        <f t="shared" si="25"/>
        <v>0</v>
      </c>
      <c r="BN13" s="72">
        <f t="shared" si="25"/>
        <v>12259.48047</v>
      </c>
      <c r="BO13" s="72">
        <f t="shared" si="25"/>
        <v>0</v>
      </c>
      <c r="BP13" s="72">
        <f t="shared" si="25"/>
        <v>0</v>
      </c>
      <c r="BQ13" s="72">
        <f t="shared" si="25"/>
        <v>0</v>
      </c>
      <c r="BR13" s="72">
        <f t="shared" si="25"/>
        <v>0</v>
      </c>
      <c r="BS13" s="72">
        <f t="shared" si="25"/>
        <v>0</v>
      </c>
      <c r="BT13" s="71">
        <f t="shared" si="26"/>
        <v>18064.15873</v>
      </c>
      <c r="BU13" s="73"/>
      <c r="BV13" s="72">
        <f t="shared" ref="BV13:CG13" si="27">BH13*(1+$AF$7)</f>
        <v>0</v>
      </c>
      <c r="BW13" s="72">
        <f t="shared" si="27"/>
        <v>6100.716846</v>
      </c>
      <c r="BX13" s="72">
        <f t="shared" si="27"/>
        <v>0</v>
      </c>
      <c r="BY13" s="72">
        <f t="shared" si="27"/>
        <v>0</v>
      </c>
      <c r="BZ13" s="72">
        <f t="shared" si="27"/>
        <v>0</v>
      </c>
      <c r="CA13" s="72">
        <f t="shared" si="27"/>
        <v>0</v>
      </c>
      <c r="CB13" s="72">
        <f t="shared" si="27"/>
        <v>12884.71398</v>
      </c>
      <c r="CC13" s="72">
        <f t="shared" si="27"/>
        <v>0</v>
      </c>
      <c r="CD13" s="72">
        <f t="shared" si="27"/>
        <v>0</v>
      </c>
      <c r="CE13" s="72">
        <f t="shared" si="27"/>
        <v>0</v>
      </c>
      <c r="CF13" s="72">
        <f t="shared" si="27"/>
        <v>0</v>
      </c>
      <c r="CG13" s="72">
        <f t="shared" si="27"/>
        <v>0</v>
      </c>
      <c r="CH13" s="71">
        <f t="shared" si="28"/>
        <v>18985.43082</v>
      </c>
      <c r="CI13" s="73"/>
    </row>
    <row r="14" ht="19.5" customHeight="1">
      <c r="A14" s="68"/>
      <c r="B14" s="69" t="s">
        <v>120</v>
      </c>
      <c r="C14" s="69" t="s">
        <v>121</v>
      </c>
      <c r="D14" s="72">
        <v>0.0</v>
      </c>
      <c r="E14" s="72">
        <v>0.0</v>
      </c>
      <c r="F14" s="72">
        <v>0.0</v>
      </c>
      <c r="G14" s="72">
        <v>0.0</v>
      </c>
      <c r="H14" s="72">
        <v>0.0</v>
      </c>
      <c r="I14" s="72">
        <v>0.0</v>
      </c>
      <c r="J14" s="72">
        <v>150.0</v>
      </c>
      <c r="K14" s="72">
        <v>150.0</v>
      </c>
      <c r="L14" s="72">
        <v>150.0</v>
      </c>
      <c r="M14" s="72">
        <v>150.0</v>
      </c>
      <c r="N14" s="72">
        <v>150.0</v>
      </c>
      <c r="O14" s="72">
        <v>150.0</v>
      </c>
      <c r="P14" s="71">
        <f t="shared" si="18"/>
        <v>900</v>
      </c>
      <c r="Q14" s="68"/>
      <c r="R14" s="72">
        <f>J14*(1+$R$7)</f>
        <v>158.4</v>
      </c>
      <c r="S14" s="72">
        <f t="shared" ref="S14:W14" si="29">R14</f>
        <v>158.4</v>
      </c>
      <c r="T14" s="72">
        <f t="shared" si="29"/>
        <v>158.4</v>
      </c>
      <c r="U14" s="72">
        <f t="shared" si="29"/>
        <v>158.4</v>
      </c>
      <c r="V14" s="72">
        <f t="shared" si="29"/>
        <v>158.4</v>
      </c>
      <c r="W14" s="72">
        <f t="shared" si="29"/>
        <v>158.4</v>
      </c>
      <c r="X14" s="72">
        <f t="shared" ref="X14:AC14" si="30">J14*(1+$R$7)</f>
        <v>158.4</v>
      </c>
      <c r="Y14" s="72">
        <f t="shared" si="30"/>
        <v>158.4</v>
      </c>
      <c r="Z14" s="72">
        <f t="shared" si="30"/>
        <v>158.4</v>
      </c>
      <c r="AA14" s="72">
        <f t="shared" si="30"/>
        <v>158.4</v>
      </c>
      <c r="AB14" s="72">
        <f t="shared" si="30"/>
        <v>158.4</v>
      </c>
      <c r="AC14" s="72">
        <f t="shared" si="30"/>
        <v>158.4</v>
      </c>
      <c r="AD14" s="71">
        <f t="shared" si="20"/>
        <v>1900.8</v>
      </c>
      <c r="AE14" s="68"/>
      <c r="AF14" s="72">
        <f t="shared" ref="AF14:AQ14" si="31">R14*(1+$AF$7)</f>
        <v>166.4784</v>
      </c>
      <c r="AG14" s="72">
        <f t="shared" si="31"/>
        <v>166.4784</v>
      </c>
      <c r="AH14" s="72">
        <f t="shared" si="31"/>
        <v>166.4784</v>
      </c>
      <c r="AI14" s="72">
        <f t="shared" si="31"/>
        <v>166.4784</v>
      </c>
      <c r="AJ14" s="72">
        <f t="shared" si="31"/>
        <v>166.4784</v>
      </c>
      <c r="AK14" s="72">
        <f t="shared" si="31"/>
        <v>166.4784</v>
      </c>
      <c r="AL14" s="72">
        <f t="shared" si="31"/>
        <v>166.4784</v>
      </c>
      <c r="AM14" s="72">
        <f t="shared" si="31"/>
        <v>166.4784</v>
      </c>
      <c r="AN14" s="72">
        <f t="shared" si="31"/>
        <v>166.4784</v>
      </c>
      <c r="AO14" s="72">
        <f t="shared" si="31"/>
        <v>166.4784</v>
      </c>
      <c r="AP14" s="72">
        <f t="shared" si="31"/>
        <v>166.4784</v>
      </c>
      <c r="AQ14" s="72">
        <f t="shared" si="31"/>
        <v>166.4784</v>
      </c>
      <c r="AR14" s="71">
        <f t="shared" si="22"/>
        <v>1997.7408</v>
      </c>
      <c r="AS14" s="73"/>
      <c r="AT14" s="72">
        <f t="shared" ref="AT14:BE14" si="32">AF14*(1+$AF$7)</f>
        <v>174.9687984</v>
      </c>
      <c r="AU14" s="72">
        <f t="shared" si="32"/>
        <v>174.9687984</v>
      </c>
      <c r="AV14" s="72">
        <f t="shared" si="32"/>
        <v>174.9687984</v>
      </c>
      <c r="AW14" s="72">
        <f t="shared" si="32"/>
        <v>174.9687984</v>
      </c>
      <c r="AX14" s="72">
        <f t="shared" si="32"/>
        <v>174.9687984</v>
      </c>
      <c r="AY14" s="72">
        <f t="shared" si="32"/>
        <v>174.9687984</v>
      </c>
      <c r="AZ14" s="72">
        <f t="shared" si="32"/>
        <v>174.9687984</v>
      </c>
      <c r="BA14" s="72">
        <f t="shared" si="32"/>
        <v>174.9687984</v>
      </c>
      <c r="BB14" s="72">
        <f t="shared" si="32"/>
        <v>174.9687984</v>
      </c>
      <c r="BC14" s="72">
        <f t="shared" si="32"/>
        <v>174.9687984</v>
      </c>
      <c r="BD14" s="72">
        <f t="shared" si="32"/>
        <v>174.9687984</v>
      </c>
      <c r="BE14" s="72">
        <f t="shared" si="32"/>
        <v>174.9687984</v>
      </c>
      <c r="BF14" s="71">
        <f t="shared" si="24"/>
        <v>2099.625581</v>
      </c>
      <c r="BG14" s="73"/>
      <c r="BH14" s="72">
        <f t="shared" ref="BH14:BS14" si="33">AT14*(1+$AF$7)</f>
        <v>183.8922071</v>
      </c>
      <c r="BI14" s="72">
        <f t="shared" si="33"/>
        <v>183.8922071</v>
      </c>
      <c r="BJ14" s="72">
        <f t="shared" si="33"/>
        <v>183.8922071</v>
      </c>
      <c r="BK14" s="72">
        <f t="shared" si="33"/>
        <v>183.8922071</v>
      </c>
      <c r="BL14" s="72">
        <f t="shared" si="33"/>
        <v>183.8922071</v>
      </c>
      <c r="BM14" s="72">
        <f t="shared" si="33"/>
        <v>183.8922071</v>
      </c>
      <c r="BN14" s="72">
        <f t="shared" si="33"/>
        <v>183.8922071</v>
      </c>
      <c r="BO14" s="72">
        <f t="shared" si="33"/>
        <v>183.8922071</v>
      </c>
      <c r="BP14" s="72">
        <f t="shared" si="33"/>
        <v>183.8922071</v>
      </c>
      <c r="BQ14" s="72">
        <f t="shared" si="33"/>
        <v>183.8922071</v>
      </c>
      <c r="BR14" s="72">
        <f t="shared" si="33"/>
        <v>183.8922071</v>
      </c>
      <c r="BS14" s="72">
        <f t="shared" si="33"/>
        <v>183.8922071</v>
      </c>
      <c r="BT14" s="71">
        <f t="shared" si="26"/>
        <v>2206.706485</v>
      </c>
      <c r="BU14" s="73"/>
      <c r="BV14" s="72">
        <f t="shared" ref="BV14:CG14" si="34">BH14*(1+$AF$7)</f>
        <v>193.2707097</v>
      </c>
      <c r="BW14" s="72">
        <f t="shared" si="34"/>
        <v>193.2707097</v>
      </c>
      <c r="BX14" s="72">
        <f t="shared" si="34"/>
        <v>193.2707097</v>
      </c>
      <c r="BY14" s="72">
        <f t="shared" si="34"/>
        <v>193.2707097</v>
      </c>
      <c r="BZ14" s="72">
        <f t="shared" si="34"/>
        <v>193.2707097</v>
      </c>
      <c r="CA14" s="72">
        <f t="shared" si="34"/>
        <v>193.2707097</v>
      </c>
      <c r="CB14" s="72">
        <f t="shared" si="34"/>
        <v>193.2707097</v>
      </c>
      <c r="CC14" s="72">
        <f t="shared" si="34"/>
        <v>193.2707097</v>
      </c>
      <c r="CD14" s="72">
        <f t="shared" si="34"/>
        <v>193.2707097</v>
      </c>
      <c r="CE14" s="72">
        <f t="shared" si="34"/>
        <v>193.2707097</v>
      </c>
      <c r="CF14" s="72">
        <f t="shared" si="34"/>
        <v>193.2707097</v>
      </c>
      <c r="CG14" s="72">
        <f t="shared" si="34"/>
        <v>193.2707097</v>
      </c>
      <c r="CH14" s="71">
        <f t="shared" si="28"/>
        <v>2319.248516</v>
      </c>
      <c r="CI14" s="73"/>
    </row>
    <row r="15" ht="19.5" customHeight="1">
      <c r="A15" s="68"/>
      <c r="B15" s="69" t="s">
        <v>122</v>
      </c>
      <c r="C15" s="69" t="s">
        <v>123</v>
      </c>
      <c r="D15" s="72">
        <v>0.0</v>
      </c>
      <c r="E15" s="72">
        <v>0.0</v>
      </c>
      <c r="F15" s="72">
        <v>0.0</v>
      </c>
      <c r="G15" s="72">
        <v>0.0</v>
      </c>
      <c r="H15" s="72">
        <v>0.0</v>
      </c>
      <c r="I15" s="72">
        <v>0.0</v>
      </c>
      <c r="J15" s="72">
        <v>0.0</v>
      </c>
      <c r="K15" s="72">
        <v>0.0</v>
      </c>
      <c r="L15" s="72">
        <v>0.0</v>
      </c>
      <c r="M15" s="72">
        <v>0.0</v>
      </c>
      <c r="N15" s="72">
        <v>0.0</v>
      </c>
      <c r="O15" s="72">
        <v>0.0</v>
      </c>
      <c r="P15" s="71">
        <f t="shared" si="18"/>
        <v>0</v>
      </c>
      <c r="Q15" s="68"/>
      <c r="R15" s="72">
        <f t="shared" ref="R15:AC15" si="35">D15*(1+$R$7)</f>
        <v>0</v>
      </c>
      <c r="S15" s="72">
        <f t="shared" si="35"/>
        <v>0</v>
      </c>
      <c r="T15" s="72">
        <f t="shared" si="35"/>
        <v>0</v>
      </c>
      <c r="U15" s="72">
        <f t="shared" si="35"/>
        <v>0</v>
      </c>
      <c r="V15" s="72">
        <f t="shared" si="35"/>
        <v>0</v>
      </c>
      <c r="W15" s="72">
        <f t="shared" si="35"/>
        <v>0</v>
      </c>
      <c r="X15" s="72">
        <f t="shared" si="35"/>
        <v>0</v>
      </c>
      <c r="Y15" s="72">
        <f t="shared" si="35"/>
        <v>0</v>
      </c>
      <c r="Z15" s="72">
        <f t="shared" si="35"/>
        <v>0</v>
      </c>
      <c r="AA15" s="72">
        <f t="shared" si="35"/>
        <v>0</v>
      </c>
      <c r="AB15" s="72">
        <f t="shared" si="35"/>
        <v>0</v>
      </c>
      <c r="AC15" s="72">
        <f t="shared" si="35"/>
        <v>0</v>
      </c>
      <c r="AD15" s="71">
        <f t="shared" si="20"/>
        <v>0</v>
      </c>
      <c r="AE15" s="68"/>
      <c r="AF15" s="72">
        <f t="shared" ref="AF15:AQ15" si="36">R15*(1+$AF$7)</f>
        <v>0</v>
      </c>
      <c r="AG15" s="72">
        <f t="shared" si="36"/>
        <v>0</v>
      </c>
      <c r="AH15" s="72">
        <f t="shared" si="36"/>
        <v>0</v>
      </c>
      <c r="AI15" s="72">
        <f t="shared" si="36"/>
        <v>0</v>
      </c>
      <c r="AJ15" s="72">
        <f t="shared" si="36"/>
        <v>0</v>
      </c>
      <c r="AK15" s="72">
        <f t="shared" si="36"/>
        <v>0</v>
      </c>
      <c r="AL15" s="72">
        <f t="shared" si="36"/>
        <v>0</v>
      </c>
      <c r="AM15" s="72">
        <f t="shared" si="36"/>
        <v>0</v>
      </c>
      <c r="AN15" s="72">
        <f t="shared" si="36"/>
        <v>0</v>
      </c>
      <c r="AO15" s="72">
        <f t="shared" si="36"/>
        <v>0</v>
      </c>
      <c r="AP15" s="72">
        <f t="shared" si="36"/>
        <v>0</v>
      </c>
      <c r="AQ15" s="72">
        <f t="shared" si="36"/>
        <v>0</v>
      </c>
      <c r="AR15" s="71">
        <f t="shared" si="22"/>
        <v>0</v>
      </c>
      <c r="AS15" s="73"/>
      <c r="AT15" s="72">
        <f t="shared" ref="AT15:BE15" si="37">AF15*(1+$AF$7)</f>
        <v>0</v>
      </c>
      <c r="AU15" s="72">
        <f t="shared" si="37"/>
        <v>0</v>
      </c>
      <c r="AV15" s="72">
        <f t="shared" si="37"/>
        <v>0</v>
      </c>
      <c r="AW15" s="72">
        <f t="shared" si="37"/>
        <v>0</v>
      </c>
      <c r="AX15" s="72">
        <f t="shared" si="37"/>
        <v>0</v>
      </c>
      <c r="AY15" s="72">
        <f t="shared" si="37"/>
        <v>0</v>
      </c>
      <c r="AZ15" s="72">
        <f t="shared" si="37"/>
        <v>0</v>
      </c>
      <c r="BA15" s="72">
        <f t="shared" si="37"/>
        <v>0</v>
      </c>
      <c r="BB15" s="72">
        <f t="shared" si="37"/>
        <v>0</v>
      </c>
      <c r="BC15" s="72">
        <f t="shared" si="37"/>
        <v>0</v>
      </c>
      <c r="BD15" s="72">
        <f t="shared" si="37"/>
        <v>0</v>
      </c>
      <c r="BE15" s="72">
        <f t="shared" si="37"/>
        <v>0</v>
      </c>
      <c r="BF15" s="71">
        <f t="shared" si="24"/>
        <v>0</v>
      </c>
      <c r="BG15" s="73"/>
      <c r="BH15" s="72">
        <f t="shared" ref="BH15:BS15" si="38">AT15*(1+$AF$7)</f>
        <v>0</v>
      </c>
      <c r="BI15" s="72">
        <f t="shared" si="38"/>
        <v>0</v>
      </c>
      <c r="BJ15" s="72">
        <f t="shared" si="38"/>
        <v>0</v>
      </c>
      <c r="BK15" s="72">
        <f t="shared" si="38"/>
        <v>0</v>
      </c>
      <c r="BL15" s="72">
        <f t="shared" si="38"/>
        <v>0</v>
      </c>
      <c r="BM15" s="72">
        <f t="shared" si="38"/>
        <v>0</v>
      </c>
      <c r="BN15" s="72">
        <f t="shared" si="38"/>
        <v>0</v>
      </c>
      <c r="BO15" s="72">
        <f t="shared" si="38"/>
        <v>0</v>
      </c>
      <c r="BP15" s="72">
        <f t="shared" si="38"/>
        <v>0</v>
      </c>
      <c r="BQ15" s="72">
        <f t="shared" si="38"/>
        <v>0</v>
      </c>
      <c r="BR15" s="72">
        <f t="shared" si="38"/>
        <v>0</v>
      </c>
      <c r="BS15" s="72">
        <f t="shared" si="38"/>
        <v>0</v>
      </c>
      <c r="BT15" s="71">
        <f t="shared" si="26"/>
        <v>0</v>
      </c>
      <c r="BU15" s="73"/>
      <c r="BV15" s="72">
        <f t="shared" ref="BV15:CG15" si="39">BH15*(1+$AF$7)</f>
        <v>0</v>
      </c>
      <c r="BW15" s="72">
        <f t="shared" si="39"/>
        <v>0</v>
      </c>
      <c r="BX15" s="72">
        <f t="shared" si="39"/>
        <v>0</v>
      </c>
      <c r="BY15" s="72">
        <f t="shared" si="39"/>
        <v>0</v>
      </c>
      <c r="BZ15" s="72">
        <f t="shared" si="39"/>
        <v>0</v>
      </c>
      <c r="CA15" s="72">
        <f t="shared" si="39"/>
        <v>0</v>
      </c>
      <c r="CB15" s="72">
        <f t="shared" si="39"/>
        <v>0</v>
      </c>
      <c r="CC15" s="72">
        <f t="shared" si="39"/>
        <v>0</v>
      </c>
      <c r="CD15" s="72">
        <f t="shared" si="39"/>
        <v>0</v>
      </c>
      <c r="CE15" s="72">
        <f t="shared" si="39"/>
        <v>0</v>
      </c>
      <c r="CF15" s="72">
        <f t="shared" si="39"/>
        <v>0</v>
      </c>
      <c r="CG15" s="72">
        <f t="shared" si="39"/>
        <v>0</v>
      </c>
      <c r="CH15" s="71">
        <f t="shared" si="28"/>
        <v>0</v>
      </c>
      <c r="CI15" s="73"/>
    </row>
    <row r="16" ht="19.5" customHeight="1">
      <c r="A16" s="68"/>
      <c r="B16" s="69" t="s">
        <v>124</v>
      </c>
      <c r="C16" s="69" t="s">
        <v>125</v>
      </c>
      <c r="D16" s="72">
        <v>0.0</v>
      </c>
      <c r="E16" s="72">
        <v>0.0</v>
      </c>
      <c r="F16" s="72">
        <v>0.0</v>
      </c>
      <c r="G16" s="72">
        <v>0.0</v>
      </c>
      <c r="H16" s="72">
        <v>0.0</v>
      </c>
      <c r="I16" s="72">
        <v>0.0</v>
      </c>
      <c r="J16" s="72">
        <v>0.0</v>
      </c>
      <c r="K16" s="72">
        <v>0.0</v>
      </c>
      <c r="L16" s="72">
        <v>0.0</v>
      </c>
      <c r="M16" s="72">
        <v>0.0</v>
      </c>
      <c r="N16" s="72">
        <v>0.0</v>
      </c>
      <c r="O16" s="72">
        <v>0.0</v>
      </c>
      <c r="P16" s="71">
        <f t="shared" si="18"/>
        <v>0</v>
      </c>
      <c r="Q16" s="68"/>
      <c r="R16" s="72">
        <f t="shared" ref="R16:AC16" si="40">D16*(1+$R$7)</f>
        <v>0</v>
      </c>
      <c r="S16" s="72">
        <f t="shared" si="40"/>
        <v>0</v>
      </c>
      <c r="T16" s="72">
        <f t="shared" si="40"/>
        <v>0</v>
      </c>
      <c r="U16" s="72">
        <f t="shared" si="40"/>
        <v>0</v>
      </c>
      <c r="V16" s="72">
        <f t="shared" si="40"/>
        <v>0</v>
      </c>
      <c r="W16" s="72">
        <f t="shared" si="40"/>
        <v>0</v>
      </c>
      <c r="X16" s="72">
        <f t="shared" si="40"/>
        <v>0</v>
      </c>
      <c r="Y16" s="72">
        <f t="shared" si="40"/>
        <v>0</v>
      </c>
      <c r="Z16" s="72">
        <f t="shared" si="40"/>
        <v>0</v>
      </c>
      <c r="AA16" s="72">
        <f t="shared" si="40"/>
        <v>0</v>
      </c>
      <c r="AB16" s="72">
        <f t="shared" si="40"/>
        <v>0</v>
      </c>
      <c r="AC16" s="72">
        <f t="shared" si="40"/>
        <v>0</v>
      </c>
      <c r="AD16" s="71">
        <f t="shared" si="20"/>
        <v>0</v>
      </c>
      <c r="AE16" s="68"/>
      <c r="AF16" s="72">
        <f t="shared" ref="AF16:AQ16" si="41">R16*(1+$AF$7)</f>
        <v>0</v>
      </c>
      <c r="AG16" s="72">
        <f t="shared" si="41"/>
        <v>0</v>
      </c>
      <c r="AH16" s="72">
        <f t="shared" si="41"/>
        <v>0</v>
      </c>
      <c r="AI16" s="72">
        <f t="shared" si="41"/>
        <v>0</v>
      </c>
      <c r="AJ16" s="72">
        <f t="shared" si="41"/>
        <v>0</v>
      </c>
      <c r="AK16" s="72">
        <f t="shared" si="41"/>
        <v>0</v>
      </c>
      <c r="AL16" s="72">
        <f t="shared" si="41"/>
        <v>0</v>
      </c>
      <c r="AM16" s="72">
        <f t="shared" si="41"/>
        <v>0</v>
      </c>
      <c r="AN16" s="72">
        <f t="shared" si="41"/>
        <v>0</v>
      </c>
      <c r="AO16" s="72">
        <f t="shared" si="41"/>
        <v>0</v>
      </c>
      <c r="AP16" s="72">
        <f t="shared" si="41"/>
        <v>0</v>
      </c>
      <c r="AQ16" s="72">
        <f t="shared" si="41"/>
        <v>0</v>
      </c>
      <c r="AR16" s="71">
        <f t="shared" si="22"/>
        <v>0</v>
      </c>
      <c r="AS16" s="73"/>
      <c r="AT16" s="72">
        <f t="shared" ref="AT16:BE16" si="42">AF16*(1+$AF$7)</f>
        <v>0</v>
      </c>
      <c r="AU16" s="72">
        <f t="shared" si="42"/>
        <v>0</v>
      </c>
      <c r="AV16" s="72">
        <f t="shared" si="42"/>
        <v>0</v>
      </c>
      <c r="AW16" s="72">
        <f t="shared" si="42"/>
        <v>0</v>
      </c>
      <c r="AX16" s="72">
        <f t="shared" si="42"/>
        <v>0</v>
      </c>
      <c r="AY16" s="72">
        <f t="shared" si="42"/>
        <v>0</v>
      </c>
      <c r="AZ16" s="72">
        <f t="shared" si="42"/>
        <v>0</v>
      </c>
      <c r="BA16" s="72">
        <f t="shared" si="42"/>
        <v>0</v>
      </c>
      <c r="BB16" s="72">
        <f t="shared" si="42"/>
        <v>0</v>
      </c>
      <c r="BC16" s="72">
        <f t="shared" si="42"/>
        <v>0</v>
      </c>
      <c r="BD16" s="72">
        <f t="shared" si="42"/>
        <v>0</v>
      </c>
      <c r="BE16" s="72">
        <f t="shared" si="42"/>
        <v>0</v>
      </c>
      <c r="BF16" s="71">
        <f t="shared" si="24"/>
        <v>0</v>
      </c>
      <c r="BG16" s="73"/>
      <c r="BH16" s="72">
        <f t="shared" ref="BH16:BS16" si="43">AT16*(1+$AF$7)</f>
        <v>0</v>
      </c>
      <c r="BI16" s="72">
        <f t="shared" si="43"/>
        <v>0</v>
      </c>
      <c r="BJ16" s="72">
        <f t="shared" si="43"/>
        <v>0</v>
      </c>
      <c r="BK16" s="72">
        <f t="shared" si="43"/>
        <v>0</v>
      </c>
      <c r="BL16" s="72">
        <f t="shared" si="43"/>
        <v>0</v>
      </c>
      <c r="BM16" s="72">
        <f t="shared" si="43"/>
        <v>0</v>
      </c>
      <c r="BN16" s="72">
        <f t="shared" si="43"/>
        <v>0</v>
      </c>
      <c r="BO16" s="72">
        <f t="shared" si="43"/>
        <v>0</v>
      </c>
      <c r="BP16" s="72">
        <f t="shared" si="43"/>
        <v>0</v>
      </c>
      <c r="BQ16" s="72">
        <f t="shared" si="43"/>
        <v>0</v>
      </c>
      <c r="BR16" s="72">
        <f t="shared" si="43"/>
        <v>0</v>
      </c>
      <c r="BS16" s="72">
        <f t="shared" si="43"/>
        <v>0</v>
      </c>
      <c r="BT16" s="71">
        <f t="shared" si="26"/>
        <v>0</v>
      </c>
      <c r="BU16" s="73"/>
      <c r="BV16" s="72">
        <f t="shared" ref="BV16:CG16" si="44">BH16*(1+$AF$7)</f>
        <v>0</v>
      </c>
      <c r="BW16" s="72">
        <f t="shared" si="44"/>
        <v>0</v>
      </c>
      <c r="BX16" s="72">
        <f t="shared" si="44"/>
        <v>0</v>
      </c>
      <c r="BY16" s="72">
        <f t="shared" si="44"/>
        <v>0</v>
      </c>
      <c r="BZ16" s="72">
        <f t="shared" si="44"/>
        <v>0</v>
      </c>
      <c r="CA16" s="72">
        <f t="shared" si="44"/>
        <v>0</v>
      </c>
      <c r="CB16" s="72">
        <f t="shared" si="44"/>
        <v>0</v>
      </c>
      <c r="CC16" s="72">
        <f t="shared" si="44"/>
        <v>0</v>
      </c>
      <c r="CD16" s="72">
        <f t="shared" si="44"/>
        <v>0</v>
      </c>
      <c r="CE16" s="72">
        <f t="shared" si="44"/>
        <v>0</v>
      </c>
      <c r="CF16" s="72">
        <f t="shared" si="44"/>
        <v>0</v>
      </c>
      <c r="CG16" s="72">
        <f t="shared" si="44"/>
        <v>0</v>
      </c>
      <c r="CH16" s="71">
        <f t="shared" si="28"/>
        <v>0</v>
      </c>
      <c r="CI16" s="73"/>
    </row>
    <row r="17" ht="19.5" customHeight="1">
      <c r="A17" s="68"/>
      <c r="B17" s="69" t="s">
        <v>126</v>
      </c>
      <c r="C17" s="69" t="s">
        <v>127</v>
      </c>
      <c r="D17" s="72">
        <v>0.0</v>
      </c>
      <c r="E17" s="72">
        <v>0.0</v>
      </c>
      <c r="F17" s="72">
        <v>0.0</v>
      </c>
      <c r="G17" s="72">
        <v>0.0</v>
      </c>
      <c r="H17" s="72">
        <v>0.0</v>
      </c>
      <c r="I17" s="72">
        <v>0.0</v>
      </c>
      <c r="J17" s="72">
        <v>350.0</v>
      </c>
      <c r="K17" s="72">
        <v>350.0</v>
      </c>
      <c r="L17" s="72">
        <v>350.0</v>
      </c>
      <c r="M17" s="72">
        <v>350.0</v>
      </c>
      <c r="N17" s="72">
        <v>350.0</v>
      </c>
      <c r="O17" s="72">
        <v>350.0</v>
      </c>
      <c r="P17" s="71">
        <f t="shared" si="18"/>
        <v>2100</v>
      </c>
      <c r="Q17" s="68"/>
      <c r="R17" s="72">
        <f>J17*(1+$R$7)</f>
        <v>369.6</v>
      </c>
      <c r="S17" s="72">
        <f t="shared" ref="S17:W17" si="45">R17</f>
        <v>369.6</v>
      </c>
      <c r="T17" s="72">
        <f t="shared" si="45"/>
        <v>369.6</v>
      </c>
      <c r="U17" s="72">
        <f t="shared" si="45"/>
        <v>369.6</v>
      </c>
      <c r="V17" s="72">
        <f t="shared" si="45"/>
        <v>369.6</v>
      </c>
      <c r="W17" s="72">
        <f t="shared" si="45"/>
        <v>369.6</v>
      </c>
      <c r="X17" s="72">
        <f t="shared" ref="X17:AC17" si="46">J17*(1+$R$7)</f>
        <v>369.6</v>
      </c>
      <c r="Y17" s="72">
        <f t="shared" si="46"/>
        <v>369.6</v>
      </c>
      <c r="Z17" s="72">
        <f t="shared" si="46"/>
        <v>369.6</v>
      </c>
      <c r="AA17" s="72">
        <f t="shared" si="46"/>
        <v>369.6</v>
      </c>
      <c r="AB17" s="72">
        <f t="shared" si="46"/>
        <v>369.6</v>
      </c>
      <c r="AC17" s="72">
        <f t="shared" si="46"/>
        <v>369.6</v>
      </c>
      <c r="AD17" s="71">
        <f t="shared" si="20"/>
        <v>4435.2</v>
      </c>
      <c r="AE17" s="68"/>
      <c r="AF17" s="72">
        <f t="shared" ref="AF17:AQ17" si="47">R17*(1+$AF$7)</f>
        <v>388.4496</v>
      </c>
      <c r="AG17" s="72">
        <f t="shared" si="47"/>
        <v>388.4496</v>
      </c>
      <c r="AH17" s="72">
        <f t="shared" si="47"/>
        <v>388.4496</v>
      </c>
      <c r="AI17" s="72">
        <f t="shared" si="47"/>
        <v>388.4496</v>
      </c>
      <c r="AJ17" s="72">
        <f t="shared" si="47"/>
        <v>388.4496</v>
      </c>
      <c r="AK17" s="72">
        <f t="shared" si="47"/>
        <v>388.4496</v>
      </c>
      <c r="AL17" s="72">
        <f t="shared" si="47"/>
        <v>388.4496</v>
      </c>
      <c r="AM17" s="72">
        <f t="shared" si="47"/>
        <v>388.4496</v>
      </c>
      <c r="AN17" s="72">
        <f t="shared" si="47"/>
        <v>388.4496</v>
      </c>
      <c r="AO17" s="72">
        <f t="shared" si="47"/>
        <v>388.4496</v>
      </c>
      <c r="AP17" s="72">
        <f t="shared" si="47"/>
        <v>388.4496</v>
      </c>
      <c r="AQ17" s="72">
        <f t="shared" si="47"/>
        <v>388.4496</v>
      </c>
      <c r="AR17" s="71">
        <f t="shared" si="22"/>
        <v>4661.3952</v>
      </c>
      <c r="AS17" s="73"/>
      <c r="AT17" s="72">
        <f t="shared" ref="AT17:BE17" si="48">AF17*(1+$AF$7)</f>
        <v>408.2605296</v>
      </c>
      <c r="AU17" s="72">
        <f t="shared" si="48"/>
        <v>408.2605296</v>
      </c>
      <c r="AV17" s="72">
        <f t="shared" si="48"/>
        <v>408.2605296</v>
      </c>
      <c r="AW17" s="72">
        <f t="shared" si="48"/>
        <v>408.2605296</v>
      </c>
      <c r="AX17" s="72">
        <f t="shared" si="48"/>
        <v>408.2605296</v>
      </c>
      <c r="AY17" s="72">
        <f t="shared" si="48"/>
        <v>408.2605296</v>
      </c>
      <c r="AZ17" s="72">
        <f t="shared" si="48"/>
        <v>408.2605296</v>
      </c>
      <c r="BA17" s="72">
        <f t="shared" si="48"/>
        <v>408.2605296</v>
      </c>
      <c r="BB17" s="72">
        <f t="shared" si="48"/>
        <v>408.2605296</v>
      </c>
      <c r="BC17" s="72">
        <f t="shared" si="48"/>
        <v>408.2605296</v>
      </c>
      <c r="BD17" s="72">
        <f t="shared" si="48"/>
        <v>408.2605296</v>
      </c>
      <c r="BE17" s="72">
        <f t="shared" si="48"/>
        <v>408.2605296</v>
      </c>
      <c r="BF17" s="71">
        <f t="shared" si="24"/>
        <v>4899.126355</v>
      </c>
      <c r="BG17" s="73">
        <f t="shared" ref="BG17:BG19" si="54">SUM(AT17:BE17)</f>
        <v>4899.126355</v>
      </c>
      <c r="BH17" s="72">
        <f t="shared" ref="BH17:BS17" si="49">AT17*(1+$AF$7)</f>
        <v>429.0818166</v>
      </c>
      <c r="BI17" s="72">
        <f t="shared" si="49"/>
        <v>429.0818166</v>
      </c>
      <c r="BJ17" s="72">
        <f t="shared" si="49"/>
        <v>429.0818166</v>
      </c>
      <c r="BK17" s="72">
        <f t="shared" si="49"/>
        <v>429.0818166</v>
      </c>
      <c r="BL17" s="72">
        <f t="shared" si="49"/>
        <v>429.0818166</v>
      </c>
      <c r="BM17" s="72">
        <f t="shared" si="49"/>
        <v>429.0818166</v>
      </c>
      <c r="BN17" s="72">
        <f t="shared" si="49"/>
        <v>429.0818166</v>
      </c>
      <c r="BO17" s="72">
        <f t="shared" si="49"/>
        <v>429.0818166</v>
      </c>
      <c r="BP17" s="72">
        <f t="shared" si="49"/>
        <v>429.0818166</v>
      </c>
      <c r="BQ17" s="72">
        <f t="shared" si="49"/>
        <v>429.0818166</v>
      </c>
      <c r="BR17" s="72">
        <f t="shared" si="49"/>
        <v>429.0818166</v>
      </c>
      <c r="BS17" s="72">
        <f t="shared" si="49"/>
        <v>429.0818166</v>
      </c>
      <c r="BT17" s="71">
        <f t="shared" si="26"/>
        <v>5148.981799</v>
      </c>
      <c r="BU17" s="73"/>
      <c r="BV17" s="72">
        <f t="shared" ref="BV17:CG17" si="50">BH17*(1+$AF$7)</f>
        <v>450.9649893</v>
      </c>
      <c r="BW17" s="72">
        <f t="shared" si="50"/>
        <v>450.9649893</v>
      </c>
      <c r="BX17" s="72">
        <f t="shared" si="50"/>
        <v>450.9649893</v>
      </c>
      <c r="BY17" s="72">
        <f t="shared" si="50"/>
        <v>450.9649893</v>
      </c>
      <c r="BZ17" s="72">
        <f t="shared" si="50"/>
        <v>450.9649893</v>
      </c>
      <c r="CA17" s="72">
        <f t="shared" si="50"/>
        <v>450.9649893</v>
      </c>
      <c r="CB17" s="72">
        <f t="shared" si="50"/>
        <v>450.9649893</v>
      </c>
      <c r="CC17" s="72">
        <f t="shared" si="50"/>
        <v>450.9649893</v>
      </c>
      <c r="CD17" s="72">
        <f t="shared" si="50"/>
        <v>450.9649893</v>
      </c>
      <c r="CE17" s="72">
        <f t="shared" si="50"/>
        <v>450.9649893</v>
      </c>
      <c r="CF17" s="72">
        <f t="shared" si="50"/>
        <v>450.9649893</v>
      </c>
      <c r="CG17" s="72">
        <f t="shared" si="50"/>
        <v>450.9649893</v>
      </c>
      <c r="CH17" s="71">
        <f t="shared" si="28"/>
        <v>5411.579871</v>
      </c>
      <c r="CI17" s="73"/>
    </row>
    <row r="18" ht="19.5" customHeight="1">
      <c r="B18" s="69" t="s">
        <v>128</v>
      </c>
      <c r="C18" s="69" t="s">
        <v>129</v>
      </c>
      <c r="D18" s="72">
        <v>0.0</v>
      </c>
      <c r="E18" s="72">
        <v>0.0</v>
      </c>
      <c r="F18" s="72">
        <v>0.0</v>
      </c>
      <c r="G18" s="72">
        <v>0.0</v>
      </c>
      <c r="H18" s="72">
        <v>0.0</v>
      </c>
      <c r="I18" s="72">
        <v>0.0</v>
      </c>
      <c r="J18" s="72">
        <v>0.0</v>
      </c>
      <c r="K18" s="72">
        <v>0.0</v>
      </c>
      <c r="L18" s="72">
        <v>0.0</v>
      </c>
      <c r="M18" s="72">
        <v>0.0</v>
      </c>
      <c r="N18" s="72">
        <v>0.0</v>
      </c>
      <c r="O18" s="72">
        <v>0.0</v>
      </c>
      <c r="P18" s="71">
        <f t="shared" si="18"/>
        <v>0</v>
      </c>
      <c r="R18" s="72">
        <f t="shared" ref="R18:AC18" si="51">D18*(1+$R$7)</f>
        <v>0</v>
      </c>
      <c r="S18" s="72">
        <f t="shared" si="51"/>
        <v>0</v>
      </c>
      <c r="T18" s="72">
        <f t="shared" si="51"/>
        <v>0</v>
      </c>
      <c r="U18" s="72">
        <f t="shared" si="51"/>
        <v>0</v>
      </c>
      <c r="V18" s="72">
        <f t="shared" si="51"/>
        <v>0</v>
      </c>
      <c r="W18" s="72">
        <f t="shared" si="51"/>
        <v>0</v>
      </c>
      <c r="X18" s="72">
        <f t="shared" si="51"/>
        <v>0</v>
      </c>
      <c r="Y18" s="72">
        <f t="shared" si="51"/>
        <v>0</v>
      </c>
      <c r="Z18" s="72">
        <f t="shared" si="51"/>
        <v>0</v>
      </c>
      <c r="AA18" s="72">
        <f t="shared" si="51"/>
        <v>0</v>
      </c>
      <c r="AB18" s="72">
        <f t="shared" si="51"/>
        <v>0</v>
      </c>
      <c r="AC18" s="72">
        <f t="shared" si="51"/>
        <v>0</v>
      </c>
      <c r="AD18" s="71">
        <f t="shared" si="20"/>
        <v>0</v>
      </c>
      <c r="AF18" s="72">
        <f t="shared" ref="AF18:AQ18" si="52">R18*(1+$AF$7)</f>
        <v>0</v>
      </c>
      <c r="AG18" s="72">
        <f t="shared" si="52"/>
        <v>0</v>
      </c>
      <c r="AH18" s="72">
        <f t="shared" si="52"/>
        <v>0</v>
      </c>
      <c r="AI18" s="72">
        <f t="shared" si="52"/>
        <v>0</v>
      </c>
      <c r="AJ18" s="72">
        <f t="shared" si="52"/>
        <v>0</v>
      </c>
      <c r="AK18" s="72">
        <f t="shared" si="52"/>
        <v>0</v>
      </c>
      <c r="AL18" s="72">
        <f t="shared" si="52"/>
        <v>0</v>
      </c>
      <c r="AM18" s="72">
        <f t="shared" si="52"/>
        <v>0</v>
      </c>
      <c r="AN18" s="72">
        <f t="shared" si="52"/>
        <v>0</v>
      </c>
      <c r="AO18" s="72">
        <f t="shared" si="52"/>
        <v>0</v>
      </c>
      <c r="AP18" s="72">
        <f t="shared" si="52"/>
        <v>0</v>
      </c>
      <c r="AQ18" s="72">
        <f t="shared" si="52"/>
        <v>0</v>
      </c>
      <c r="AR18" s="71">
        <f t="shared" si="22"/>
        <v>0</v>
      </c>
      <c r="AS18" s="73"/>
      <c r="AT18" s="72">
        <f t="shared" ref="AT18:BE18" si="53">AF18*(1+$AF$7)</f>
        <v>0</v>
      </c>
      <c r="AU18" s="72">
        <f t="shared" si="53"/>
        <v>0</v>
      </c>
      <c r="AV18" s="72">
        <f t="shared" si="53"/>
        <v>0</v>
      </c>
      <c r="AW18" s="72">
        <f t="shared" si="53"/>
        <v>0</v>
      </c>
      <c r="AX18" s="72">
        <f t="shared" si="53"/>
        <v>0</v>
      </c>
      <c r="AY18" s="72">
        <f t="shared" si="53"/>
        <v>0</v>
      </c>
      <c r="AZ18" s="72">
        <f t="shared" si="53"/>
        <v>0</v>
      </c>
      <c r="BA18" s="72">
        <f t="shared" si="53"/>
        <v>0</v>
      </c>
      <c r="BB18" s="72">
        <f t="shared" si="53"/>
        <v>0</v>
      </c>
      <c r="BC18" s="72">
        <f t="shared" si="53"/>
        <v>0</v>
      </c>
      <c r="BD18" s="72">
        <f t="shared" si="53"/>
        <v>0</v>
      </c>
      <c r="BE18" s="72">
        <f t="shared" si="53"/>
        <v>0</v>
      </c>
      <c r="BF18" s="71">
        <f t="shared" si="24"/>
        <v>0</v>
      </c>
      <c r="BG18" s="73">
        <f t="shared" si="54"/>
        <v>0</v>
      </c>
      <c r="BH18" s="72">
        <f t="shared" ref="BH18:BS18" si="55">AT18*(1+$AF$7)</f>
        <v>0</v>
      </c>
      <c r="BI18" s="72">
        <f t="shared" si="55"/>
        <v>0</v>
      </c>
      <c r="BJ18" s="72">
        <f t="shared" si="55"/>
        <v>0</v>
      </c>
      <c r="BK18" s="72">
        <f t="shared" si="55"/>
        <v>0</v>
      </c>
      <c r="BL18" s="72">
        <f t="shared" si="55"/>
        <v>0</v>
      </c>
      <c r="BM18" s="72">
        <f t="shared" si="55"/>
        <v>0</v>
      </c>
      <c r="BN18" s="72">
        <f t="shared" si="55"/>
        <v>0</v>
      </c>
      <c r="BO18" s="72">
        <f t="shared" si="55"/>
        <v>0</v>
      </c>
      <c r="BP18" s="72">
        <f t="shared" si="55"/>
        <v>0</v>
      </c>
      <c r="BQ18" s="72">
        <f t="shared" si="55"/>
        <v>0</v>
      </c>
      <c r="BR18" s="72">
        <f t="shared" si="55"/>
        <v>0</v>
      </c>
      <c r="BS18" s="72">
        <f t="shared" si="55"/>
        <v>0</v>
      </c>
      <c r="BT18" s="71">
        <f t="shared" si="26"/>
        <v>0</v>
      </c>
      <c r="BU18" s="73"/>
      <c r="BV18" s="72">
        <f t="shared" ref="BV18:CG18" si="56">BH18*(1+$AF$7)</f>
        <v>0</v>
      </c>
      <c r="BW18" s="72">
        <f t="shared" si="56"/>
        <v>0</v>
      </c>
      <c r="BX18" s="72">
        <f t="shared" si="56"/>
        <v>0</v>
      </c>
      <c r="BY18" s="72">
        <f t="shared" si="56"/>
        <v>0</v>
      </c>
      <c r="BZ18" s="72">
        <f t="shared" si="56"/>
        <v>0</v>
      </c>
      <c r="CA18" s="72">
        <f t="shared" si="56"/>
        <v>0</v>
      </c>
      <c r="CB18" s="72">
        <f t="shared" si="56"/>
        <v>0</v>
      </c>
      <c r="CC18" s="72">
        <f t="shared" si="56"/>
        <v>0</v>
      </c>
      <c r="CD18" s="72">
        <f t="shared" si="56"/>
        <v>0</v>
      </c>
      <c r="CE18" s="72">
        <f t="shared" si="56"/>
        <v>0</v>
      </c>
      <c r="CF18" s="72">
        <f t="shared" si="56"/>
        <v>0</v>
      </c>
      <c r="CG18" s="72">
        <f t="shared" si="56"/>
        <v>0</v>
      </c>
      <c r="CH18" s="71">
        <f t="shared" si="28"/>
        <v>0</v>
      </c>
    </row>
    <row r="19" ht="19.5" customHeight="1">
      <c r="B19" s="69" t="s">
        <v>71</v>
      </c>
      <c r="C19" s="69" t="s">
        <v>130</v>
      </c>
      <c r="D19" s="72">
        <v>0.0</v>
      </c>
      <c r="E19" s="72">
        <v>0.0</v>
      </c>
      <c r="F19" s="72">
        <v>0.0</v>
      </c>
      <c r="G19" s="72">
        <v>0.0</v>
      </c>
      <c r="H19" s="72">
        <v>0.0</v>
      </c>
      <c r="I19" s="72">
        <v>0.0</v>
      </c>
      <c r="J19" s="72">
        <v>0.0</v>
      </c>
      <c r="K19" s="72">
        <v>0.0</v>
      </c>
      <c r="L19" s="72">
        <v>0.0</v>
      </c>
      <c r="M19" s="72">
        <v>0.0</v>
      </c>
      <c r="N19" s="72">
        <v>0.0</v>
      </c>
      <c r="O19" s="72">
        <v>0.0</v>
      </c>
      <c r="P19" s="71">
        <f t="shared" si="18"/>
        <v>0</v>
      </c>
      <c r="R19" s="72">
        <f t="shared" ref="R19:AC19" si="57">D19*(1+$R$7)</f>
        <v>0</v>
      </c>
      <c r="S19" s="72">
        <f t="shared" si="57"/>
        <v>0</v>
      </c>
      <c r="T19" s="72">
        <f t="shared" si="57"/>
        <v>0</v>
      </c>
      <c r="U19" s="72">
        <f t="shared" si="57"/>
        <v>0</v>
      </c>
      <c r="V19" s="72">
        <f t="shared" si="57"/>
        <v>0</v>
      </c>
      <c r="W19" s="72">
        <f t="shared" si="57"/>
        <v>0</v>
      </c>
      <c r="X19" s="72">
        <f t="shared" si="57"/>
        <v>0</v>
      </c>
      <c r="Y19" s="72">
        <f t="shared" si="57"/>
        <v>0</v>
      </c>
      <c r="Z19" s="72">
        <f t="shared" si="57"/>
        <v>0</v>
      </c>
      <c r="AA19" s="72">
        <f t="shared" si="57"/>
        <v>0</v>
      </c>
      <c r="AB19" s="72">
        <f t="shared" si="57"/>
        <v>0</v>
      </c>
      <c r="AC19" s="72">
        <f t="shared" si="57"/>
        <v>0</v>
      </c>
      <c r="AD19" s="71">
        <f t="shared" si="20"/>
        <v>0</v>
      </c>
      <c r="AF19" s="72">
        <f t="shared" ref="AF19:AQ19" si="58">R19*(1+$AF$7)</f>
        <v>0</v>
      </c>
      <c r="AG19" s="72">
        <f t="shared" si="58"/>
        <v>0</v>
      </c>
      <c r="AH19" s="72">
        <f t="shared" si="58"/>
        <v>0</v>
      </c>
      <c r="AI19" s="72">
        <f t="shared" si="58"/>
        <v>0</v>
      </c>
      <c r="AJ19" s="72">
        <f t="shared" si="58"/>
        <v>0</v>
      </c>
      <c r="AK19" s="72">
        <f t="shared" si="58"/>
        <v>0</v>
      </c>
      <c r="AL19" s="72">
        <f t="shared" si="58"/>
        <v>0</v>
      </c>
      <c r="AM19" s="72">
        <f t="shared" si="58"/>
        <v>0</v>
      </c>
      <c r="AN19" s="72">
        <f t="shared" si="58"/>
        <v>0</v>
      </c>
      <c r="AO19" s="72">
        <f t="shared" si="58"/>
        <v>0</v>
      </c>
      <c r="AP19" s="72">
        <f t="shared" si="58"/>
        <v>0</v>
      </c>
      <c r="AQ19" s="72">
        <f t="shared" si="58"/>
        <v>0</v>
      </c>
      <c r="AR19" s="71">
        <f t="shared" si="22"/>
        <v>0</v>
      </c>
      <c r="AS19" s="73"/>
      <c r="AT19" s="72">
        <f t="shared" ref="AT19:BE19" si="59">AF19*(1+$AF$7)</f>
        <v>0</v>
      </c>
      <c r="AU19" s="72">
        <f t="shared" si="59"/>
        <v>0</v>
      </c>
      <c r="AV19" s="72">
        <f t="shared" si="59"/>
        <v>0</v>
      </c>
      <c r="AW19" s="72">
        <f t="shared" si="59"/>
        <v>0</v>
      </c>
      <c r="AX19" s="72">
        <f t="shared" si="59"/>
        <v>0</v>
      </c>
      <c r="AY19" s="72">
        <f t="shared" si="59"/>
        <v>0</v>
      </c>
      <c r="AZ19" s="72">
        <f t="shared" si="59"/>
        <v>0</v>
      </c>
      <c r="BA19" s="72">
        <f t="shared" si="59"/>
        <v>0</v>
      </c>
      <c r="BB19" s="72">
        <f t="shared" si="59"/>
        <v>0</v>
      </c>
      <c r="BC19" s="72">
        <f t="shared" si="59"/>
        <v>0</v>
      </c>
      <c r="BD19" s="72">
        <f t="shared" si="59"/>
        <v>0</v>
      </c>
      <c r="BE19" s="72">
        <f t="shared" si="59"/>
        <v>0</v>
      </c>
      <c r="BF19" s="71">
        <f t="shared" si="24"/>
        <v>0</v>
      </c>
      <c r="BG19" s="73">
        <f t="shared" si="54"/>
        <v>0</v>
      </c>
      <c r="BH19" s="72">
        <f t="shared" ref="BH19:BS19" si="60">AT19*(1+$AF$7)</f>
        <v>0</v>
      </c>
      <c r="BI19" s="72">
        <f t="shared" si="60"/>
        <v>0</v>
      </c>
      <c r="BJ19" s="72">
        <f t="shared" si="60"/>
        <v>0</v>
      </c>
      <c r="BK19" s="72">
        <f t="shared" si="60"/>
        <v>0</v>
      </c>
      <c r="BL19" s="72">
        <f t="shared" si="60"/>
        <v>0</v>
      </c>
      <c r="BM19" s="72">
        <f t="shared" si="60"/>
        <v>0</v>
      </c>
      <c r="BN19" s="72">
        <f t="shared" si="60"/>
        <v>0</v>
      </c>
      <c r="BO19" s="72">
        <f t="shared" si="60"/>
        <v>0</v>
      </c>
      <c r="BP19" s="72">
        <f t="shared" si="60"/>
        <v>0</v>
      </c>
      <c r="BQ19" s="72">
        <f t="shared" si="60"/>
        <v>0</v>
      </c>
      <c r="BR19" s="72">
        <f t="shared" si="60"/>
        <v>0</v>
      </c>
      <c r="BS19" s="72">
        <f t="shared" si="60"/>
        <v>0</v>
      </c>
      <c r="BT19" s="71">
        <f t="shared" si="26"/>
        <v>0</v>
      </c>
      <c r="BU19" s="73"/>
      <c r="BV19" s="72">
        <f t="shared" ref="BV19:CG19" si="61">BH19*(1+$AF$7)</f>
        <v>0</v>
      </c>
      <c r="BW19" s="72">
        <f t="shared" si="61"/>
        <v>0</v>
      </c>
      <c r="BX19" s="72">
        <f t="shared" si="61"/>
        <v>0</v>
      </c>
      <c r="BY19" s="72">
        <f t="shared" si="61"/>
        <v>0</v>
      </c>
      <c r="BZ19" s="72">
        <f t="shared" si="61"/>
        <v>0</v>
      </c>
      <c r="CA19" s="72">
        <f t="shared" si="61"/>
        <v>0</v>
      </c>
      <c r="CB19" s="72">
        <f t="shared" si="61"/>
        <v>0</v>
      </c>
      <c r="CC19" s="72">
        <f t="shared" si="61"/>
        <v>0</v>
      </c>
      <c r="CD19" s="72">
        <f t="shared" si="61"/>
        <v>0</v>
      </c>
      <c r="CE19" s="72">
        <f t="shared" si="61"/>
        <v>0</v>
      </c>
      <c r="CF19" s="72">
        <f t="shared" si="61"/>
        <v>0</v>
      </c>
      <c r="CG19" s="72">
        <f t="shared" si="61"/>
        <v>0</v>
      </c>
      <c r="CH19" s="71">
        <f t="shared" si="28"/>
        <v>0</v>
      </c>
    </row>
    <row r="20" ht="19.5" customHeight="1">
      <c r="P20" s="6"/>
      <c r="AD20" s="6"/>
      <c r="AF20" s="23"/>
      <c r="AJ20" s="23"/>
      <c r="AR20" s="6"/>
      <c r="BF20" s="6"/>
      <c r="BT20" s="6"/>
      <c r="CH20" s="6"/>
    </row>
    <row r="21" ht="19.5" customHeight="1">
      <c r="P21" s="6"/>
      <c r="AD21" s="6"/>
      <c r="AR21" s="6"/>
      <c r="BF21" s="6"/>
      <c r="BT21" s="6"/>
      <c r="CH21" s="6"/>
    </row>
    <row r="22" ht="19.5" customHeight="1">
      <c r="P22" s="6"/>
      <c r="AD22" s="6"/>
      <c r="AR22" s="6"/>
      <c r="BF22" s="6"/>
      <c r="BT22" s="6"/>
      <c r="CH22" s="6"/>
    </row>
    <row r="23" ht="19.5" customHeight="1">
      <c r="P23" s="6"/>
      <c r="AD23" s="6"/>
      <c r="AR23" s="6"/>
      <c r="BF23" s="6"/>
      <c r="BT23" s="6"/>
      <c r="CH23" s="6"/>
    </row>
    <row r="24" ht="19.5" customHeight="1">
      <c r="P24" s="6"/>
      <c r="AD24" s="6"/>
      <c r="AR24" s="6"/>
      <c r="BF24" s="6"/>
      <c r="BT24" s="6"/>
      <c r="CH24" s="6"/>
    </row>
    <row r="25" ht="19.5" customHeight="1">
      <c r="P25" s="6"/>
      <c r="AD25" s="6"/>
      <c r="AR25" s="6"/>
      <c r="BF25" s="6"/>
      <c r="BT25" s="6"/>
      <c r="CH25" s="6"/>
    </row>
    <row r="26" ht="19.5" customHeight="1">
      <c r="P26" s="6"/>
      <c r="AD26" s="6"/>
      <c r="AR26" s="6"/>
      <c r="BF26" s="6"/>
      <c r="BT26" s="6"/>
      <c r="CH26" s="6"/>
    </row>
    <row r="27" ht="19.5" customHeight="1">
      <c r="P27" s="6"/>
      <c r="AD27" s="6"/>
      <c r="AR27" s="6"/>
      <c r="BF27" s="6"/>
      <c r="BT27" s="6"/>
      <c r="CH27" s="6"/>
    </row>
    <row r="28" ht="19.5" customHeight="1">
      <c r="P28" s="6"/>
      <c r="AD28" s="6"/>
      <c r="AR28" s="6"/>
      <c r="BF28" s="6"/>
      <c r="BT28" s="6"/>
      <c r="CH28" s="6"/>
    </row>
    <row r="29" ht="19.5" customHeight="1">
      <c r="P29" s="6"/>
      <c r="AD29" s="6"/>
      <c r="AR29" s="6"/>
      <c r="BF29" s="6"/>
      <c r="BT29" s="6"/>
      <c r="CH29" s="6"/>
    </row>
    <row r="30" ht="19.5" customHeight="1">
      <c r="P30" s="6"/>
      <c r="AD30" s="6"/>
      <c r="AR30" s="6"/>
      <c r="BF30" s="6"/>
      <c r="BT30" s="6"/>
      <c r="CH30" s="6"/>
    </row>
    <row r="31" ht="19.5" customHeight="1">
      <c r="P31" s="6"/>
      <c r="AD31" s="6"/>
      <c r="AR31" s="6"/>
      <c r="BF31" s="6"/>
      <c r="BT31" s="6"/>
      <c r="CH31" s="6"/>
    </row>
    <row r="32" ht="19.5" customHeight="1">
      <c r="P32" s="6"/>
      <c r="AD32" s="6"/>
      <c r="AR32" s="6"/>
      <c r="BF32" s="6"/>
      <c r="BT32" s="6"/>
      <c r="CH32" s="6"/>
    </row>
    <row r="33" ht="19.5" customHeight="1">
      <c r="P33" s="6"/>
      <c r="AD33" s="6"/>
      <c r="AR33" s="6"/>
      <c r="BF33" s="6"/>
      <c r="BT33" s="6"/>
      <c r="CH33" s="6"/>
    </row>
    <row r="34" ht="19.5" customHeight="1">
      <c r="P34" s="6"/>
      <c r="AD34" s="6"/>
      <c r="AR34" s="6"/>
      <c r="BF34" s="6"/>
      <c r="BT34" s="6"/>
      <c r="CH34" s="6"/>
    </row>
    <row r="35" ht="19.5" customHeight="1">
      <c r="P35" s="6"/>
      <c r="AD35" s="6"/>
      <c r="AR35" s="6"/>
      <c r="BF35" s="6"/>
      <c r="BT35" s="6"/>
      <c r="CH35" s="6"/>
    </row>
    <row r="36" ht="19.5" customHeight="1">
      <c r="P36" s="6"/>
      <c r="AD36" s="6"/>
      <c r="AR36" s="6"/>
      <c r="BF36" s="6"/>
      <c r="BT36" s="6"/>
      <c r="CH36" s="6"/>
    </row>
    <row r="37" ht="19.5" customHeight="1">
      <c r="P37" s="6"/>
      <c r="AD37" s="6"/>
      <c r="AR37" s="6"/>
      <c r="BF37" s="6"/>
      <c r="BT37" s="6"/>
      <c r="CH37" s="6"/>
    </row>
    <row r="38" ht="19.5" customHeight="1">
      <c r="P38" s="6"/>
      <c r="AD38" s="6"/>
      <c r="AR38" s="6"/>
      <c r="BF38" s="6"/>
      <c r="BT38" s="6"/>
      <c r="CH38" s="6"/>
    </row>
    <row r="39" ht="19.5" customHeight="1">
      <c r="P39" s="6"/>
      <c r="AD39" s="6"/>
      <c r="AR39" s="6"/>
      <c r="BF39" s="6"/>
      <c r="BT39" s="6"/>
      <c r="CH39" s="6"/>
    </row>
    <row r="40" ht="19.5" customHeight="1">
      <c r="P40" s="6"/>
      <c r="AD40" s="6"/>
      <c r="AR40" s="6"/>
      <c r="BF40" s="6"/>
      <c r="BT40" s="6"/>
      <c r="CH40" s="6"/>
    </row>
    <row r="41" ht="19.5" customHeight="1">
      <c r="P41" s="6"/>
      <c r="AD41" s="6"/>
      <c r="AR41" s="6"/>
      <c r="BF41" s="6"/>
      <c r="BT41" s="6"/>
      <c r="CH41" s="6"/>
    </row>
    <row r="42" ht="19.5" customHeight="1">
      <c r="P42" s="6"/>
      <c r="AD42" s="6"/>
      <c r="AR42" s="6"/>
      <c r="BF42" s="6"/>
      <c r="BT42" s="6"/>
      <c r="CH42" s="6"/>
    </row>
    <row r="43" ht="19.5" customHeight="1">
      <c r="P43" s="6"/>
      <c r="AD43" s="6"/>
      <c r="AR43" s="6"/>
      <c r="BF43" s="6"/>
      <c r="BT43" s="6"/>
      <c r="CH43" s="6"/>
    </row>
    <row r="44" ht="19.5" customHeight="1">
      <c r="P44" s="6"/>
      <c r="AD44" s="6"/>
      <c r="AR44" s="6"/>
      <c r="BF44" s="6"/>
      <c r="BT44" s="6"/>
      <c r="CH44" s="6"/>
    </row>
    <row r="45" ht="19.5" customHeight="1">
      <c r="P45" s="6"/>
      <c r="AD45" s="6"/>
      <c r="AR45" s="6"/>
      <c r="BF45" s="6"/>
      <c r="BT45" s="6"/>
      <c r="CH45" s="6"/>
    </row>
    <row r="46" ht="19.5" customHeight="1">
      <c r="P46" s="6"/>
      <c r="AD46" s="6"/>
      <c r="AR46" s="6"/>
      <c r="BF46" s="6"/>
      <c r="BT46" s="6"/>
      <c r="CH46" s="6"/>
    </row>
    <row r="47" ht="19.5" customHeight="1">
      <c r="P47" s="6"/>
      <c r="AD47" s="6"/>
      <c r="AR47" s="6"/>
      <c r="BF47" s="6"/>
      <c r="BT47" s="6"/>
      <c r="CH47" s="6"/>
    </row>
    <row r="48" ht="19.5" customHeight="1">
      <c r="P48" s="6"/>
      <c r="AD48" s="6"/>
      <c r="AR48" s="6"/>
      <c r="BF48" s="6"/>
      <c r="BT48" s="6"/>
      <c r="CH48" s="6"/>
    </row>
    <row r="49" ht="19.5" customHeight="1">
      <c r="P49" s="6"/>
      <c r="AD49" s="6"/>
      <c r="AR49" s="6"/>
      <c r="BF49" s="6"/>
      <c r="BT49" s="6"/>
      <c r="CH49" s="6"/>
    </row>
    <row r="50" ht="19.5" customHeight="1">
      <c r="P50" s="6"/>
      <c r="AD50" s="6"/>
      <c r="AR50" s="6"/>
      <c r="BF50" s="6"/>
      <c r="BT50" s="6"/>
      <c r="CH50" s="6"/>
    </row>
    <row r="51" ht="19.5" customHeight="1">
      <c r="P51" s="6"/>
      <c r="AD51" s="6"/>
      <c r="AR51" s="6"/>
      <c r="BF51" s="6"/>
      <c r="BT51" s="6"/>
      <c r="CH51" s="6"/>
    </row>
    <row r="52" ht="19.5" customHeight="1">
      <c r="P52" s="6"/>
      <c r="AD52" s="6"/>
      <c r="AR52" s="6"/>
      <c r="BF52" s="6"/>
      <c r="BT52" s="6"/>
      <c r="CH52" s="6"/>
    </row>
    <row r="53" ht="19.5" customHeight="1">
      <c r="P53" s="6"/>
      <c r="AD53" s="6"/>
      <c r="AR53" s="6"/>
      <c r="BF53" s="6"/>
      <c r="BT53" s="6"/>
      <c r="CH53" s="6"/>
    </row>
    <row r="54" ht="19.5" customHeight="1">
      <c r="P54" s="6"/>
      <c r="AD54" s="6"/>
      <c r="AR54" s="6"/>
      <c r="BF54" s="6"/>
      <c r="BT54" s="6"/>
      <c r="CH54" s="6"/>
    </row>
    <row r="55" ht="19.5" customHeight="1">
      <c r="P55" s="6"/>
      <c r="AD55" s="6"/>
      <c r="AR55" s="6"/>
      <c r="BF55" s="6"/>
      <c r="BT55" s="6"/>
      <c r="CH55" s="6"/>
    </row>
    <row r="56" ht="19.5" customHeight="1">
      <c r="P56" s="6"/>
      <c r="AD56" s="6"/>
      <c r="AR56" s="6"/>
      <c r="BF56" s="6"/>
      <c r="BT56" s="6"/>
      <c r="CH56" s="6"/>
    </row>
    <row r="57" ht="19.5" customHeight="1">
      <c r="P57" s="6"/>
      <c r="AD57" s="6"/>
      <c r="AR57" s="6"/>
      <c r="BF57" s="6"/>
      <c r="BT57" s="6"/>
      <c r="CH57" s="6"/>
    </row>
    <row r="58" ht="19.5" customHeight="1">
      <c r="P58" s="6"/>
      <c r="AD58" s="6"/>
      <c r="AR58" s="6"/>
      <c r="BF58" s="6"/>
      <c r="BT58" s="6"/>
      <c r="CH58" s="6"/>
    </row>
    <row r="59" ht="19.5" customHeight="1">
      <c r="P59" s="6"/>
      <c r="AD59" s="6"/>
      <c r="AR59" s="6"/>
      <c r="BF59" s="6"/>
      <c r="BT59" s="6"/>
      <c r="CH59" s="6"/>
    </row>
    <row r="60" ht="19.5" customHeight="1">
      <c r="P60" s="6"/>
      <c r="AD60" s="6"/>
      <c r="AR60" s="6"/>
      <c r="BF60" s="6"/>
      <c r="BT60" s="6"/>
      <c r="CH60" s="6"/>
    </row>
    <row r="61" ht="19.5" customHeight="1">
      <c r="P61" s="6"/>
      <c r="AD61" s="6"/>
      <c r="AR61" s="6"/>
      <c r="BF61" s="6"/>
      <c r="BT61" s="6"/>
      <c r="CH61" s="6"/>
    </row>
    <row r="62" ht="19.5" customHeight="1">
      <c r="P62" s="6"/>
      <c r="AD62" s="6"/>
      <c r="AR62" s="6"/>
      <c r="BF62" s="6"/>
      <c r="BT62" s="6"/>
      <c r="CH62" s="6"/>
    </row>
    <row r="63" ht="19.5" customHeight="1">
      <c r="P63" s="6"/>
      <c r="AD63" s="6"/>
      <c r="AR63" s="6"/>
      <c r="BF63" s="6"/>
      <c r="BT63" s="6"/>
      <c r="CH63" s="6"/>
    </row>
    <row r="64" ht="19.5" customHeight="1">
      <c r="P64" s="6"/>
      <c r="AD64" s="6"/>
      <c r="AR64" s="6"/>
      <c r="BF64" s="6"/>
      <c r="BT64" s="6"/>
      <c r="CH64" s="6"/>
    </row>
    <row r="65" ht="19.5" customHeight="1">
      <c r="P65" s="6"/>
      <c r="AD65" s="6"/>
      <c r="AR65" s="6"/>
      <c r="BF65" s="6"/>
      <c r="BT65" s="6"/>
      <c r="CH65" s="6"/>
    </row>
    <row r="66" ht="19.5" customHeight="1">
      <c r="P66" s="6"/>
      <c r="AD66" s="6"/>
      <c r="AR66" s="6"/>
      <c r="BF66" s="6"/>
      <c r="BT66" s="6"/>
      <c r="CH66" s="6"/>
    </row>
    <row r="67" ht="19.5" customHeight="1">
      <c r="P67" s="6"/>
      <c r="AD67" s="6"/>
      <c r="AR67" s="6"/>
      <c r="BF67" s="6"/>
      <c r="BT67" s="6"/>
      <c r="CH67" s="6"/>
    </row>
    <row r="68" ht="13.5" customHeight="1">
      <c r="P68" s="6"/>
      <c r="AD68" s="6"/>
      <c r="AR68" s="6"/>
      <c r="BF68" s="6"/>
      <c r="BT68" s="6"/>
      <c r="CH68" s="6"/>
    </row>
    <row r="69" ht="13.5" customHeight="1">
      <c r="P69" s="6"/>
      <c r="AD69" s="6"/>
      <c r="AR69" s="6"/>
      <c r="BF69" s="6"/>
      <c r="BT69" s="6"/>
      <c r="CH69" s="6"/>
    </row>
    <row r="70" ht="13.5" customHeight="1">
      <c r="P70" s="6"/>
      <c r="AD70" s="6"/>
      <c r="AR70" s="6"/>
      <c r="BF70" s="6"/>
      <c r="BT70" s="6"/>
      <c r="CH70" s="6"/>
    </row>
    <row r="71" ht="13.5" customHeight="1">
      <c r="P71" s="6"/>
      <c r="AD71" s="6"/>
      <c r="AR71" s="6"/>
      <c r="BF71" s="6"/>
      <c r="BT71" s="6"/>
      <c r="CH71" s="6"/>
    </row>
    <row r="72" ht="13.5" customHeight="1">
      <c r="P72" s="6"/>
      <c r="AD72" s="6"/>
      <c r="AR72" s="6"/>
      <c r="BF72" s="6"/>
      <c r="BT72" s="6"/>
      <c r="CH72" s="6"/>
    </row>
    <row r="73" ht="13.5" customHeight="1">
      <c r="P73" s="6"/>
      <c r="AD73" s="6"/>
      <c r="AR73" s="6"/>
      <c r="BF73" s="6"/>
      <c r="BT73" s="6"/>
      <c r="CH73" s="6"/>
    </row>
    <row r="74" ht="13.5" customHeight="1">
      <c r="P74" s="6"/>
      <c r="AD74" s="6"/>
      <c r="AR74" s="6"/>
      <c r="BF74" s="6"/>
      <c r="BT74" s="6"/>
      <c r="CH74" s="6"/>
    </row>
    <row r="75" ht="13.5" customHeight="1">
      <c r="P75" s="6"/>
      <c r="AD75" s="6"/>
      <c r="AR75" s="6"/>
      <c r="BF75" s="6"/>
      <c r="BT75" s="6"/>
      <c r="CH75" s="6"/>
    </row>
    <row r="76" ht="13.5" customHeight="1">
      <c r="P76" s="6"/>
      <c r="AD76" s="6"/>
      <c r="AR76" s="6"/>
      <c r="BF76" s="6"/>
      <c r="BT76" s="6"/>
      <c r="CH76" s="6"/>
    </row>
    <row r="77" ht="13.5" customHeight="1">
      <c r="P77" s="6"/>
      <c r="AD77" s="6"/>
      <c r="AR77" s="6"/>
      <c r="BF77" s="6"/>
      <c r="BT77" s="6"/>
      <c r="CH77" s="6"/>
    </row>
    <row r="78" ht="13.5" customHeight="1">
      <c r="P78" s="6"/>
      <c r="AD78" s="6"/>
      <c r="AR78" s="6"/>
      <c r="BF78" s="6"/>
      <c r="BT78" s="6"/>
      <c r="CH78" s="6"/>
    </row>
    <row r="79" ht="13.5" customHeight="1">
      <c r="P79" s="6"/>
      <c r="AD79" s="6"/>
      <c r="AR79" s="6"/>
      <c r="BF79" s="6"/>
      <c r="BT79" s="6"/>
      <c r="CH79" s="6"/>
    </row>
    <row r="80" ht="13.5" customHeight="1">
      <c r="P80" s="6"/>
      <c r="AD80" s="6"/>
      <c r="AR80" s="6"/>
      <c r="BF80" s="6"/>
      <c r="BT80" s="6"/>
      <c r="CH80" s="6"/>
    </row>
    <row r="81" ht="13.5" customHeight="1">
      <c r="P81" s="6"/>
      <c r="AD81" s="6"/>
      <c r="AR81" s="6"/>
      <c r="BF81" s="6"/>
      <c r="BT81" s="6"/>
      <c r="CH81" s="6"/>
    </row>
    <row r="82" ht="13.5" customHeight="1">
      <c r="P82" s="6"/>
      <c r="AD82" s="6"/>
      <c r="AR82" s="6"/>
      <c r="BF82" s="6"/>
      <c r="BT82" s="6"/>
      <c r="CH82" s="6"/>
    </row>
    <row r="83" ht="13.5" customHeight="1">
      <c r="P83" s="6"/>
      <c r="AD83" s="6"/>
      <c r="AR83" s="6"/>
      <c r="BF83" s="6"/>
      <c r="BT83" s="6"/>
      <c r="CH83" s="6"/>
    </row>
    <row r="84" ht="13.5" customHeight="1">
      <c r="P84" s="6"/>
      <c r="AD84" s="6"/>
      <c r="AR84" s="6"/>
      <c r="BF84" s="6"/>
      <c r="BT84" s="6"/>
      <c r="CH84" s="6"/>
    </row>
    <row r="85" ht="13.5" customHeight="1">
      <c r="P85" s="6"/>
      <c r="AD85" s="6"/>
      <c r="AR85" s="6"/>
      <c r="BF85" s="6"/>
      <c r="BT85" s="6"/>
      <c r="CH85" s="6"/>
    </row>
    <row r="86" ht="13.5" customHeight="1">
      <c r="P86" s="6"/>
      <c r="AD86" s="6"/>
      <c r="AR86" s="6"/>
      <c r="BF86" s="6"/>
      <c r="BT86" s="6"/>
      <c r="CH86" s="6"/>
    </row>
    <row r="87" ht="13.5" customHeight="1">
      <c r="P87" s="6"/>
      <c r="AD87" s="6"/>
      <c r="AR87" s="6"/>
      <c r="BF87" s="6"/>
      <c r="BT87" s="6"/>
      <c r="CH87" s="6"/>
    </row>
    <row r="88" ht="13.5" customHeight="1">
      <c r="P88" s="6"/>
      <c r="AD88" s="6"/>
      <c r="AR88" s="6"/>
      <c r="BF88" s="6"/>
      <c r="BT88" s="6"/>
      <c r="CH88" s="6"/>
    </row>
    <row r="89" ht="13.5" customHeight="1">
      <c r="P89" s="6"/>
      <c r="AD89" s="6"/>
      <c r="AR89" s="6"/>
      <c r="BF89" s="6"/>
      <c r="BT89" s="6"/>
      <c r="CH89" s="6"/>
    </row>
    <row r="90" ht="13.5" customHeight="1">
      <c r="P90" s="6"/>
      <c r="AD90" s="6"/>
      <c r="AR90" s="6"/>
      <c r="BF90" s="6"/>
      <c r="BT90" s="6"/>
      <c r="CH90" s="6"/>
    </row>
    <row r="91" ht="13.5" customHeight="1">
      <c r="P91" s="6"/>
      <c r="AD91" s="6"/>
      <c r="AR91" s="6"/>
      <c r="BF91" s="6"/>
      <c r="BT91" s="6"/>
      <c r="CH91" s="6"/>
    </row>
    <row r="92" ht="13.5" customHeight="1">
      <c r="P92" s="6"/>
      <c r="AD92" s="6"/>
      <c r="AR92" s="6"/>
      <c r="BF92" s="6"/>
      <c r="BT92" s="6"/>
      <c r="CH92" s="6"/>
    </row>
    <row r="93" ht="13.5" customHeight="1">
      <c r="P93" s="6"/>
      <c r="AD93" s="6"/>
      <c r="AR93" s="6"/>
      <c r="BF93" s="6"/>
      <c r="BT93" s="6"/>
      <c r="CH93" s="6"/>
    </row>
    <row r="94" ht="13.5" customHeight="1">
      <c r="P94" s="6"/>
      <c r="AD94" s="6"/>
      <c r="AR94" s="6"/>
      <c r="BF94" s="6"/>
      <c r="BT94" s="6"/>
      <c r="CH94" s="6"/>
    </row>
    <row r="95" ht="13.5" customHeight="1">
      <c r="P95" s="6"/>
      <c r="AD95" s="6"/>
      <c r="AR95" s="6"/>
      <c r="BF95" s="6"/>
      <c r="BT95" s="6"/>
      <c r="CH95" s="6"/>
    </row>
    <row r="96" ht="13.5" customHeight="1">
      <c r="P96" s="6"/>
      <c r="AD96" s="6"/>
      <c r="AR96" s="6"/>
      <c r="BF96" s="6"/>
      <c r="BT96" s="6"/>
      <c r="CH96" s="6"/>
    </row>
    <row r="97" ht="13.5" customHeight="1">
      <c r="P97" s="6"/>
      <c r="AD97" s="6"/>
      <c r="AR97" s="6"/>
      <c r="BF97" s="6"/>
      <c r="BT97" s="6"/>
      <c r="CH97" s="6"/>
    </row>
    <row r="98" ht="13.5" customHeight="1">
      <c r="P98" s="6"/>
      <c r="AD98" s="6"/>
      <c r="AR98" s="6"/>
      <c r="BF98" s="6"/>
      <c r="BT98" s="6"/>
      <c r="CH98" s="6"/>
    </row>
    <row r="99" ht="13.5" customHeight="1">
      <c r="P99" s="6"/>
      <c r="AD99" s="6"/>
      <c r="AR99" s="6"/>
      <c r="BF99" s="6"/>
      <c r="BT99" s="6"/>
      <c r="CH99" s="6"/>
    </row>
    <row r="100" ht="13.5" customHeight="1">
      <c r="P100" s="6"/>
      <c r="AD100" s="6"/>
      <c r="AR100" s="6"/>
      <c r="BF100" s="6"/>
      <c r="BT100" s="6"/>
      <c r="CH100" s="6"/>
    </row>
    <row r="101" ht="13.5" customHeight="1">
      <c r="P101" s="6"/>
      <c r="AD101" s="6"/>
      <c r="AR101" s="6"/>
      <c r="BF101" s="6"/>
      <c r="BT101" s="6"/>
      <c r="CH101" s="6"/>
    </row>
    <row r="102" ht="13.5" customHeight="1">
      <c r="P102" s="6"/>
      <c r="AD102" s="6"/>
      <c r="AR102" s="6"/>
      <c r="BF102" s="6"/>
      <c r="BT102" s="6"/>
      <c r="CH102" s="6"/>
    </row>
    <row r="103" ht="13.5" customHeight="1">
      <c r="P103" s="6"/>
      <c r="AD103" s="6"/>
      <c r="AR103" s="6"/>
      <c r="BF103" s="6"/>
      <c r="BT103" s="6"/>
      <c r="CH103" s="6"/>
    </row>
    <row r="104" ht="13.5" customHeight="1">
      <c r="P104" s="6"/>
      <c r="AD104" s="6"/>
      <c r="AR104" s="6"/>
      <c r="BF104" s="6"/>
      <c r="BT104" s="6"/>
      <c r="CH104" s="6"/>
    </row>
    <row r="105" ht="13.5" customHeight="1">
      <c r="P105" s="6"/>
      <c r="AD105" s="6"/>
      <c r="AR105" s="6"/>
      <c r="BF105" s="6"/>
      <c r="BT105" s="6"/>
      <c r="CH105" s="6"/>
    </row>
    <row r="106" ht="13.5" customHeight="1">
      <c r="P106" s="6"/>
      <c r="AD106" s="6"/>
      <c r="AR106" s="6"/>
      <c r="BF106" s="6"/>
      <c r="BT106" s="6"/>
      <c r="CH106" s="6"/>
    </row>
    <row r="107" ht="13.5" customHeight="1">
      <c r="P107" s="6"/>
      <c r="AD107" s="6"/>
      <c r="AR107" s="6"/>
      <c r="BF107" s="6"/>
      <c r="BT107" s="6"/>
      <c r="CH107" s="6"/>
    </row>
    <row r="108" ht="13.5" customHeight="1">
      <c r="P108" s="6"/>
      <c r="AD108" s="6"/>
      <c r="AR108" s="6"/>
      <c r="BF108" s="6"/>
      <c r="BT108" s="6"/>
      <c r="CH108" s="6"/>
    </row>
    <row r="109" ht="13.5" customHeight="1">
      <c r="P109" s="6"/>
      <c r="AD109" s="6"/>
      <c r="AR109" s="6"/>
      <c r="BF109" s="6"/>
      <c r="BT109" s="6"/>
      <c r="CH109" s="6"/>
    </row>
    <row r="110" ht="13.5" customHeight="1">
      <c r="P110" s="6"/>
      <c r="AD110" s="6"/>
      <c r="AR110" s="6"/>
      <c r="BF110" s="6"/>
      <c r="BT110" s="6"/>
      <c r="CH110" s="6"/>
    </row>
    <row r="111" ht="13.5" customHeight="1">
      <c r="P111" s="6"/>
      <c r="AD111" s="6"/>
      <c r="AR111" s="6"/>
      <c r="BF111" s="6"/>
      <c r="BT111" s="6"/>
      <c r="CH111" s="6"/>
    </row>
    <row r="112" ht="13.5" customHeight="1">
      <c r="P112" s="6"/>
      <c r="AD112" s="6"/>
      <c r="AR112" s="6"/>
      <c r="BF112" s="6"/>
      <c r="BT112" s="6"/>
      <c r="CH112" s="6"/>
    </row>
    <row r="113" ht="13.5" customHeight="1">
      <c r="P113" s="6"/>
      <c r="AD113" s="6"/>
      <c r="AR113" s="6"/>
      <c r="BF113" s="6"/>
      <c r="BT113" s="6"/>
      <c r="CH113" s="6"/>
    </row>
    <row r="114" ht="13.5" customHeight="1">
      <c r="P114" s="6"/>
      <c r="AD114" s="6"/>
      <c r="AR114" s="6"/>
      <c r="BF114" s="6"/>
      <c r="BT114" s="6"/>
      <c r="CH114" s="6"/>
    </row>
    <row r="115" ht="13.5" customHeight="1">
      <c r="P115" s="6"/>
      <c r="AD115" s="6"/>
      <c r="AR115" s="6"/>
      <c r="BF115" s="6"/>
      <c r="BT115" s="6"/>
      <c r="CH115" s="6"/>
    </row>
    <row r="116" ht="13.5" customHeight="1">
      <c r="P116" s="6"/>
      <c r="AD116" s="6"/>
      <c r="AR116" s="6"/>
      <c r="BF116" s="6"/>
      <c r="BT116" s="6"/>
      <c r="CH116" s="6"/>
    </row>
    <row r="117" ht="13.5" customHeight="1">
      <c r="P117" s="6"/>
      <c r="AD117" s="6"/>
      <c r="AR117" s="6"/>
      <c r="BF117" s="6"/>
      <c r="BT117" s="6"/>
      <c r="CH117" s="6"/>
    </row>
    <row r="118" ht="13.5" customHeight="1">
      <c r="P118" s="6"/>
      <c r="AD118" s="6"/>
      <c r="AR118" s="6"/>
      <c r="BF118" s="6"/>
      <c r="BT118" s="6"/>
      <c r="CH118" s="6"/>
    </row>
    <row r="119" ht="13.5" customHeight="1">
      <c r="P119" s="6"/>
      <c r="AD119" s="6"/>
      <c r="AR119" s="6"/>
      <c r="BF119" s="6"/>
      <c r="BT119" s="6"/>
      <c r="CH119" s="6"/>
    </row>
    <row r="120" ht="13.5" customHeight="1">
      <c r="P120" s="6"/>
      <c r="AD120" s="6"/>
      <c r="AR120" s="6"/>
      <c r="BF120" s="6"/>
      <c r="BT120" s="6"/>
      <c r="CH120" s="6"/>
    </row>
    <row r="121" ht="13.5" customHeight="1">
      <c r="P121" s="6"/>
      <c r="AD121" s="6"/>
      <c r="AR121" s="6"/>
      <c r="BF121" s="6"/>
      <c r="BT121" s="6"/>
      <c r="CH121" s="6"/>
    </row>
    <row r="122" ht="13.5" customHeight="1">
      <c r="P122" s="6"/>
      <c r="AD122" s="6"/>
      <c r="AR122" s="6"/>
      <c r="BF122" s="6"/>
      <c r="BT122" s="6"/>
      <c r="CH122" s="6"/>
    </row>
    <row r="123" ht="13.5" customHeight="1">
      <c r="P123" s="6"/>
      <c r="AD123" s="6"/>
      <c r="AR123" s="6"/>
      <c r="BF123" s="6"/>
      <c r="BT123" s="6"/>
      <c r="CH123" s="6"/>
    </row>
    <row r="124" ht="13.5" customHeight="1">
      <c r="P124" s="6"/>
      <c r="AD124" s="6"/>
      <c r="AR124" s="6"/>
      <c r="BF124" s="6"/>
      <c r="BT124" s="6"/>
      <c r="CH124" s="6"/>
    </row>
    <row r="125" ht="13.5" customHeight="1">
      <c r="P125" s="6"/>
      <c r="AD125" s="6"/>
      <c r="AR125" s="6"/>
      <c r="BF125" s="6"/>
      <c r="BT125" s="6"/>
      <c r="CH125" s="6"/>
    </row>
    <row r="126" ht="13.5" customHeight="1">
      <c r="P126" s="6"/>
      <c r="AD126" s="6"/>
      <c r="AR126" s="6"/>
      <c r="BF126" s="6"/>
      <c r="BT126" s="6"/>
      <c r="CH126" s="6"/>
    </row>
    <row r="127" ht="13.5" customHeight="1">
      <c r="P127" s="6"/>
      <c r="AD127" s="6"/>
      <c r="AR127" s="6"/>
      <c r="BF127" s="6"/>
      <c r="BT127" s="6"/>
      <c r="CH127" s="6"/>
    </row>
    <row r="128" ht="13.5" customHeight="1">
      <c r="P128" s="6"/>
      <c r="AD128" s="6"/>
      <c r="AR128" s="6"/>
      <c r="BF128" s="6"/>
      <c r="BT128" s="6"/>
      <c r="CH128" s="6"/>
    </row>
    <row r="129" ht="13.5" customHeight="1">
      <c r="P129" s="6"/>
      <c r="AD129" s="6"/>
      <c r="AR129" s="6"/>
      <c r="BF129" s="6"/>
      <c r="BT129" s="6"/>
      <c r="CH129" s="6"/>
    </row>
    <row r="130" ht="13.5" customHeight="1">
      <c r="P130" s="6"/>
      <c r="AD130" s="6"/>
      <c r="AR130" s="6"/>
      <c r="BF130" s="6"/>
      <c r="BT130" s="6"/>
      <c r="CH130" s="6"/>
    </row>
    <row r="131" ht="13.5" customHeight="1">
      <c r="P131" s="6"/>
      <c r="AD131" s="6"/>
      <c r="AR131" s="6"/>
      <c r="BF131" s="6"/>
      <c r="BT131" s="6"/>
      <c r="CH131" s="6"/>
    </row>
    <row r="132" ht="13.5" customHeight="1">
      <c r="P132" s="6"/>
      <c r="AD132" s="6"/>
      <c r="AR132" s="6"/>
      <c r="BF132" s="6"/>
      <c r="BT132" s="6"/>
      <c r="CH132" s="6"/>
    </row>
    <row r="133" ht="13.5" customHeight="1">
      <c r="P133" s="6"/>
      <c r="AD133" s="6"/>
      <c r="AR133" s="6"/>
      <c r="BF133" s="6"/>
      <c r="BT133" s="6"/>
      <c r="CH133" s="6"/>
    </row>
    <row r="134" ht="13.5" customHeight="1">
      <c r="P134" s="6"/>
      <c r="AD134" s="6"/>
      <c r="AR134" s="6"/>
      <c r="BF134" s="6"/>
      <c r="BT134" s="6"/>
      <c r="CH134" s="6"/>
    </row>
    <row r="135" ht="13.5" customHeight="1">
      <c r="P135" s="6"/>
      <c r="AD135" s="6"/>
      <c r="AR135" s="6"/>
      <c r="BF135" s="6"/>
      <c r="BT135" s="6"/>
      <c r="CH135" s="6"/>
    </row>
    <row r="136" ht="13.5" customHeight="1">
      <c r="P136" s="6"/>
      <c r="AD136" s="6"/>
      <c r="AR136" s="6"/>
      <c r="BF136" s="6"/>
      <c r="BT136" s="6"/>
      <c r="CH136" s="6"/>
    </row>
    <row r="137" ht="13.5" customHeight="1">
      <c r="P137" s="6"/>
      <c r="AD137" s="6"/>
      <c r="AR137" s="6"/>
      <c r="BF137" s="6"/>
      <c r="BT137" s="6"/>
      <c r="CH137" s="6"/>
    </row>
    <row r="138" ht="13.5" customHeight="1">
      <c r="P138" s="6"/>
      <c r="AD138" s="6"/>
      <c r="AR138" s="6"/>
      <c r="BF138" s="6"/>
      <c r="BT138" s="6"/>
      <c r="CH138" s="6"/>
    </row>
    <row r="139" ht="13.5" customHeight="1">
      <c r="P139" s="6"/>
      <c r="AD139" s="6"/>
      <c r="AR139" s="6"/>
      <c r="BF139" s="6"/>
      <c r="BT139" s="6"/>
      <c r="CH139" s="6"/>
    </row>
    <row r="140" ht="13.5" customHeight="1">
      <c r="P140" s="6"/>
      <c r="AD140" s="6"/>
      <c r="AR140" s="6"/>
      <c r="BF140" s="6"/>
      <c r="BT140" s="6"/>
      <c r="CH140" s="6"/>
    </row>
    <row r="141" ht="13.5" customHeight="1">
      <c r="P141" s="6"/>
      <c r="AD141" s="6"/>
      <c r="AR141" s="6"/>
      <c r="BF141" s="6"/>
      <c r="BT141" s="6"/>
      <c r="CH141" s="6"/>
    </row>
    <row r="142" ht="13.5" customHeight="1">
      <c r="P142" s="6"/>
      <c r="AD142" s="6"/>
      <c r="AR142" s="6"/>
      <c r="BF142" s="6"/>
      <c r="BT142" s="6"/>
      <c r="CH142" s="6"/>
    </row>
    <row r="143" ht="13.5" customHeight="1">
      <c r="P143" s="6"/>
      <c r="AD143" s="6"/>
      <c r="AR143" s="6"/>
      <c r="BF143" s="6"/>
      <c r="BT143" s="6"/>
      <c r="CH143" s="6"/>
    </row>
    <row r="144" ht="13.5" customHeight="1">
      <c r="P144" s="6"/>
      <c r="AD144" s="6"/>
      <c r="AR144" s="6"/>
      <c r="BF144" s="6"/>
      <c r="BT144" s="6"/>
      <c r="CH144" s="6"/>
    </row>
    <row r="145" ht="13.5" customHeight="1">
      <c r="P145" s="6"/>
      <c r="AD145" s="6"/>
      <c r="AR145" s="6"/>
      <c r="BF145" s="6"/>
      <c r="BT145" s="6"/>
      <c r="CH145" s="6"/>
    </row>
    <row r="146" ht="13.5" customHeight="1">
      <c r="P146" s="6"/>
      <c r="AD146" s="6"/>
      <c r="AR146" s="6"/>
      <c r="BF146" s="6"/>
      <c r="BT146" s="6"/>
      <c r="CH146" s="6"/>
    </row>
    <row r="147" ht="13.5" customHeight="1">
      <c r="P147" s="6"/>
      <c r="AD147" s="6"/>
      <c r="AR147" s="6"/>
      <c r="BF147" s="6"/>
      <c r="BT147" s="6"/>
      <c r="CH147" s="6"/>
    </row>
    <row r="148" ht="13.5" customHeight="1">
      <c r="P148" s="6"/>
      <c r="AD148" s="6"/>
      <c r="AR148" s="6"/>
      <c r="BF148" s="6"/>
      <c r="BT148" s="6"/>
      <c r="CH148" s="6"/>
    </row>
    <row r="149" ht="13.5" customHeight="1">
      <c r="P149" s="6"/>
      <c r="AD149" s="6"/>
      <c r="AR149" s="6"/>
      <c r="BF149" s="6"/>
      <c r="BT149" s="6"/>
      <c r="CH149" s="6"/>
    </row>
    <row r="150" ht="13.5" customHeight="1">
      <c r="P150" s="6"/>
      <c r="AD150" s="6"/>
      <c r="AR150" s="6"/>
      <c r="BF150" s="6"/>
      <c r="BT150" s="6"/>
      <c r="CH150" s="6"/>
    </row>
    <row r="151" ht="13.5" customHeight="1">
      <c r="P151" s="6"/>
      <c r="AD151" s="6"/>
      <c r="AR151" s="6"/>
      <c r="BF151" s="6"/>
      <c r="BT151" s="6"/>
      <c r="CH151" s="6"/>
    </row>
    <row r="152" ht="13.5" customHeight="1">
      <c r="P152" s="6"/>
      <c r="AD152" s="6"/>
      <c r="AR152" s="6"/>
      <c r="BF152" s="6"/>
      <c r="BT152" s="6"/>
      <c r="CH152" s="6"/>
    </row>
    <row r="153" ht="13.5" customHeight="1">
      <c r="P153" s="6"/>
      <c r="AD153" s="6"/>
      <c r="AR153" s="6"/>
      <c r="BF153" s="6"/>
      <c r="BT153" s="6"/>
      <c r="CH153" s="6"/>
    </row>
    <row r="154" ht="13.5" customHeight="1">
      <c r="P154" s="6"/>
      <c r="AD154" s="6"/>
      <c r="AR154" s="6"/>
      <c r="BF154" s="6"/>
      <c r="BT154" s="6"/>
      <c r="CH154" s="6"/>
    </row>
    <row r="155" ht="13.5" customHeight="1">
      <c r="P155" s="6"/>
      <c r="AD155" s="6"/>
      <c r="AR155" s="6"/>
      <c r="BF155" s="6"/>
      <c r="BT155" s="6"/>
      <c r="CH155" s="6"/>
    </row>
    <row r="156" ht="13.5" customHeight="1">
      <c r="P156" s="6"/>
      <c r="AD156" s="6"/>
      <c r="AR156" s="6"/>
      <c r="BF156" s="6"/>
      <c r="BT156" s="6"/>
      <c r="CH156" s="6"/>
    </row>
    <row r="157" ht="13.5" customHeight="1">
      <c r="P157" s="6"/>
      <c r="AD157" s="6"/>
      <c r="AR157" s="6"/>
      <c r="BF157" s="6"/>
      <c r="BT157" s="6"/>
      <c r="CH157" s="6"/>
    </row>
    <row r="158" ht="13.5" customHeight="1">
      <c r="P158" s="6"/>
      <c r="AD158" s="6"/>
      <c r="AR158" s="6"/>
      <c r="BF158" s="6"/>
      <c r="BT158" s="6"/>
      <c r="CH158" s="6"/>
    </row>
    <row r="159" ht="13.5" customHeight="1">
      <c r="P159" s="6"/>
      <c r="AD159" s="6"/>
      <c r="AR159" s="6"/>
      <c r="BF159" s="6"/>
      <c r="BT159" s="6"/>
      <c r="CH159" s="6"/>
    </row>
    <row r="160" ht="13.5" customHeight="1">
      <c r="P160" s="6"/>
      <c r="AD160" s="6"/>
      <c r="AR160" s="6"/>
      <c r="BF160" s="6"/>
      <c r="BT160" s="6"/>
      <c r="CH160" s="6"/>
    </row>
    <row r="161" ht="13.5" customHeight="1">
      <c r="P161" s="6"/>
      <c r="AD161" s="6"/>
      <c r="AR161" s="6"/>
      <c r="BF161" s="6"/>
      <c r="BT161" s="6"/>
      <c r="CH161" s="6"/>
    </row>
    <row r="162" ht="13.5" customHeight="1">
      <c r="P162" s="6"/>
      <c r="AD162" s="6"/>
      <c r="AR162" s="6"/>
      <c r="BF162" s="6"/>
      <c r="BT162" s="6"/>
      <c r="CH162" s="6"/>
    </row>
    <row r="163" ht="13.5" customHeight="1">
      <c r="P163" s="6"/>
      <c r="AD163" s="6"/>
      <c r="AR163" s="6"/>
      <c r="BF163" s="6"/>
      <c r="BT163" s="6"/>
      <c r="CH163" s="6"/>
    </row>
    <row r="164" ht="13.5" customHeight="1">
      <c r="P164" s="6"/>
      <c r="AD164" s="6"/>
      <c r="AR164" s="6"/>
      <c r="BF164" s="6"/>
      <c r="BT164" s="6"/>
      <c r="CH164" s="6"/>
    </row>
    <row r="165" ht="13.5" customHeight="1">
      <c r="P165" s="6"/>
      <c r="AD165" s="6"/>
      <c r="AR165" s="6"/>
      <c r="BF165" s="6"/>
      <c r="BT165" s="6"/>
      <c r="CH165" s="6"/>
    </row>
    <row r="166" ht="13.5" customHeight="1">
      <c r="P166" s="6"/>
      <c r="AD166" s="6"/>
      <c r="AR166" s="6"/>
      <c r="BF166" s="6"/>
      <c r="BT166" s="6"/>
      <c r="CH166" s="6"/>
    </row>
    <row r="167" ht="13.5" customHeight="1">
      <c r="P167" s="6"/>
      <c r="AD167" s="6"/>
      <c r="AR167" s="6"/>
      <c r="BF167" s="6"/>
      <c r="BT167" s="6"/>
      <c r="CH167" s="6"/>
    </row>
    <row r="168" ht="13.5" customHeight="1">
      <c r="P168" s="6"/>
      <c r="AD168" s="6"/>
      <c r="AR168" s="6"/>
      <c r="BF168" s="6"/>
      <c r="BT168" s="6"/>
      <c r="CH168" s="6"/>
    </row>
    <row r="169" ht="13.5" customHeight="1">
      <c r="P169" s="6"/>
      <c r="AD169" s="6"/>
      <c r="AR169" s="6"/>
      <c r="BF169" s="6"/>
      <c r="BT169" s="6"/>
      <c r="CH169" s="6"/>
    </row>
    <row r="170" ht="13.5" customHeight="1">
      <c r="P170" s="6"/>
      <c r="AD170" s="6"/>
      <c r="AR170" s="6"/>
      <c r="BF170" s="6"/>
      <c r="BT170" s="6"/>
      <c r="CH170" s="6"/>
    </row>
    <row r="171" ht="13.5" customHeight="1">
      <c r="P171" s="6"/>
      <c r="AD171" s="6"/>
      <c r="AR171" s="6"/>
      <c r="BF171" s="6"/>
      <c r="BT171" s="6"/>
      <c r="CH171" s="6"/>
    </row>
    <row r="172" ht="13.5" customHeight="1">
      <c r="P172" s="6"/>
      <c r="AD172" s="6"/>
      <c r="AR172" s="6"/>
      <c r="BF172" s="6"/>
      <c r="BT172" s="6"/>
      <c r="CH172" s="6"/>
    </row>
    <row r="173" ht="13.5" customHeight="1">
      <c r="P173" s="6"/>
      <c r="AD173" s="6"/>
      <c r="AR173" s="6"/>
      <c r="BF173" s="6"/>
      <c r="BT173" s="6"/>
      <c r="CH173" s="6"/>
    </row>
    <row r="174" ht="13.5" customHeight="1">
      <c r="P174" s="6"/>
      <c r="AD174" s="6"/>
      <c r="AR174" s="6"/>
      <c r="BF174" s="6"/>
      <c r="BT174" s="6"/>
      <c r="CH174" s="6"/>
    </row>
    <row r="175" ht="13.5" customHeight="1">
      <c r="P175" s="6"/>
      <c r="AD175" s="6"/>
      <c r="AR175" s="6"/>
      <c r="BF175" s="6"/>
      <c r="BT175" s="6"/>
      <c r="CH175" s="6"/>
    </row>
    <row r="176" ht="13.5" customHeight="1">
      <c r="P176" s="6"/>
      <c r="AD176" s="6"/>
      <c r="AR176" s="6"/>
      <c r="BF176" s="6"/>
      <c r="BT176" s="6"/>
      <c r="CH176" s="6"/>
    </row>
    <row r="177" ht="13.5" customHeight="1">
      <c r="P177" s="6"/>
      <c r="AD177" s="6"/>
      <c r="AR177" s="6"/>
      <c r="BF177" s="6"/>
      <c r="BT177" s="6"/>
      <c r="CH177" s="6"/>
    </row>
    <row r="178" ht="13.5" customHeight="1">
      <c r="P178" s="6"/>
      <c r="AD178" s="6"/>
      <c r="AR178" s="6"/>
      <c r="BF178" s="6"/>
      <c r="BT178" s="6"/>
      <c r="CH178" s="6"/>
    </row>
    <row r="179" ht="13.5" customHeight="1">
      <c r="P179" s="6"/>
      <c r="AD179" s="6"/>
      <c r="AR179" s="6"/>
      <c r="BF179" s="6"/>
      <c r="BT179" s="6"/>
      <c r="CH179" s="6"/>
    </row>
    <row r="180" ht="13.5" customHeight="1">
      <c r="P180" s="6"/>
      <c r="AD180" s="6"/>
      <c r="AR180" s="6"/>
      <c r="BF180" s="6"/>
      <c r="BT180" s="6"/>
      <c r="CH180" s="6"/>
    </row>
    <row r="181" ht="13.5" customHeight="1">
      <c r="P181" s="6"/>
      <c r="AD181" s="6"/>
      <c r="AR181" s="6"/>
      <c r="BF181" s="6"/>
      <c r="BT181" s="6"/>
      <c r="CH181" s="6"/>
    </row>
    <row r="182" ht="13.5" customHeight="1">
      <c r="P182" s="6"/>
      <c r="AD182" s="6"/>
      <c r="AR182" s="6"/>
      <c r="BF182" s="6"/>
      <c r="BT182" s="6"/>
      <c r="CH182" s="6"/>
    </row>
    <row r="183" ht="13.5" customHeight="1">
      <c r="P183" s="6"/>
      <c r="AD183" s="6"/>
      <c r="AR183" s="6"/>
      <c r="BF183" s="6"/>
      <c r="BT183" s="6"/>
      <c r="CH183" s="6"/>
    </row>
    <row r="184" ht="13.5" customHeight="1">
      <c r="P184" s="6"/>
      <c r="AD184" s="6"/>
      <c r="AR184" s="6"/>
      <c r="BF184" s="6"/>
      <c r="BT184" s="6"/>
      <c r="CH184" s="6"/>
    </row>
    <row r="185" ht="13.5" customHeight="1">
      <c r="P185" s="6"/>
      <c r="AD185" s="6"/>
      <c r="AR185" s="6"/>
      <c r="BF185" s="6"/>
      <c r="BT185" s="6"/>
      <c r="CH185" s="6"/>
    </row>
    <row r="186" ht="13.5" customHeight="1">
      <c r="P186" s="6"/>
      <c r="AD186" s="6"/>
      <c r="AR186" s="6"/>
      <c r="BF186" s="6"/>
      <c r="BT186" s="6"/>
      <c r="CH186" s="6"/>
    </row>
    <row r="187" ht="13.5" customHeight="1">
      <c r="P187" s="6"/>
      <c r="AD187" s="6"/>
      <c r="AR187" s="6"/>
      <c r="BF187" s="6"/>
      <c r="BT187" s="6"/>
      <c r="CH187" s="6"/>
    </row>
    <row r="188" ht="13.5" customHeight="1">
      <c r="P188" s="6"/>
      <c r="AD188" s="6"/>
      <c r="AR188" s="6"/>
      <c r="BF188" s="6"/>
      <c r="BT188" s="6"/>
      <c r="CH188" s="6"/>
    </row>
    <row r="189" ht="13.5" customHeight="1">
      <c r="P189" s="6"/>
      <c r="AD189" s="6"/>
      <c r="AR189" s="6"/>
      <c r="BF189" s="6"/>
      <c r="BT189" s="6"/>
      <c r="CH189" s="6"/>
    </row>
    <row r="190" ht="13.5" customHeight="1">
      <c r="P190" s="6"/>
      <c r="AD190" s="6"/>
      <c r="AR190" s="6"/>
      <c r="BF190" s="6"/>
      <c r="BT190" s="6"/>
      <c r="CH190" s="6"/>
    </row>
    <row r="191" ht="13.5" customHeight="1">
      <c r="P191" s="6"/>
      <c r="AD191" s="6"/>
      <c r="AR191" s="6"/>
      <c r="BF191" s="6"/>
      <c r="BT191" s="6"/>
      <c r="CH191" s="6"/>
    </row>
    <row r="192" ht="13.5" customHeight="1">
      <c r="P192" s="6"/>
      <c r="AD192" s="6"/>
      <c r="AR192" s="6"/>
      <c r="BF192" s="6"/>
      <c r="BT192" s="6"/>
      <c r="CH192" s="6"/>
    </row>
    <row r="193" ht="13.5" customHeight="1">
      <c r="P193" s="6"/>
      <c r="AD193" s="6"/>
      <c r="AR193" s="6"/>
      <c r="BF193" s="6"/>
      <c r="BT193" s="6"/>
      <c r="CH193" s="6"/>
    </row>
    <row r="194" ht="13.5" customHeight="1">
      <c r="P194" s="6"/>
      <c r="AD194" s="6"/>
      <c r="AR194" s="6"/>
      <c r="BF194" s="6"/>
      <c r="BT194" s="6"/>
      <c r="CH194" s="6"/>
    </row>
    <row r="195" ht="13.5" customHeight="1">
      <c r="P195" s="6"/>
      <c r="AD195" s="6"/>
      <c r="AR195" s="6"/>
      <c r="BF195" s="6"/>
      <c r="BT195" s="6"/>
      <c r="CH195" s="6"/>
    </row>
    <row r="196" ht="13.5" customHeight="1">
      <c r="P196" s="6"/>
      <c r="AD196" s="6"/>
      <c r="AR196" s="6"/>
      <c r="BF196" s="6"/>
      <c r="BT196" s="6"/>
      <c r="CH196" s="6"/>
    </row>
    <row r="197" ht="13.5" customHeight="1">
      <c r="P197" s="6"/>
      <c r="AD197" s="6"/>
      <c r="AR197" s="6"/>
      <c r="BF197" s="6"/>
      <c r="BT197" s="6"/>
      <c r="CH197" s="6"/>
    </row>
    <row r="198" ht="13.5" customHeight="1">
      <c r="P198" s="6"/>
      <c r="AD198" s="6"/>
      <c r="AR198" s="6"/>
      <c r="BF198" s="6"/>
      <c r="BT198" s="6"/>
      <c r="CH198" s="6"/>
    </row>
    <row r="199" ht="13.5" customHeight="1">
      <c r="P199" s="6"/>
      <c r="AD199" s="6"/>
      <c r="AR199" s="6"/>
      <c r="BF199" s="6"/>
      <c r="BT199" s="6"/>
      <c r="CH199" s="6"/>
    </row>
    <row r="200" ht="13.5" customHeight="1">
      <c r="P200" s="6"/>
      <c r="AD200" s="6"/>
      <c r="AR200" s="6"/>
      <c r="BF200" s="6"/>
      <c r="BT200" s="6"/>
      <c r="CH200" s="6"/>
    </row>
    <row r="201" ht="13.5" customHeight="1">
      <c r="P201" s="6"/>
      <c r="AD201" s="6"/>
      <c r="AR201" s="6"/>
      <c r="BF201" s="6"/>
      <c r="BT201" s="6"/>
      <c r="CH201" s="6"/>
    </row>
    <row r="202" ht="13.5" customHeight="1">
      <c r="P202" s="6"/>
      <c r="AD202" s="6"/>
      <c r="AR202" s="6"/>
      <c r="BF202" s="6"/>
      <c r="BT202" s="6"/>
      <c r="CH202" s="6"/>
    </row>
    <row r="203" ht="13.5" customHeight="1">
      <c r="P203" s="6"/>
      <c r="AD203" s="6"/>
      <c r="AR203" s="6"/>
      <c r="BF203" s="6"/>
      <c r="BT203" s="6"/>
      <c r="CH203" s="6"/>
    </row>
    <row r="204" ht="13.5" customHeight="1">
      <c r="P204" s="6"/>
      <c r="AD204" s="6"/>
      <c r="AR204" s="6"/>
      <c r="BF204" s="6"/>
      <c r="BT204" s="6"/>
      <c r="CH204" s="6"/>
    </row>
    <row r="205" ht="13.5" customHeight="1">
      <c r="P205" s="6"/>
      <c r="AD205" s="6"/>
      <c r="AR205" s="6"/>
      <c r="BF205" s="6"/>
      <c r="BT205" s="6"/>
      <c r="CH205" s="6"/>
    </row>
    <row r="206" ht="13.5" customHeight="1">
      <c r="P206" s="6"/>
      <c r="AD206" s="6"/>
      <c r="AR206" s="6"/>
      <c r="BF206" s="6"/>
      <c r="BT206" s="6"/>
      <c r="CH206" s="6"/>
    </row>
    <row r="207" ht="13.5" customHeight="1">
      <c r="P207" s="6"/>
      <c r="AD207" s="6"/>
      <c r="AR207" s="6"/>
      <c r="BF207" s="6"/>
      <c r="BT207" s="6"/>
      <c r="CH207" s="6"/>
    </row>
    <row r="208" ht="13.5" customHeight="1">
      <c r="P208" s="6"/>
      <c r="AD208" s="6"/>
      <c r="AR208" s="6"/>
      <c r="BF208" s="6"/>
      <c r="BT208" s="6"/>
      <c r="CH208" s="6"/>
    </row>
    <row r="209" ht="13.5" customHeight="1">
      <c r="P209" s="6"/>
      <c r="AD209" s="6"/>
      <c r="AR209" s="6"/>
      <c r="BF209" s="6"/>
      <c r="BT209" s="6"/>
      <c r="CH209" s="6"/>
    </row>
    <row r="210" ht="13.5" customHeight="1">
      <c r="P210" s="6"/>
      <c r="AD210" s="6"/>
      <c r="AR210" s="6"/>
      <c r="BF210" s="6"/>
      <c r="BT210" s="6"/>
      <c r="CH210" s="6"/>
    </row>
    <row r="211" ht="13.5" customHeight="1">
      <c r="P211" s="6"/>
      <c r="AD211" s="6"/>
      <c r="AR211" s="6"/>
      <c r="BF211" s="6"/>
      <c r="BT211" s="6"/>
      <c r="CH211" s="6"/>
    </row>
    <row r="212" ht="13.5" customHeight="1">
      <c r="P212" s="6"/>
      <c r="AD212" s="6"/>
      <c r="AR212" s="6"/>
      <c r="BF212" s="6"/>
      <c r="BT212" s="6"/>
      <c r="CH212" s="6"/>
    </row>
    <row r="213" ht="13.5" customHeight="1">
      <c r="P213" s="6"/>
      <c r="AD213" s="6"/>
      <c r="AR213" s="6"/>
      <c r="BF213" s="6"/>
      <c r="BT213" s="6"/>
      <c r="CH213" s="6"/>
    </row>
    <row r="214" ht="13.5" customHeight="1">
      <c r="P214" s="6"/>
      <c r="AD214" s="6"/>
      <c r="AR214" s="6"/>
      <c r="BF214" s="6"/>
      <c r="BT214" s="6"/>
      <c r="CH214" s="6"/>
    </row>
    <row r="215" ht="13.5" customHeight="1">
      <c r="P215" s="6"/>
      <c r="AD215" s="6"/>
      <c r="AR215" s="6"/>
      <c r="BF215" s="6"/>
      <c r="BT215" s="6"/>
      <c r="CH215" s="6"/>
    </row>
    <row r="216" ht="13.5" customHeight="1">
      <c r="P216" s="6"/>
      <c r="AD216" s="6"/>
      <c r="AR216" s="6"/>
      <c r="BF216" s="6"/>
      <c r="BT216" s="6"/>
      <c r="CH216" s="6"/>
    </row>
    <row r="217" ht="13.5" customHeight="1">
      <c r="P217" s="6"/>
      <c r="AD217" s="6"/>
      <c r="AR217" s="6"/>
      <c r="BF217" s="6"/>
      <c r="BT217" s="6"/>
      <c r="CH217" s="6"/>
    </row>
    <row r="218" ht="13.5" customHeight="1">
      <c r="P218" s="6"/>
      <c r="AD218" s="6"/>
      <c r="AR218" s="6"/>
      <c r="BF218" s="6"/>
      <c r="BT218" s="6"/>
      <c r="CH218" s="6"/>
    </row>
    <row r="219" ht="13.5" customHeight="1">
      <c r="P219" s="6"/>
      <c r="AD219" s="6"/>
      <c r="AR219" s="6"/>
      <c r="BF219" s="6"/>
      <c r="BT219" s="6"/>
      <c r="CH219" s="6"/>
    </row>
    <row r="220" ht="13.5" customHeight="1">
      <c r="P220" s="6"/>
      <c r="AD220" s="6"/>
      <c r="AR220" s="6"/>
      <c r="BF220" s="6"/>
      <c r="BT220" s="6"/>
      <c r="CH220" s="6"/>
    </row>
    <row r="221" ht="13.5" customHeight="1">
      <c r="P221" s="6"/>
      <c r="AD221" s="6"/>
      <c r="AR221" s="6"/>
      <c r="BF221" s="6"/>
      <c r="BT221" s="6"/>
      <c r="CH221" s="6"/>
    </row>
    <row r="222" ht="13.5" customHeight="1">
      <c r="P222" s="6"/>
      <c r="AD222" s="6"/>
      <c r="AR222" s="6"/>
      <c r="BF222" s="6"/>
      <c r="BT222" s="6"/>
      <c r="CH222" s="6"/>
    </row>
    <row r="223" ht="13.5" customHeight="1">
      <c r="P223" s="6"/>
      <c r="AD223" s="6"/>
      <c r="AR223" s="6"/>
      <c r="BF223" s="6"/>
      <c r="BT223" s="6"/>
      <c r="CH223" s="6"/>
    </row>
    <row r="224" ht="13.5" customHeight="1">
      <c r="P224" s="6"/>
      <c r="AD224" s="6"/>
      <c r="AR224" s="6"/>
      <c r="BF224" s="6"/>
      <c r="BT224" s="6"/>
      <c r="CH224" s="6"/>
    </row>
    <row r="225" ht="13.5" customHeight="1">
      <c r="P225" s="6"/>
      <c r="AD225" s="6"/>
      <c r="AR225" s="6"/>
      <c r="BF225" s="6"/>
      <c r="BT225" s="6"/>
      <c r="CH225" s="6"/>
    </row>
    <row r="226" ht="13.5" customHeight="1">
      <c r="P226" s="6"/>
      <c r="AD226" s="6"/>
      <c r="AR226" s="6"/>
      <c r="BF226" s="6"/>
      <c r="BT226" s="6"/>
      <c r="CH226" s="6"/>
    </row>
    <row r="227" ht="13.5" customHeight="1">
      <c r="P227" s="6"/>
      <c r="AD227" s="6"/>
      <c r="AR227" s="6"/>
      <c r="BF227" s="6"/>
      <c r="BT227" s="6"/>
      <c r="CH227" s="6"/>
    </row>
    <row r="228" ht="13.5" customHeight="1">
      <c r="P228" s="6"/>
      <c r="AD228" s="6"/>
      <c r="AR228" s="6"/>
      <c r="BF228" s="6"/>
      <c r="BT228" s="6"/>
      <c r="CH228" s="6"/>
    </row>
    <row r="229" ht="13.5" customHeight="1">
      <c r="P229" s="6"/>
      <c r="AD229" s="6"/>
      <c r="AR229" s="6"/>
      <c r="BF229" s="6"/>
      <c r="BT229" s="6"/>
      <c r="CH229" s="6"/>
    </row>
    <row r="230" ht="13.5" customHeight="1">
      <c r="P230" s="6"/>
      <c r="AD230" s="6"/>
      <c r="AR230" s="6"/>
      <c r="BF230" s="6"/>
      <c r="BT230" s="6"/>
      <c r="CH230" s="6"/>
    </row>
    <row r="231" ht="13.5" customHeight="1">
      <c r="P231" s="6"/>
      <c r="AD231" s="6"/>
      <c r="AR231" s="6"/>
      <c r="BF231" s="6"/>
      <c r="BT231" s="6"/>
      <c r="CH231" s="6"/>
    </row>
    <row r="232" ht="13.5" customHeight="1">
      <c r="P232" s="6"/>
      <c r="AD232" s="6"/>
      <c r="AR232" s="6"/>
      <c r="BF232" s="6"/>
      <c r="BT232" s="6"/>
      <c r="CH232" s="6"/>
    </row>
    <row r="233" ht="13.5" customHeight="1">
      <c r="P233" s="6"/>
      <c r="AD233" s="6"/>
      <c r="AR233" s="6"/>
      <c r="BF233" s="6"/>
      <c r="BT233" s="6"/>
      <c r="CH233" s="6"/>
    </row>
    <row r="234" ht="13.5" customHeight="1">
      <c r="P234" s="6"/>
      <c r="AD234" s="6"/>
      <c r="AR234" s="6"/>
      <c r="BF234" s="6"/>
      <c r="BT234" s="6"/>
      <c r="CH234" s="6"/>
    </row>
    <row r="235" ht="13.5" customHeight="1">
      <c r="P235" s="6"/>
      <c r="AD235" s="6"/>
      <c r="AR235" s="6"/>
      <c r="BF235" s="6"/>
      <c r="BT235" s="6"/>
      <c r="CH235" s="6"/>
    </row>
    <row r="236" ht="13.5" customHeight="1">
      <c r="P236" s="6"/>
      <c r="AD236" s="6"/>
      <c r="AR236" s="6"/>
      <c r="BF236" s="6"/>
      <c r="BT236" s="6"/>
      <c r="CH236" s="6"/>
    </row>
    <row r="237" ht="13.5" customHeight="1">
      <c r="P237" s="6"/>
      <c r="AD237" s="6"/>
      <c r="AR237" s="6"/>
      <c r="BF237" s="6"/>
      <c r="BT237" s="6"/>
      <c r="CH237" s="6"/>
    </row>
    <row r="238" ht="13.5" customHeight="1">
      <c r="P238" s="6"/>
      <c r="AD238" s="6"/>
      <c r="AR238" s="6"/>
      <c r="BF238" s="6"/>
      <c r="BT238" s="6"/>
      <c r="CH238" s="6"/>
    </row>
    <row r="239" ht="13.5" customHeight="1">
      <c r="P239" s="6"/>
      <c r="AD239" s="6"/>
      <c r="AR239" s="6"/>
      <c r="BF239" s="6"/>
      <c r="BT239" s="6"/>
      <c r="CH239" s="6"/>
    </row>
    <row r="240" ht="13.5" customHeight="1">
      <c r="P240" s="6"/>
      <c r="AD240" s="6"/>
      <c r="AR240" s="6"/>
      <c r="BF240" s="6"/>
      <c r="BT240" s="6"/>
      <c r="CH240" s="6"/>
    </row>
    <row r="241" ht="13.5" customHeight="1">
      <c r="P241" s="6"/>
      <c r="AD241" s="6"/>
      <c r="AR241" s="6"/>
      <c r="BF241" s="6"/>
      <c r="BT241" s="6"/>
      <c r="CH241" s="6"/>
    </row>
    <row r="242" ht="13.5" customHeight="1">
      <c r="P242" s="6"/>
      <c r="AD242" s="6"/>
      <c r="AR242" s="6"/>
      <c r="BF242" s="6"/>
      <c r="BT242" s="6"/>
      <c r="CH242" s="6"/>
    </row>
    <row r="243" ht="13.5" customHeight="1">
      <c r="P243" s="6"/>
      <c r="AD243" s="6"/>
      <c r="AR243" s="6"/>
      <c r="BF243" s="6"/>
      <c r="BT243" s="6"/>
      <c r="CH243" s="6"/>
    </row>
    <row r="244" ht="13.5" customHeight="1">
      <c r="P244" s="6"/>
      <c r="AD244" s="6"/>
      <c r="AR244" s="6"/>
      <c r="BF244" s="6"/>
      <c r="BT244" s="6"/>
      <c r="CH244" s="6"/>
    </row>
    <row r="245" ht="13.5" customHeight="1">
      <c r="P245" s="6"/>
      <c r="AD245" s="6"/>
      <c r="AR245" s="6"/>
      <c r="BF245" s="6"/>
      <c r="BT245" s="6"/>
      <c r="CH245" s="6"/>
    </row>
    <row r="246" ht="13.5" customHeight="1">
      <c r="P246" s="6"/>
      <c r="AD246" s="6"/>
      <c r="AR246" s="6"/>
      <c r="BF246" s="6"/>
      <c r="BT246" s="6"/>
      <c r="CH246" s="6"/>
    </row>
    <row r="247" ht="13.5" customHeight="1">
      <c r="P247" s="6"/>
      <c r="AD247" s="6"/>
      <c r="AR247" s="6"/>
      <c r="BF247" s="6"/>
      <c r="BT247" s="6"/>
      <c r="CH247" s="6"/>
    </row>
    <row r="248" ht="13.5" customHeight="1">
      <c r="P248" s="6"/>
      <c r="AD248" s="6"/>
      <c r="AR248" s="6"/>
      <c r="BF248" s="6"/>
      <c r="BT248" s="6"/>
      <c r="CH248" s="6"/>
    </row>
    <row r="249" ht="13.5" customHeight="1">
      <c r="P249" s="6"/>
      <c r="AD249" s="6"/>
      <c r="AR249" s="6"/>
      <c r="BF249" s="6"/>
      <c r="BT249" s="6"/>
      <c r="CH249" s="6"/>
    </row>
    <row r="250" ht="13.5" customHeight="1">
      <c r="P250" s="6"/>
      <c r="AD250" s="6"/>
      <c r="AR250" s="6"/>
      <c r="BF250" s="6"/>
      <c r="BT250" s="6"/>
      <c r="CH250" s="6"/>
    </row>
    <row r="251" ht="13.5" customHeight="1">
      <c r="P251" s="6"/>
      <c r="AD251" s="6"/>
      <c r="AR251" s="6"/>
      <c r="BF251" s="6"/>
      <c r="BT251" s="6"/>
      <c r="CH251" s="6"/>
    </row>
    <row r="252" ht="13.5" customHeight="1">
      <c r="P252" s="6"/>
      <c r="AD252" s="6"/>
      <c r="AR252" s="6"/>
      <c r="BF252" s="6"/>
      <c r="BT252" s="6"/>
      <c r="CH252" s="6"/>
    </row>
    <row r="253" ht="13.5" customHeight="1">
      <c r="P253" s="6"/>
      <c r="AD253" s="6"/>
      <c r="AR253" s="6"/>
      <c r="BF253" s="6"/>
      <c r="BT253" s="6"/>
      <c r="CH253" s="6"/>
    </row>
    <row r="254" ht="13.5" customHeight="1">
      <c r="P254" s="6"/>
      <c r="AD254" s="6"/>
      <c r="AR254" s="6"/>
      <c r="BF254" s="6"/>
      <c r="BT254" s="6"/>
      <c r="CH254" s="6"/>
    </row>
    <row r="255" ht="13.5" customHeight="1">
      <c r="P255" s="6"/>
      <c r="AD255" s="6"/>
      <c r="AR255" s="6"/>
      <c r="BF255" s="6"/>
      <c r="BT255" s="6"/>
      <c r="CH255" s="6"/>
    </row>
    <row r="256" ht="13.5" customHeight="1">
      <c r="P256" s="6"/>
      <c r="AD256" s="6"/>
      <c r="AR256" s="6"/>
      <c r="BF256" s="6"/>
      <c r="BT256" s="6"/>
      <c r="CH256" s="6"/>
    </row>
    <row r="257" ht="13.5" customHeight="1">
      <c r="P257" s="6"/>
      <c r="AD257" s="6"/>
      <c r="AR257" s="6"/>
      <c r="BF257" s="6"/>
      <c r="BT257" s="6"/>
      <c r="CH257" s="6"/>
    </row>
    <row r="258" ht="13.5" customHeight="1">
      <c r="P258" s="6"/>
      <c r="AD258" s="6"/>
      <c r="AR258" s="6"/>
      <c r="BF258" s="6"/>
      <c r="BT258" s="6"/>
      <c r="CH258" s="6"/>
    </row>
    <row r="259" ht="13.5" customHeight="1">
      <c r="P259" s="6"/>
      <c r="AD259" s="6"/>
      <c r="AR259" s="6"/>
      <c r="BF259" s="6"/>
      <c r="BT259" s="6"/>
      <c r="CH259" s="6"/>
    </row>
    <row r="260" ht="13.5" customHeight="1">
      <c r="P260" s="6"/>
      <c r="AD260" s="6"/>
      <c r="AR260" s="6"/>
      <c r="BF260" s="6"/>
      <c r="BT260" s="6"/>
      <c r="CH260" s="6"/>
    </row>
    <row r="261" ht="13.5" customHeight="1">
      <c r="P261" s="6"/>
      <c r="AD261" s="6"/>
      <c r="AR261" s="6"/>
      <c r="BF261" s="6"/>
      <c r="BT261" s="6"/>
      <c r="CH261" s="6"/>
    </row>
    <row r="262" ht="13.5" customHeight="1">
      <c r="P262" s="6"/>
      <c r="AD262" s="6"/>
      <c r="AR262" s="6"/>
      <c r="BF262" s="6"/>
      <c r="BT262" s="6"/>
      <c r="CH262" s="6"/>
    </row>
    <row r="263" ht="13.5" customHeight="1">
      <c r="P263" s="6"/>
      <c r="AD263" s="6"/>
      <c r="AR263" s="6"/>
      <c r="BF263" s="6"/>
      <c r="BT263" s="6"/>
      <c r="CH263" s="6"/>
    </row>
    <row r="264" ht="13.5" customHeight="1">
      <c r="P264" s="6"/>
      <c r="AD264" s="6"/>
      <c r="AR264" s="6"/>
      <c r="BF264" s="6"/>
      <c r="BT264" s="6"/>
      <c r="CH264" s="6"/>
    </row>
    <row r="265" ht="13.5" customHeight="1">
      <c r="P265" s="6"/>
      <c r="AD265" s="6"/>
      <c r="AR265" s="6"/>
      <c r="BF265" s="6"/>
      <c r="BT265" s="6"/>
      <c r="CH265" s="6"/>
    </row>
    <row r="266" ht="13.5" customHeight="1">
      <c r="P266" s="6"/>
      <c r="AD266" s="6"/>
      <c r="AR266" s="6"/>
      <c r="BF266" s="6"/>
      <c r="BT266" s="6"/>
      <c r="CH266" s="6"/>
    </row>
    <row r="267" ht="13.5" customHeight="1">
      <c r="P267" s="6"/>
      <c r="AD267" s="6"/>
      <c r="AR267" s="6"/>
      <c r="BF267" s="6"/>
      <c r="BT267" s="6"/>
      <c r="CH267" s="6"/>
    </row>
    <row r="268" ht="13.5" customHeight="1">
      <c r="P268" s="6"/>
      <c r="AD268" s="6"/>
      <c r="AR268" s="6"/>
      <c r="BF268" s="6"/>
      <c r="BT268" s="6"/>
      <c r="CH268" s="6"/>
    </row>
    <row r="269" ht="13.5" customHeight="1">
      <c r="P269" s="6"/>
      <c r="AD269" s="6"/>
      <c r="AR269" s="6"/>
      <c r="BF269" s="6"/>
      <c r="BT269" s="6"/>
      <c r="CH269" s="6"/>
    </row>
    <row r="270" ht="13.5" customHeight="1">
      <c r="P270" s="6"/>
      <c r="AD270" s="6"/>
      <c r="AR270" s="6"/>
      <c r="BF270" s="6"/>
      <c r="BT270" s="6"/>
      <c r="CH270" s="6"/>
    </row>
    <row r="271" ht="13.5" customHeight="1">
      <c r="P271" s="6"/>
      <c r="AD271" s="6"/>
      <c r="AR271" s="6"/>
      <c r="BF271" s="6"/>
      <c r="BT271" s="6"/>
      <c r="CH271" s="6"/>
    </row>
    <row r="272" ht="13.5" customHeight="1">
      <c r="P272" s="6"/>
      <c r="AD272" s="6"/>
      <c r="AR272" s="6"/>
      <c r="BF272" s="6"/>
      <c r="BT272" s="6"/>
      <c r="CH272" s="6"/>
    </row>
    <row r="273" ht="13.5" customHeight="1">
      <c r="P273" s="6"/>
      <c r="AD273" s="6"/>
      <c r="AR273" s="6"/>
      <c r="BF273" s="6"/>
      <c r="BT273" s="6"/>
      <c r="CH273" s="6"/>
    </row>
    <row r="274" ht="13.5" customHeight="1">
      <c r="P274" s="6"/>
      <c r="AD274" s="6"/>
      <c r="AR274" s="6"/>
      <c r="BF274" s="6"/>
      <c r="BT274" s="6"/>
      <c r="CH274" s="6"/>
    </row>
    <row r="275" ht="13.5" customHeight="1">
      <c r="P275" s="6"/>
      <c r="AD275" s="6"/>
      <c r="AR275" s="6"/>
      <c r="BF275" s="6"/>
      <c r="BT275" s="6"/>
      <c r="CH275" s="6"/>
    </row>
    <row r="276" ht="13.5" customHeight="1">
      <c r="P276" s="6"/>
      <c r="AD276" s="6"/>
      <c r="AR276" s="6"/>
      <c r="BF276" s="6"/>
      <c r="BT276" s="6"/>
      <c r="CH276" s="6"/>
    </row>
    <row r="277" ht="13.5" customHeight="1">
      <c r="P277" s="6"/>
      <c r="AD277" s="6"/>
      <c r="AR277" s="6"/>
      <c r="BF277" s="6"/>
      <c r="BT277" s="6"/>
      <c r="CH277" s="6"/>
    </row>
    <row r="278" ht="13.5" customHeight="1">
      <c r="P278" s="6"/>
      <c r="AD278" s="6"/>
      <c r="AR278" s="6"/>
      <c r="BF278" s="6"/>
      <c r="BT278" s="6"/>
      <c r="CH278" s="6"/>
    </row>
    <row r="279" ht="13.5" customHeight="1">
      <c r="P279" s="6"/>
      <c r="AD279" s="6"/>
      <c r="AR279" s="6"/>
      <c r="BF279" s="6"/>
      <c r="BT279" s="6"/>
      <c r="CH279" s="6"/>
    </row>
    <row r="280" ht="13.5" customHeight="1">
      <c r="P280" s="6"/>
      <c r="AD280" s="6"/>
      <c r="AR280" s="6"/>
      <c r="BF280" s="6"/>
      <c r="BT280" s="6"/>
      <c r="CH280" s="6"/>
    </row>
    <row r="281" ht="13.5" customHeight="1">
      <c r="P281" s="6"/>
      <c r="AD281" s="6"/>
      <c r="AR281" s="6"/>
      <c r="BF281" s="6"/>
      <c r="BT281" s="6"/>
      <c r="CH281" s="6"/>
    </row>
    <row r="282" ht="13.5" customHeight="1">
      <c r="P282" s="6"/>
      <c r="AD282" s="6"/>
      <c r="AR282" s="6"/>
      <c r="BF282" s="6"/>
      <c r="BT282" s="6"/>
      <c r="CH282" s="6"/>
    </row>
    <row r="283" ht="13.5" customHeight="1">
      <c r="P283" s="6"/>
      <c r="AD283" s="6"/>
      <c r="AR283" s="6"/>
      <c r="BF283" s="6"/>
      <c r="BT283" s="6"/>
      <c r="CH283" s="6"/>
    </row>
    <row r="284" ht="13.5" customHeight="1">
      <c r="P284" s="6"/>
      <c r="AD284" s="6"/>
      <c r="AR284" s="6"/>
      <c r="BF284" s="6"/>
      <c r="BT284" s="6"/>
      <c r="CH284" s="6"/>
    </row>
    <row r="285" ht="13.5" customHeight="1">
      <c r="P285" s="6"/>
      <c r="AD285" s="6"/>
      <c r="AR285" s="6"/>
      <c r="BF285" s="6"/>
      <c r="BT285" s="6"/>
      <c r="CH285" s="6"/>
    </row>
    <row r="286" ht="13.5" customHeight="1">
      <c r="P286" s="6"/>
      <c r="AD286" s="6"/>
      <c r="AR286" s="6"/>
      <c r="BF286" s="6"/>
      <c r="BT286" s="6"/>
      <c r="CH286" s="6"/>
    </row>
    <row r="287" ht="13.5" customHeight="1">
      <c r="P287" s="6"/>
      <c r="AD287" s="6"/>
      <c r="AR287" s="6"/>
      <c r="BF287" s="6"/>
      <c r="BT287" s="6"/>
      <c r="CH287" s="6"/>
    </row>
    <row r="288" ht="13.5" customHeight="1">
      <c r="P288" s="6"/>
      <c r="AD288" s="6"/>
      <c r="AR288" s="6"/>
      <c r="BF288" s="6"/>
      <c r="BT288" s="6"/>
      <c r="CH288" s="6"/>
    </row>
    <row r="289" ht="13.5" customHeight="1">
      <c r="P289" s="6"/>
      <c r="AD289" s="6"/>
      <c r="AR289" s="6"/>
      <c r="BF289" s="6"/>
      <c r="BT289" s="6"/>
      <c r="CH289" s="6"/>
    </row>
    <row r="290" ht="13.5" customHeight="1">
      <c r="P290" s="6"/>
      <c r="AD290" s="6"/>
      <c r="AR290" s="6"/>
      <c r="BF290" s="6"/>
      <c r="BT290" s="6"/>
      <c r="CH290" s="6"/>
    </row>
    <row r="291" ht="13.5" customHeight="1">
      <c r="P291" s="6"/>
      <c r="AD291" s="6"/>
      <c r="AR291" s="6"/>
      <c r="BF291" s="6"/>
      <c r="BT291" s="6"/>
      <c r="CH291" s="6"/>
    </row>
    <row r="292" ht="13.5" customHeight="1">
      <c r="P292" s="6"/>
      <c r="AD292" s="6"/>
      <c r="AR292" s="6"/>
      <c r="BF292" s="6"/>
      <c r="BT292" s="6"/>
      <c r="CH292" s="6"/>
    </row>
    <row r="293" ht="13.5" customHeight="1">
      <c r="P293" s="6"/>
      <c r="AD293" s="6"/>
      <c r="AR293" s="6"/>
      <c r="BF293" s="6"/>
      <c r="BT293" s="6"/>
      <c r="CH293" s="6"/>
    </row>
    <row r="294" ht="13.5" customHeight="1">
      <c r="P294" s="6"/>
      <c r="AD294" s="6"/>
      <c r="AR294" s="6"/>
      <c r="BF294" s="6"/>
      <c r="BT294" s="6"/>
      <c r="CH294" s="6"/>
    </row>
    <row r="295" ht="13.5" customHeight="1">
      <c r="P295" s="6"/>
      <c r="AD295" s="6"/>
      <c r="AR295" s="6"/>
      <c r="BF295" s="6"/>
      <c r="BT295" s="6"/>
      <c r="CH295" s="6"/>
    </row>
    <row r="296" ht="13.5" customHeight="1">
      <c r="P296" s="6"/>
      <c r="AD296" s="6"/>
      <c r="AR296" s="6"/>
      <c r="BF296" s="6"/>
      <c r="BT296" s="6"/>
      <c r="CH296" s="6"/>
    </row>
    <row r="297" ht="13.5" customHeight="1">
      <c r="P297" s="6"/>
      <c r="AD297" s="6"/>
      <c r="AR297" s="6"/>
      <c r="BF297" s="6"/>
      <c r="BT297" s="6"/>
      <c r="CH297" s="6"/>
    </row>
    <row r="298" ht="13.5" customHeight="1">
      <c r="P298" s="6"/>
      <c r="AD298" s="6"/>
      <c r="AR298" s="6"/>
      <c r="BF298" s="6"/>
      <c r="BT298" s="6"/>
      <c r="CH298" s="6"/>
    </row>
    <row r="299" ht="13.5" customHeight="1">
      <c r="P299" s="6"/>
      <c r="AD299" s="6"/>
      <c r="AR299" s="6"/>
      <c r="BF299" s="6"/>
      <c r="BT299" s="6"/>
      <c r="CH299" s="6"/>
    </row>
    <row r="300" ht="13.5" customHeight="1">
      <c r="P300" s="6"/>
      <c r="AD300" s="6"/>
      <c r="AR300" s="6"/>
      <c r="BF300" s="6"/>
      <c r="BT300" s="6"/>
      <c r="CH300" s="6"/>
    </row>
    <row r="301" ht="13.5" customHeight="1">
      <c r="P301" s="6"/>
      <c r="AD301" s="6"/>
      <c r="AR301" s="6"/>
      <c r="BF301" s="6"/>
      <c r="BT301" s="6"/>
      <c r="CH301" s="6"/>
    </row>
    <row r="302" ht="13.5" customHeight="1">
      <c r="P302" s="6"/>
      <c r="AD302" s="6"/>
      <c r="AR302" s="6"/>
      <c r="BF302" s="6"/>
      <c r="BT302" s="6"/>
      <c r="CH302" s="6"/>
    </row>
    <row r="303" ht="13.5" customHeight="1">
      <c r="P303" s="6"/>
      <c r="AD303" s="6"/>
      <c r="AR303" s="6"/>
      <c r="BF303" s="6"/>
      <c r="BT303" s="6"/>
      <c r="CH303" s="6"/>
    </row>
    <row r="304" ht="13.5" customHeight="1">
      <c r="P304" s="6"/>
      <c r="AD304" s="6"/>
      <c r="AR304" s="6"/>
      <c r="BF304" s="6"/>
      <c r="BT304" s="6"/>
      <c r="CH304" s="6"/>
    </row>
    <row r="305" ht="13.5" customHeight="1">
      <c r="P305" s="6"/>
      <c r="AD305" s="6"/>
      <c r="AR305" s="6"/>
      <c r="BF305" s="6"/>
      <c r="BT305" s="6"/>
      <c r="CH305" s="6"/>
    </row>
    <row r="306" ht="13.5" customHeight="1">
      <c r="P306" s="6"/>
      <c r="AD306" s="6"/>
      <c r="AR306" s="6"/>
      <c r="BF306" s="6"/>
      <c r="BT306" s="6"/>
      <c r="CH306" s="6"/>
    </row>
    <row r="307" ht="13.5" customHeight="1">
      <c r="P307" s="6"/>
      <c r="AD307" s="6"/>
      <c r="AR307" s="6"/>
      <c r="BF307" s="6"/>
      <c r="BT307" s="6"/>
      <c r="CH307" s="6"/>
    </row>
    <row r="308" ht="13.5" customHeight="1">
      <c r="P308" s="6"/>
      <c r="AD308" s="6"/>
      <c r="AR308" s="6"/>
      <c r="BF308" s="6"/>
      <c r="BT308" s="6"/>
      <c r="CH308" s="6"/>
    </row>
    <row r="309" ht="13.5" customHeight="1">
      <c r="P309" s="6"/>
      <c r="AD309" s="6"/>
      <c r="AR309" s="6"/>
      <c r="BF309" s="6"/>
      <c r="BT309" s="6"/>
      <c r="CH309" s="6"/>
    </row>
    <row r="310" ht="13.5" customHeight="1">
      <c r="P310" s="6"/>
      <c r="AD310" s="6"/>
      <c r="AR310" s="6"/>
      <c r="BF310" s="6"/>
      <c r="BT310" s="6"/>
      <c r="CH310" s="6"/>
    </row>
    <row r="311" ht="13.5" customHeight="1">
      <c r="P311" s="6"/>
      <c r="AD311" s="6"/>
      <c r="AR311" s="6"/>
      <c r="BF311" s="6"/>
      <c r="BT311" s="6"/>
      <c r="CH311" s="6"/>
    </row>
    <row r="312" ht="13.5" customHeight="1">
      <c r="P312" s="6"/>
      <c r="AD312" s="6"/>
      <c r="AR312" s="6"/>
      <c r="BF312" s="6"/>
      <c r="BT312" s="6"/>
      <c r="CH312" s="6"/>
    </row>
    <row r="313" ht="13.5" customHeight="1">
      <c r="P313" s="6"/>
      <c r="AD313" s="6"/>
      <c r="AR313" s="6"/>
      <c r="BF313" s="6"/>
      <c r="BT313" s="6"/>
      <c r="CH313" s="6"/>
    </row>
    <row r="314" ht="13.5" customHeight="1">
      <c r="P314" s="6"/>
      <c r="AD314" s="6"/>
      <c r="AR314" s="6"/>
      <c r="BF314" s="6"/>
      <c r="BT314" s="6"/>
      <c r="CH314" s="6"/>
    </row>
    <row r="315" ht="13.5" customHeight="1">
      <c r="P315" s="6"/>
      <c r="AD315" s="6"/>
      <c r="AR315" s="6"/>
      <c r="BF315" s="6"/>
      <c r="BT315" s="6"/>
      <c r="CH315" s="6"/>
    </row>
    <row r="316" ht="13.5" customHeight="1">
      <c r="P316" s="6"/>
      <c r="AD316" s="6"/>
      <c r="AR316" s="6"/>
      <c r="BF316" s="6"/>
      <c r="BT316" s="6"/>
      <c r="CH316" s="6"/>
    </row>
    <row r="317" ht="13.5" customHeight="1">
      <c r="P317" s="6"/>
      <c r="AD317" s="6"/>
      <c r="AR317" s="6"/>
      <c r="BF317" s="6"/>
      <c r="BT317" s="6"/>
      <c r="CH317" s="6"/>
    </row>
    <row r="318" ht="13.5" customHeight="1">
      <c r="P318" s="6"/>
      <c r="AD318" s="6"/>
      <c r="AR318" s="6"/>
      <c r="BF318" s="6"/>
      <c r="BT318" s="6"/>
      <c r="CH318" s="6"/>
    </row>
    <row r="319" ht="13.5" customHeight="1">
      <c r="P319" s="6"/>
      <c r="AD319" s="6"/>
      <c r="AR319" s="6"/>
      <c r="BF319" s="6"/>
      <c r="BT319" s="6"/>
      <c r="CH319" s="6"/>
    </row>
    <row r="320" ht="13.5" customHeight="1">
      <c r="P320" s="6"/>
      <c r="AD320" s="6"/>
      <c r="AR320" s="6"/>
      <c r="BF320" s="6"/>
      <c r="BT320" s="6"/>
      <c r="CH320" s="6"/>
    </row>
    <row r="321" ht="13.5" customHeight="1">
      <c r="P321" s="6"/>
      <c r="AD321" s="6"/>
      <c r="AR321" s="6"/>
      <c r="BF321" s="6"/>
      <c r="BT321" s="6"/>
      <c r="CH321" s="6"/>
    </row>
    <row r="322" ht="13.5" customHeight="1">
      <c r="P322" s="6"/>
      <c r="AD322" s="6"/>
      <c r="AR322" s="6"/>
      <c r="BF322" s="6"/>
      <c r="BT322" s="6"/>
      <c r="CH322" s="6"/>
    </row>
    <row r="323" ht="13.5" customHeight="1">
      <c r="P323" s="6"/>
      <c r="AD323" s="6"/>
      <c r="AR323" s="6"/>
      <c r="BF323" s="6"/>
      <c r="BT323" s="6"/>
      <c r="CH323" s="6"/>
    </row>
    <row r="324" ht="13.5" customHeight="1">
      <c r="P324" s="6"/>
      <c r="AD324" s="6"/>
      <c r="AR324" s="6"/>
      <c r="BF324" s="6"/>
      <c r="BT324" s="6"/>
      <c r="CH324" s="6"/>
    </row>
    <row r="325" ht="13.5" customHeight="1">
      <c r="P325" s="6"/>
      <c r="AD325" s="6"/>
      <c r="AR325" s="6"/>
      <c r="BF325" s="6"/>
      <c r="BT325" s="6"/>
      <c r="CH325" s="6"/>
    </row>
    <row r="326" ht="13.5" customHeight="1">
      <c r="P326" s="6"/>
      <c r="AD326" s="6"/>
      <c r="AR326" s="6"/>
      <c r="BF326" s="6"/>
      <c r="BT326" s="6"/>
      <c r="CH326" s="6"/>
    </row>
    <row r="327" ht="13.5" customHeight="1">
      <c r="P327" s="6"/>
      <c r="AD327" s="6"/>
      <c r="AR327" s="6"/>
      <c r="BF327" s="6"/>
      <c r="BT327" s="6"/>
      <c r="CH327" s="6"/>
    </row>
    <row r="328" ht="13.5" customHeight="1">
      <c r="P328" s="6"/>
      <c r="AD328" s="6"/>
      <c r="AR328" s="6"/>
      <c r="BF328" s="6"/>
      <c r="BT328" s="6"/>
      <c r="CH328" s="6"/>
    </row>
    <row r="329" ht="13.5" customHeight="1">
      <c r="P329" s="6"/>
      <c r="AD329" s="6"/>
      <c r="AR329" s="6"/>
      <c r="BF329" s="6"/>
      <c r="BT329" s="6"/>
      <c r="CH329" s="6"/>
    </row>
    <row r="330" ht="13.5" customHeight="1">
      <c r="P330" s="6"/>
      <c r="AD330" s="6"/>
      <c r="AR330" s="6"/>
      <c r="BF330" s="6"/>
      <c r="BT330" s="6"/>
      <c r="CH330" s="6"/>
    </row>
    <row r="331" ht="13.5" customHeight="1">
      <c r="P331" s="6"/>
      <c r="AD331" s="6"/>
      <c r="AR331" s="6"/>
      <c r="BF331" s="6"/>
      <c r="BT331" s="6"/>
      <c r="CH331" s="6"/>
    </row>
    <row r="332" ht="13.5" customHeight="1">
      <c r="P332" s="6"/>
      <c r="AD332" s="6"/>
      <c r="AR332" s="6"/>
      <c r="BF332" s="6"/>
      <c r="BT332" s="6"/>
      <c r="CH332" s="6"/>
    </row>
    <row r="333" ht="13.5" customHeight="1">
      <c r="P333" s="6"/>
      <c r="AD333" s="6"/>
      <c r="AR333" s="6"/>
      <c r="BF333" s="6"/>
      <c r="BT333" s="6"/>
      <c r="CH333" s="6"/>
    </row>
    <row r="334" ht="13.5" customHeight="1">
      <c r="P334" s="6"/>
      <c r="AD334" s="6"/>
      <c r="AR334" s="6"/>
      <c r="BF334" s="6"/>
      <c r="BT334" s="6"/>
      <c r="CH334" s="6"/>
    </row>
    <row r="335" ht="13.5" customHeight="1">
      <c r="P335" s="6"/>
      <c r="AD335" s="6"/>
      <c r="AR335" s="6"/>
      <c r="BF335" s="6"/>
      <c r="BT335" s="6"/>
      <c r="CH335" s="6"/>
    </row>
    <row r="336" ht="13.5" customHeight="1">
      <c r="P336" s="6"/>
      <c r="AD336" s="6"/>
      <c r="AR336" s="6"/>
      <c r="BF336" s="6"/>
      <c r="BT336" s="6"/>
      <c r="CH336" s="6"/>
    </row>
    <row r="337" ht="13.5" customHeight="1">
      <c r="P337" s="6"/>
      <c r="AD337" s="6"/>
      <c r="AR337" s="6"/>
      <c r="BF337" s="6"/>
      <c r="BT337" s="6"/>
      <c r="CH337" s="6"/>
    </row>
    <row r="338" ht="13.5" customHeight="1">
      <c r="P338" s="6"/>
      <c r="AD338" s="6"/>
      <c r="AR338" s="6"/>
      <c r="BF338" s="6"/>
      <c r="BT338" s="6"/>
      <c r="CH338" s="6"/>
    </row>
    <row r="339" ht="13.5" customHeight="1">
      <c r="P339" s="6"/>
      <c r="AD339" s="6"/>
      <c r="AR339" s="6"/>
      <c r="BF339" s="6"/>
      <c r="BT339" s="6"/>
      <c r="CH339" s="6"/>
    </row>
    <row r="340" ht="13.5" customHeight="1">
      <c r="P340" s="6"/>
      <c r="AD340" s="6"/>
      <c r="AR340" s="6"/>
      <c r="BF340" s="6"/>
      <c r="BT340" s="6"/>
      <c r="CH340" s="6"/>
    </row>
    <row r="341" ht="13.5" customHeight="1">
      <c r="P341" s="6"/>
      <c r="AD341" s="6"/>
      <c r="AR341" s="6"/>
      <c r="BF341" s="6"/>
      <c r="BT341" s="6"/>
      <c r="CH341" s="6"/>
    </row>
    <row r="342" ht="13.5" customHeight="1">
      <c r="P342" s="6"/>
      <c r="AD342" s="6"/>
      <c r="AR342" s="6"/>
      <c r="BF342" s="6"/>
      <c r="BT342" s="6"/>
      <c r="CH342" s="6"/>
    </row>
    <row r="343" ht="13.5" customHeight="1">
      <c r="P343" s="6"/>
      <c r="AD343" s="6"/>
      <c r="AR343" s="6"/>
      <c r="BF343" s="6"/>
      <c r="BT343" s="6"/>
      <c r="CH343" s="6"/>
    </row>
    <row r="344" ht="13.5" customHeight="1">
      <c r="P344" s="6"/>
      <c r="AD344" s="6"/>
      <c r="AR344" s="6"/>
      <c r="BF344" s="6"/>
      <c r="BT344" s="6"/>
      <c r="CH344" s="6"/>
    </row>
    <row r="345" ht="13.5" customHeight="1">
      <c r="P345" s="6"/>
      <c r="AD345" s="6"/>
      <c r="AR345" s="6"/>
      <c r="BF345" s="6"/>
      <c r="BT345" s="6"/>
      <c r="CH345" s="6"/>
    </row>
    <row r="346" ht="13.5" customHeight="1">
      <c r="P346" s="6"/>
      <c r="AD346" s="6"/>
      <c r="AR346" s="6"/>
      <c r="BF346" s="6"/>
      <c r="BT346" s="6"/>
      <c r="CH346" s="6"/>
    </row>
    <row r="347" ht="13.5" customHeight="1">
      <c r="P347" s="6"/>
      <c r="AD347" s="6"/>
      <c r="AR347" s="6"/>
      <c r="BF347" s="6"/>
      <c r="BT347" s="6"/>
      <c r="CH347" s="6"/>
    </row>
    <row r="348" ht="13.5" customHeight="1">
      <c r="P348" s="6"/>
      <c r="AD348" s="6"/>
      <c r="AR348" s="6"/>
      <c r="BF348" s="6"/>
      <c r="BT348" s="6"/>
      <c r="CH348" s="6"/>
    </row>
    <row r="349" ht="13.5" customHeight="1">
      <c r="P349" s="6"/>
      <c r="AD349" s="6"/>
      <c r="AR349" s="6"/>
      <c r="BF349" s="6"/>
      <c r="BT349" s="6"/>
      <c r="CH349" s="6"/>
    </row>
    <row r="350" ht="13.5" customHeight="1">
      <c r="P350" s="6"/>
      <c r="AD350" s="6"/>
      <c r="AR350" s="6"/>
      <c r="BF350" s="6"/>
      <c r="BT350" s="6"/>
      <c r="CH350" s="6"/>
    </row>
    <row r="351" ht="13.5" customHeight="1">
      <c r="P351" s="6"/>
      <c r="AD351" s="6"/>
      <c r="AR351" s="6"/>
      <c r="BF351" s="6"/>
      <c r="BT351" s="6"/>
      <c r="CH351" s="6"/>
    </row>
    <row r="352" ht="13.5" customHeight="1">
      <c r="P352" s="6"/>
      <c r="AD352" s="6"/>
      <c r="AR352" s="6"/>
      <c r="BF352" s="6"/>
      <c r="BT352" s="6"/>
      <c r="CH352" s="6"/>
    </row>
    <row r="353" ht="13.5" customHeight="1">
      <c r="P353" s="6"/>
      <c r="AD353" s="6"/>
      <c r="AR353" s="6"/>
      <c r="BF353" s="6"/>
      <c r="BT353" s="6"/>
      <c r="CH353" s="6"/>
    </row>
    <row r="354" ht="13.5" customHeight="1">
      <c r="P354" s="6"/>
      <c r="AD354" s="6"/>
      <c r="AR354" s="6"/>
      <c r="BF354" s="6"/>
      <c r="BT354" s="6"/>
      <c r="CH354" s="6"/>
    </row>
    <row r="355" ht="13.5" customHeight="1">
      <c r="P355" s="6"/>
      <c r="AD355" s="6"/>
      <c r="AR355" s="6"/>
      <c r="BF355" s="6"/>
      <c r="BT355" s="6"/>
      <c r="CH355" s="6"/>
    </row>
    <row r="356" ht="13.5" customHeight="1">
      <c r="P356" s="6"/>
      <c r="AD356" s="6"/>
      <c r="AR356" s="6"/>
      <c r="BF356" s="6"/>
      <c r="BT356" s="6"/>
      <c r="CH356" s="6"/>
    </row>
    <row r="357" ht="13.5" customHeight="1">
      <c r="P357" s="6"/>
      <c r="AD357" s="6"/>
      <c r="AR357" s="6"/>
      <c r="BF357" s="6"/>
      <c r="BT357" s="6"/>
      <c r="CH357" s="6"/>
    </row>
    <row r="358" ht="13.5" customHeight="1">
      <c r="P358" s="6"/>
      <c r="AD358" s="6"/>
      <c r="AR358" s="6"/>
      <c r="BF358" s="6"/>
      <c r="BT358" s="6"/>
      <c r="CH358" s="6"/>
    </row>
    <row r="359" ht="13.5" customHeight="1">
      <c r="P359" s="6"/>
      <c r="AD359" s="6"/>
      <c r="AR359" s="6"/>
      <c r="BF359" s="6"/>
      <c r="BT359" s="6"/>
      <c r="CH359" s="6"/>
    </row>
    <row r="360" ht="13.5" customHeight="1">
      <c r="P360" s="6"/>
      <c r="AD360" s="6"/>
      <c r="AR360" s="6"/>
      <c r="BF360" s="6"/>
      <c r="BT360" s="6"/>
      <c r="CH360" s="6"/>
    </row>
    <row r="361" ht="13.5" customHeight="1">
      <c r="P361" s="6"/>
      <c r="AD361" s="6"/>
      <c r="AR361" s="6"/>
      <c r="BF361" s="6"/>
      <c r="BT361" s="6"/>
      <c r="CH361" s="6"/>
    </row>
    <row r="362" ht="13.5" customHeight="1">
      <c r="P362" s="6"/>
      <c r="AD362" s="6"/>
      <c r="AR362" s="6"/>
      <c r="BF362" s="6"/>
      <c r="BT362" s="6"/>
      <c r="CH362" s="6"/>
    </row>
    <row r="363" ht="13.5" customHeight="1">
      <c r="P363" s="6"/>
      <c r="AD363" s="6"/>
      <c r="AR363" s="6"/>
      <c r="BF363" s="6"/>
      <c r="BT363" s="6"/>
      <c r="CH363" s="6"/>
    </row>
    <row r="364" ht="13.5" customHeight="1">
      <c r="P364" s="6"/>
      <c r="AD364" s="6"/>
      <c r="AR364" s="6"/>
      <c r="BF364" s="6"/>
      <c r="BT364" s="6"/>
      <c r="CH364" s="6"/>
    </row>
    <row r="365" ht="13.5" customHeight="1">
      <c r="P365" s="6"/>
      <c r="AD365" s="6"/>
      <c r="AR365" s="6"/>
      <c r="BF365" s="6"/>
      <c r="BT365" s="6"/>
      <c r="CH365" s="6"/>
    </row>
    <row r="366" ht="13.5" customHeight="1">
      <c r="P366" s="6"/>
      <c r="AD366" s="6"/>
      <c r="AR366" s="6"/>
      <c r="BF366" s="6"/>
      <c r="BT366" s="6"/>
      <c r="CH366" s="6"/>
    </row>
    <row r="367" ht="13.5" customHeight="1">
      <c r="P367" s="6"/>
      <c r="AD367" s="6"/>
      <c r="AR367" s="6"/>
      <c r="BF367" s="6"/>
      <c r="BT367" s="6"/>
      <c r="CH367" s="6"/>
    </row>
    <row r="368" ht="13.5" customHeight="1">
      <c r="P368" s="6"/>
      <c r="AD368" s="6"/>
      <c r="AR368" s="6"/>
      <c r="BF368" s="6"/>
      <c r="BT368" s="6"/>
      <c r="CH368" s="6"/>
    </row>
    <row r="369" ht="13.5" customHeight="1">
      <c r="P369" s="6"/>
      <c r="AD369" s="6"/>
      <c r="AR369" s="6"/>
      <c r="BF369" s="6"/>
      <c r="BT369" s="6"/>
      <c r="CH369" s="6"/>
    </row>
    <row r="370" ht="13.5" customHeight="1">
      <c r="P370" s="6"/>
      <c r="AD370" s="6"/>
      <c r="AR370" s="6"/>
      <c r="BF370" s="6"/>
      <c r="BT370" s="6"/>
      <c r="CH370" s="6"/>
    </row>
    <row r="371" ht="13.5" customHeight="1">
      <c r="P371" s="6"/>
      <c r="AD371" s="6"/>
      <c r="AR371" s="6"/>
      <c r="BF371" s="6"/>
      <c r="BT371" s="6"/>
      <c r="CH371" s="6"/>
    </row>
    <row r="372" ht="13.5" customHeight="1">
      <c r="P372" s="6"/>
      <c r="AD372" s="6"/>
      <c r="AR372" s="6"/>
      <c r="BF372" s="6"/>
      <c r="BT372" s="6"/>
      <c r="CH372" s="6"/>
    </row>
    <row r="373" ht="13.5" customHeight="1">
      <c r="P373" s="6"/>
      <c r="AD373" s="6"/>
      <c r="AR373" s="6"/>
      <c r="BF373" s="6"/>
      <c r="BT373" s="6"/>
      <c r="CH373" s="6"/>
    </row>
    <row r="374" ht="13.5" customHeight="1">
      <c r="P374" s="6"/>
      <c r="AD374" s="6"/>
      <c r="AR374" s="6"/>
      <c r="BF374" s="6"/>
      <c r="BT374" s="6"/>
      <c r="CH374" s="6"/>
    </row>
    <row r="375" ht="13.5" customHeight="1">
      <c r="P375" s="6"/>
      <c r="AD375" s="6"/>
      <c r="AR375" s="6"/>
      <c r="BF375" s="6"/>
      <c r="BT375" s="6"/>
      <c r="CH375" s="6"/>
    </row>
    <row r="376" ht="13.5" customHeight="1">
      <c r="P376" s="6"/>
      <c r="AD376" s="6"/>
      <c r="AR376" s="6"/>
      <c r="BF376" s="6"/>
      <c r="BT376" s="6"/>
      <c r="CH376" s="6"/>
    </row>
    <row r="377" ht="13.5" customHeight="1">
      <c r="P377" s="6"/>
      <c r="AD377" s="6"/>
      <c r="AR377" s="6"/>
      <c r="BF377" s="6"/>
      <c r="BT377" s="6"/>
      <c r="CH377" s="6"/>
    </row>
    <row r="378" ht="13.5" customHeight="1">
      <c r="P378" s="6"/>
      <c r="AD378" s="6"/>
      <c r="AR378" s="6"/>
      <c r="BF378" s="6"/>
      <c r="BT378" s="6"/>
      <c r="CH378" s="6"/>
    </row>
    <row r="379" ht="13.5" customHeight="1">
      <c r="P379" s="6"/>
      <c r="AD379" s="6"/>
      <c r="AR379" s="6"/>
      <c r="BF379" s="6"/>
      <c r="BT379" s="6"/>
      <c r="CH379" s="6"/>
    </row>
    <row r="380" ht="13.5" customHeight="1">
      <c r="P380" s="6"/>
      <c r="AD380" s="6"/>
      <c r="AR380" s="6"/>
      <c r="BF380" s="6"/>
      <c r="BT380" s="6"/>
      <c r="CH380" s="6"/>
    </row>
    <row r="381" ht="13.5" customHeight="1">
      <c r="P381" s="6"/>
      <c r="AD381" s="6"/>
      <c r="AR381" s="6"/>
      <c r="BF381" s="6"/>
      <c r="BT381" s="6"/>
      <c r="CH381" s="6"/>
    </row>
    <row r="382" ht="13.5" customHeight="1">
      <c r="P382" s="6"/>
      <c r="AD382" s="6"/>
      <c r="AR382" s="6"/>
      <c r="BF382" s="6"/>
      <c r="BT382" s="6"/>
      <c r="CH382" s="6"/>
    </row>
    <row r="383" ht="13.5" customHeight="1">
      <c r="P383" s="6"/>
      <c r="AD383" s="6"/>
      <c r="AR383" s="6"/>
      <c r="BF383" s="6"/>
      <c r="BT383" s="6"/>
      <c r="CH383" s="6"/>
    </row>
    <row r="384" ht="13.5" customHeight="1">
      <c r="P384" s="6"/>
      <c r="AD384" s="6"/>
      <c r="AR384" s="6"/>
      <c r="BF384" s="6"/>
      <c r="BT384" s="6"/>
      <c r="CH384" s="6"/>
    </row>
    <row r="385" ht="13.5" customHeight="1">
      <c r="P385" s="6"/>
      <c r="AD385" s="6"/>
      <c r="AR385" s="6"/>
      <c r="BF385" s="6"/>
      <c r="BT385" s="6"/>
      <c r="CH385" s="6"/>
    </row>
    <row r="386" ht="13.5" customHeight="1">
      <c r="P386" s="6"/>
      <c r="AD386" s="6"/>
      <c r="AR386" s="6"/>
      <c r="BF386" s="6"/>
      <c r="BT386" s="6"/>
      <c r="CH386" s="6"/>
    </row>
    <row r="387" ht="13.5" customHeight="1">
      <c r="P387" s="6"/>
      <c r="AD387" s="6"/>
      <c r="AR387" s="6"/>
      <c r="BF387" s="6"/>
      <c r="BT387" s="6"/>
      <c r="CH387" s="6"/>
    </row>
    <row r="388" ht="13.5" customHeight="1">
      <c r="P388" s="6"/>
      <c r="AD388" s="6"/>
      <c r="AR388" s="6"/>
      <c r="BF388" s="6"/>
      <c r="BT388" s="6"/>
      <c r="CH388" s="6"/>
    </row>
    <row r="389" ht="13.5" customHeight="1">
      <c r="P389" s="6"/>
      <c r="AD389" s="6"/>
      <c r="AR389" s="6"/>
      <c r="BF389" s="6"/>
      <c r="BT389" s="6"/>
      <c r="CH389" s="6"/>
    </row>
    <row r="390" ht="13.5" customHeight="1">
      <c r="P390" s="6"/>
      <c r="AD390" s="6"/>
      <c r="AR390" s="6"/>
      <c r="BF390" s="6"/>
      <c r="BT390" s="6"/>
      <c r="CH390" s="6"/>
    </row>
    <row r="391" ht="13.5" customHeight="1">
      <c r="P391" s="6"/>
      <c r="AD391" s="6"/>
      <c r="AR391" s="6"/>
      <c r="BF391" s="6"/>
      <c r="BT391" s="6"/>
      <c r="CH391" s="6"/>
    </row>
    <row r="392" ht="13.5" customHeight="1">
      <c r="P392" s="6"/>
      <c r="AD392" s="6"/>
      <c r="AR392" s="6"/>
      <c r="BF392" s="6"/>
      <c r="BT392" s="6"/>
      <c r="CH392" s="6"/>
    </row>
    <row r="393" ht="13.5" customHeight="1">
      <c r="P393" s="6"/>
      <c r="AD393" s="6"/>
      <c r="AR393" s="6"/>
      <c r="BF393" s="6"/>
      <c r="BT393" s="6"/>
      <c r="CH393" s="6"/>
    </row>
    <row r="394" ht="13.5" customHeight="1">
      <c r="P394" s="6"/>
      <c r="AD394" s="6"/>
      <c r="AR394" s="6"/>
      <c r="BF394" s="6"/>
      <c r="BT394" s="6"/>
      <c r="CH394" s="6"/>
    </row>
    <row r="395" ht="13.5" customHeight="1">
      <c r="P395" s="6"/>
      <c r="AD395" s="6"/>
      <c r="AR395" s="6"/>
      <c r="BF395" s="6"/>
      <c r="BT395" s="6"/>
      <c r="CH395" s="6"/>
    </row>
    <row r="396" ht="13.5" customHeight="1">
      <c r="P396" s="6"/>
      <c r="AD396" s="6"/>
      <c r="AR396" s="6"/>
      <c r="BF396" s="6"/>
      <c r="BT396" s="6"/>
      <c r="CH396" s="6"/>
    </row>
    <row r="397" ht="13.5" customHeight="1">
      <c r="P397" s="6"/>
      <c r="AD397" s="6"/>
      <c r="AR397" s="6"/>
      <c r="BF397" s="6"/>
      <c r="BT397" s="6"/>
      <c r="CH397" s="6"/>
    </row>
    <row r="398" ht="13.5" customHeight="1">
      <c r="P398" s="6"/>
      <c r="AD398" s="6"/>
      <c r="AR398" s="6"/>
      <c r="BF398" s="6"/>
      <c r="BT398" s="6"/>
      <c r="CH398" s="6"/>
    </row>
    <row r="399" ht="13.5" customHeight="1">
      <c r="P399" s="6"/>
      <c r="AD399" s="6"/>
      <c r="AR399" s="6"/>
      <c r="BF399" s="6"/>
      <c r="BT399" s="6"/>
      <c r="CH399" s="6"/>
    </row>
    <row r="400" ht="13.5" customHeight="1">
      <c r="P400" s="6"/>
      <c r="AD400" s="6"/>
      <c r="AR400" s="6"/>
      <c r="BF400" s="6"/>
      <c r="BT400" s="6"/>
      <c r="CH400" s="6"/>
    </row>
    <row r="401" ht="13.5" customHeight="1">
      <c r="P401" s="6"/>
      <c r="AD401" s="6"/>
      <c r="AR401" s="6"/>
      <c r="BF401" s="6"/>
      <c r="BT401" s="6"/>
      <c r="CH401" s="6"/>
    </row>
    <row r="402" ht="13.5" customHeight="1">
      <c r="P402" s="6"/>
      <c r="AD402" s="6"/>
      <c r="AR402" s="6"/>
      <c r="BF402" s="6"/>
      <c r="BT402" s="6"/>
      <c r="CH402" s="6"/>
    </row>
    <row r="403" ht="13.5" customHeight="1">
      <c r="P403" s="6"/>
      <c r="AD403" s="6"/>
      <c r="AR403" s="6"/>
      <c r="BF403" s="6"/>
      <c r="BT403" s="6"/>
      <c r="CH403" s="6"/>
    </row>
    <row r="404" ht="13.5" customHeight="1">
      <c r="P404" s="6"/>
      <c r="AD404" s="6"/>
      <c r="AR404" s="6"/>
      <c r="BF404" s="6"/>
      <c r="BT404" s="6"/>
      <c r="CH404" s="6"/>
    </row>
    <row r="405" ht="13.5" customHeight="1">
      <c r="P405" s="6"/>
      <c r="AD405" s="6"/>
      <c r="AR405" s="6"/>
      <c r="BF405" s="6"/>
      <c r="BT405" s="6"/>
      <c r="CH405" s="6"/>
    </row>
    <row r="406" ht="13.5" customHeight="1">
      <c r="P406" s="6"/>
      <c r="AD406" s="6"/>
      <c r="AR406" s="6"/>
      <c r="BF406" s="6"/>
      <c r="BT406" s="6"/>
      <c r="CH406" s="6"/>
    </row>
    <row r="407" ht="13.5" customHeight="1">
      <c r="P407" s="6"/>
      <c r="AD407" s="6"/>
      <c r="AR407" s="6"/>
      <c r="BF407" s="6"/>
      <c r="BT407" s="6"/>
      <c r="CH407" s="6"/>
    </row>
    <row r="408" ht="13.5" customHeight="1">
      <c r="P408" s="6"/>
      <c r="AD408" s="6"/>
      <c r="AR408" s="6"/>
      <c r="BF408" s="6"/>
      <c r="BT408" s="6"/>
      <c r="CH408" s="6"/>
    </row>
    <row r="409" ht="13.5" customHeight="1">
      <c r="P409" s="6"/>
      <c r="AD409" s="6"/>
      <c r="AR409" s="6"/>
      <c r="BF409" s="6"/>
      <c r="BT409" s="6"/>
      <c r="CH409" s="6"/>
    </row>
    <row r="410" ht="13.5" customHeight="1">
      <c r="P410" s="6"/>
      <c r="AD410" s="6"/>
      <c r="AR410" s="6"/>
      <c r="BF410" s="6"/>
      <c r="BT410" s="6"/>
      <c r="CH410" s="6"/>
    </row>
    <row r="411" ht="13.5" customHeight="1">
      <c r="P411" s="6"/>
      <c r="AD411" s="6"/>
      <c r="AR411" s="6"/>
      <c r="BF411" s="6"/>
      <c r="BT411" s="6"/>
      <c r="CH411" s="6"/>
    </row>
    <row r="412" ht="13.5" customHeight="1">
      <c r="P412" s="6"/>
      <c r="AD412" s="6"/>
      <c r="AR412" s="6"/>
      <c r="BF412" s="6"/>
      <c r="BT412" s="6"/>
      <c r="CH412" s="6"/>
    </row>
    <row r="413" ht="13.5" customHeight="1">
      <c r="P413" s="6"/>
      <c r="AD413" s="6"/>
      <c r="AR413" s="6"/>
      <c r="BF413" s="6"/>
      <c r="BT413" s="6"/>
      <c r="CH413" s="6"/>
    </row>
    <row r="414" ht="13.5" customHeight="1">
      <c r="P414" s="6"/>
      <c r="AD414" s="6"/>
      <c r="AR414" s="6"/>
      <c r="BF414" s="6"/>
      <c r="BT414" s="6"/>
      <c r="CH414" s="6"/>
    </row>
    <row r="415" ht="13.5" customHeight="1">
      <c r="P415" s="6"/>
      <c r="AD415" s="6"/>
      <c r="AR415" s="6"/>
      <c r="BF415" s="6"/>
      <c r="BT415" s="6"/>
      <c r="CH415" s="6"/>
    </row>
    <row r="416" ht="13.5" customHeight="1">
      <c r="P416" s="6"/>
      <c r="AD416" s="6"/>
      <c r="AR416" s="6"/>
      <c r="BF416" s="6"/>
      <c r="BT416" s="6"/>
      <c r="CH416" s="6"/>
    </row>
    <row r="417" ht="13.5" customHeight="1">
      <c r="P417" s="6"/>
      <c r="AD417" s="6"/>
      <c r="AR417" s="6"/>
      <c r="BF417" s="6"/>
      <c r="BT417" s="6"/>
      <c r="CH417" s="6"/>
    </row>
    <row r="418" ht="13.5" customHeight="1">
      <c r="P418" s="6"/>
      <c r="AD418" s="6"/>
      <c r="AR418" s="6"/>
      <c r="BF418" s="6"/>
      <c r="BT418" s="6"/>
      <c r="CH418" s="6"/>
    </row>
    <row r="419" ht="13.5" customHeight="1">
      <c r="P419" s="6"/>
      <c r="AD419" s="6"/>
      <c r="AR419" s="6"/>
      <c r="BF419" s="6"/>
      <c r="BT419" s="6"/>
      <c r="CH419" s="6"/>
    </row>
    <row r="420" ht="13.5" customHeight="1">
      <c r="P420" s="6"/>
      <c r="AD420" s="6"/>
      <c r="AR420" s="6"/>
      <c r="BF420" s="6"/>
      <c r="BT420" s="6"/>
      <c r="CH420" s="6"/>
    </row>
    <row r="421" ht="13.5" customHeight="1">
      <c r="P421" s="6"/>
      <c r="AD421" s="6"/>
      <c r="AR421" s="6"/>
      <c r="BF421" s="6"/>
      <c r="BT421" s="6"/>
      <c r="CH421" s="6"/>
    </row>
    <row r="422" ht="13.5" customHeight="1">
      <c r="P422" s="6"/>
      <c r="AD422" s="6"/>
      <c r="AR422" s="6"/>
      <c r="BF422" s="6"/>
      <c r="BT422" s="6"/>
      <c r="CH422" s="6"/>
    </row>
    <row r="423" ht="13.5" customHeight="1">
      <c r="P423" s="6"/>
      <c r="AD423" s="6"/>
      <c r="AR423" s="6"/>
      <c r="BF423" s="6"/>
      <c r="BT423" s="6"/>
      <c r="CH423" s="6"/>
    </row>
    <row r="424" ht="13.5" customHeight="1">
      <c r="P424" s="6"/>
      <c r="AD424" s="6"/>
      <c r="AR424" s="6"/>
      <c r="BF424" s="6"/>
      <c r="BT424" s="6"/>
      <c r="CH424" s="6"/>
    </row>
    <row r="425" ht="13.5" customHeight="1">
      <c r="P425" s="6"/>
      <c r="AD425" s="6"/>
      <c r="AR425" s="6"/>
      <c r="BF425" s="6"/>
      <c r="BT425" s="6"/>
      <c r="CH425" s="6"/>
    </row>
    <row r="426" ht="13.5" customHeight="1">
      <c r="P426" s="6"/>
      <c r="AD426" s="6"/>
      <c r="AR426" s="6"/>
      <c r="BF426" s="6"/>
      <c r="BT426" s="6"/>
      <c r="CH426" s="6"/>
    </row>
    <row r="427" ht="13.5" customHeight="1">
      <c r="P427" s="6"/>
      <c r="AD427" s="6"/>
      <c r="AR427" s="6"/>
      <c r="BF427" s="6"/>
      <c r="BT427" s="6"/>
      <c r="CH427" s="6"/>
    </row>
    <row r="428" ht="13.5" customHeight="1">
      <c r="P428" s="6"/>
      <c r="AD428" s="6"/>
      <c r="AR428" s="6"/>
      <c r="BF428" s="6"/>
      <c r="BT428" s="6"/>
      <c r="CH428" s="6"/>
    </row>
    <row r="429" ht="13.5" customHeight="1">
      <c r="P429" s="6"/>
      <c r="AD429" s="6"/>
      <c r="AR429" s="6"/>
      <c r="BF429" s="6"/>
      <c r="BT429" s="6"/>
      <c r="CH429" s="6"/>
    </row>
    <row r="430" ht="13.5" customHeight="1">
      <c r="P430" s="6"/>
      <c r="AD430" s="6"/>
      <c r="AR430" s="6"/>
      <c r="BF430" s="6"/>
      <c r="BT430" s="6"/>
      <c r="CH430" s="6"/>
    </row>
    <row r="431" ht="13.5" customHeight="1">
      <c r="P431" s="6"/>
      <c r="AD431" s="6"/>
      <c r="AR431" s="6"/>
      <c r="BF431" s="6"/>
      <c r="BT431" s="6"/>
      <c r="CH431" s="6"/>
    </row>
    <row r="432" ht="13.5" customHeight="1">
      <c r="P432" s="6"/>
      <c r="AD432" s="6"/>
      <c r="AR432" s="6"/>
      <c r="BF432" s="6"/>
      <c r="BT432" s="6"/>
      <c r="CH432" s="6"/>
    </row>
    <row r="433" ht="13.5" customHeight="1">
      <c r="P433" s="6"/>
      <c r="AD433" s="6"/>
      <c r="AR433" s="6"/>
      <c r="BF433" s="6"/>
      <c r="BT433" s="6"/>
      <c r="CH433" s="6"/>
    </row>
    <row r="434" ht="13.5" customHeight="1">
      <c r="P434" s="6"/>
      <c r="AD434" s="6"/>
      <c r="AR434" s="6"/>
      <c r="BF434" s="6"/>
      <c r="BT434" s="6"/>
      <c r="CH434" s="6"/>
    </row>
    <row r="435" ht="13.5" customHeight="1">
      <c r="P435" s="6"/>
      <c r="AD435" s="6"/>
      <c r="AR435" s="6"/>
      <c r="BF435" s="6"/>
      <c r="BT435" s="6"/>
      <c r="CH435" s="6"/>
    </row>
    <row r="436" ht="13.5" customHeight="1">
      <c r="P436" s="6"/>
      <c r="AD436" s="6"/>
      <c r="AR436" s="6"/>
      <c r="BF436" s="6"/>
      <c r="BT436" s="6"/>
      <c r="CH436" s="6"/>
    </row>
    <row r="437" ht="13.5" customHeight="1">
      <c r="P437" s="6"/>
      <c r="AD437" s="6"/>
      <c r="AR437" s="6"/>
      <c r="BF437" s="6"/>
      <c r="BT437" s="6"/>
      <c r="CH437" s="6"/>
    </row>
    <row r="438" ht="13.5" customHeight="1">
      <c r="P438" s="6"/>
      <c r="AD438" s="6"/>
      <c r="AR438" s="6"/>
      <c r="BF438" s="6"/>
      <c r="BT438" s="6"/>
      <c r="CH438" s="6"/>
    </row>
    <row r="439" ht="13.5" customHeight="1">
      <c r="P439" s="6"/>
      <c r="AD439" s="6"/>
      <c r="AR439" s="6"/>
      <c r="BF439" s="6"/>
      <c r="BT439" s="6"/>
      <c r="CH439" s="6"/>
    </row>
    <row r="440" ht="13.5" customHeight="1">
      <c r="P440" s="6"/>
      <c r="AD440" s="6"/>
      <c r="AR440" s="6"/>
      <c r="BF440" s="6"/>
      <c r="BT440" s="6"/>
      <c r="CH440" s="6"/>
    </row>
    <row r="441" ht="13.5" customHeight="1">
      <c r="P441" s="6"/>
      <c r="AD441" s="6"/>
      <c r="AR441" s="6"/>
      <c r="BF441" s="6"/>
      <c r="BT441" s="6"/>
      <c r="CH441" s="6"/>
    </row>
    <row r="442" ht="13.5" customHeight="1">
      <c r="P442" s="6"/>
      <c r="AD442" s="6"/>
      <c r="AR442" s="6"/>
      <c r="BF442" s="6"/>
      <c r="BT442" s="6"/>
      <c r="CH442" s="6"/>
    </row>
    <row r="443" ht="13.5" customHeight="1">
      <c r="P443" s="6"/>
      <c r="AD443" s="6"/>
      <c r="AR443" s="6"/>
      <c r="BF443" s="6"/>
      <c r="BT443" s="6"/>
      <c r="CH443" s="6"/>
    </row>
    <row r="444" ht="13.5" customHeight="1">
      <c r="P444" s="6"/>
      <c r="AD444" s="6"/>
      <c r="AR444" s="6"/>
      <c r="BF444" s="6"/>
      <c r="BT444" s="6"/>
      <c r="CH444" s="6"/>
    </row>
    <row r="445" ht="13.5" customHeight="1">
      <c r="P445" s="6"/>
      <c r="AD445" s="6"/>
      <c r="AR445" s="6"/>
      <c r="BF445" s="6"/>
      <c r="BT445" s="6"/>
      <c r="CH445" s="6"/>
    </row>
    <row r="446" ht="13.5" customHeight="1">
      <c r="P446" s="6"/>
      <c r="AD446" s="6"/>
      <c r="AR446" s="6"/>
      <c r="BF446" s="6"/>
      <c r="BT446" s="6"/>
      <c r="CH446" s="6"/>
    </row>
    <row r="447" ht="13.5" customHeight="1">
      <c r="P447" s="6"/>
      <c r="AD447" s="6"/>
      <c r="AR447" s="6"/>
      <c r="BF447" s="6"/>
      <c r="BT447" s="6"/>
      <c r="CH447" s="6"/>
    </row>
    <row r="448" ht="13.5" customHeight="1">
      <c r="P448" s="6"/>
      <c r="AD448" s="6"/>
      <c r="AR448" s="6"/>
      <c r="BF448" s="6"/>
      <c r="BT448" s="6"/>
      <c r="CH448" s="6"/>
    </row>
    <row r="449" ht="13.5" customHeight="1">
      <c r="P449" s="6"/>
      <c r="AD449" s="6"/>
      <c r="AR449" s="6"/>
      <c r="BF449" s="6"/>
      <c r="BT449" s="6"/>
      <c r="CH449" s="6"/>
    </row>
    <row r="450" ht="13.5" customHeight="1">
      <c r="P450" s="6"/>
      <c r="AD450" s="6"/>
      <c r="AR450" s="6"/>
      <c r="BF450" s="6"/>
      <c r="BT450" s="6"/>
      <c r="CH450" s="6"/>
    </row>
    <row r="451" ht="13.5" customHeight="1">
      <c r="P451" s="6"/>
      <c r="AD451" s="6"/>
      <c r="AR451" s="6"/>
      <c r="BF451" s="6"/>
      <c r="BT451" s="6"/>
      <c r="CH451" s="6"/>
    </row>
    <row r="452" ht="13.5" customHeight="1">
      <c r="P452" s="6"/>
      <c r="AD452" s="6"/>
      <c r="AR452" s="6"/>
      <c r="BF452" s="6"/>
      <c r="BT452" s="6"/>
      <c r="CH452" s="6"/>
    </row>
    <row r="453" ht="13.5" customHeight="1">
      <c r="P453" s="6"/>
      <c r="AD453" s="6"/>
      <c r="AR453" s="6"/>
      <c r="BF453" s="6"/>
      <c r="BT453" s="6"/>
      <c r="CH453" s="6"/>
    </row>
    <row r="454" ht="13.5" customHeight="1">
      <c r="P454" s="6"/>
      <c r="AD454" s="6"/>
      <c r="AR454" s="6"/>
      <c r="BF454" s="6"/>
      <c r="BT454" s="6"/>
      <c r="CH454" s="6"/>
    </row>
    <row r="455" ht="13.5" customHeight="1">
      <c r="P455" s="6"/>
      <c r="AD455" s="6"/>
      <c r="AR455" s="6"/>
      <c r="BF455" s="6"/>
      <c r="BT455" s="6"/>
      <c r="CH455" s="6"/>
    </row>
    <row r="456" ht="13.5" customHeight="1">
      <c r="P456" s="6"/>
      <c r="AD456" s="6"/>
      <c r="AR456" s="6"/>
      <c r="BF456" s="6"/>
      <c r="BT456" s="6"/>
      <c r="CH456" s="6"/>
    </row>
    <row r="457" ht="13.5" customHeight="1">
      <c r="P457" s="6"/>
      <c r="AD457" s="6"/>
      <c r="AR457" s="6"/>
      <c r="BF457" s="6"/>
      <c r="BT457" s="6"/>
      <c r="CH457" s="6"/>
    </row>
    <row r="458" ht="13.5" customHeight="1">
      <c r="P458" s="6"/>
      <c r="AD458" s="6"/>
      <c r="AR458" s="6"/>
      <c r="BF458" s="6"/>
      <c r="BT458" s="6"/>
      <c r="CH458" s="6"/>
    </row>
    <row r="459" ht="13.5" customHeight="1">
      <c r="P459" s="6"/>
      <c r="AD459" s="6"/>
      <c r="AR459" s="6"/>
      <c r="BF459" s="6"/>
      <c r="BT459" s="6"/>
      <c r="CH459" s="6"/>
    </row>
    <row r="460" ht="13.5" customHeight="1">
      <c r="P460" s="6"/>
      <c r="AD460" s="6"/>
      <c r="AR460" s="6"/>
      <c r="BF460" s="6"/>
      <c r="BT460" s="6"/>
      <c r="CH460" s="6"/>
    </row>
    <row r="461" ht="13.5" customHeight="1">
      <c r="P461" s="6"/>
      <c r="AD461" s="6"/>
      <c r="AR461" s="6"/>
      <c r="BF461" s="6"/>
      <c r="BT461" s="6"/>
      <c r="CH461" s="6"/>
    </row>
    <row r="462" ht="13.5" customHeight="1">
      <c r="P462" s="6"/>
      <c r="AD462" s="6"/>
      <c r="AR462" s="6"/>
      <c r="BF462" s="6"/>
      <c r="BT462" s="6"/>
      <c r="CH462" s="6"/>
    </row>
    <row r="463" ht="13.5" customHeight="1">
      <c r="P463" s="6"/>
      <c r="AD463" s="6"/>
      <c r="AR463" s="6"/>
      <c r="BF463" s="6"/>
      <c r="BT463" s="6"/>
      <c r="CH463" s="6"/>
    </row>
    <row r="464" ht="13.5" customHeight="1">
      <c r="P464" s="6"/>
      <c r="AD464" s="6"/>
      <c r="AR464" s="6"/>
      <c r="BF464" s="6"/>
      <c r="BT464" s="6"/>
      <c r="CH464" s="6"/>
    </row>
    <row r="465" ht="13.5" customHeight="1">
      <c r="P465" s="6"/>
      <c r="AD465" s="6"/>
      <c r="AR465" s="6"/>
      <c r="BF465" s="6"/>
      <c r="BT465" s="6"/>
      <c r="CH465" s="6"/>
    </row>
    <row r="466" ht="13.5" customHeight="1">
      <c r="P466" s="6"/>
      <c r="AD466" s="6"/>
      <c r="AR466" s="6"/>
      <c r="BF466" s="6"/>
      <c r="BT466" s="6"/>
      <c r="CH466" s="6"/>
    </row>
    <row r="467" ht="13.5" customHeight="1">
      <c r="P467" s="6"/>
      <c r="AD467" s="6"/>
      <c r="AR467" s="6"/>
      <c r="BF467" s="6"/>
      <c r="BT467" s="6"/>
      <c r="CH467" s="6"/>
    </row>
    <row r="468" ht="13.5" customHeight="1">
      <c r="P468" s="6"/>
      <c r="AD468" s="6"/>
      <c r="AR468" s="6"/>
      <c r="BF468" s="6"/>
      <c r="BT468" s="6"/>
      <c r="CH468" s="6"/>
    </row>
    <row r="469" ht="13.5" customHeight="1">
      <c r="P469" s="6"/>
      <c r="AD469" s="6"/>
      <c r="AR469" s="6"/>
      <c r="BF469" s="6"/>
      <c r="BT469" s="6"/>
      <c r="CH469" s="6"/>
    </row>
    <row r="470" ht="13.5" customHeight="1">
      <c r="P470" s="6"/>
      <c r="AD470" s="6"/>
      <c r="AR470" s="6"/>
      <c r="BF470" s="6"/>
      <c r="BT470" s="6"/>
      <c r="CH470" s="6"/>
    </row>
    <row r="471" ht="13.5" customHeight="1">
      <c r="P471" s="6"/>
      <c r="AD471" s="6"/>
      <c r="AR471" s="6"/>
      <c r="BF471" s="6"/>
      <c r="BT471" s="6"/>
      <c r="CH471" s="6"/>
    </row>
    <row r="472" ht="13.5" customHeight="1">
      <c r="P472" s="6"/>
      <c r="AD472" s="6"/>
      <c r="AR472" s="6"/>
      <c r="BF472" s="6"/>
      <c r="BT472" s="6"/>
      <c r="CH472" s="6"/>
    </row>
    <row r="473" ht="13.5" customHeight="1">
      <c r="P473" s="6"/>
      <c r="AD473" s="6"/>
      <c r="AR473" s="6"/>
      <c r="BF473" s="6"/>
      <c r="BT473" s="6"/>
      <c r="CH473" s="6"/>
    </row>
    <row r="474" ht="13.5" customHeight="1">
      <c r="P474" s="6"/>
      <c r="AD474" s="6"/>
      <c r="AR474" s="6"/>
      <c r="BF474" s="6"/>
      <c r="BT474" s="6"/>
      <c r="CH474" s="6"/>
    </row>
    <row r="475" ht="13.5" customHeight="1">
      <c r="P475" s="6"/>
      <c r="AD475" s="6"/>
      <c r="AR475" s="6"/>
      <c r="BF475" s="6"/>
      <c r="BT475" s="6"/>
      <c r="CH475" s="6"/>
    </row>
    <row r="476" ht="13.5" customHeight="1">
      <c r="P476" s="6"/>
      <c r="AD476" s="6"/>
      <c r="AR476" s="6"/>
      <c r="BF476" s="6"/>
      <c r="BT476" s="6"/>
      <c r="CH476" s="6"/>
    </row>
    <row r="477" ht="13.5" customHeight="1">
      <c r="P477" s="6"/>
      <c r="AD477" s="6"/>
      <c r="AR477" s="6"/>
      <c r="BF477" s="6"/>
      <c r="BT477" s="6"/>
      <c r="CH477" s="6"/>
    </row>
    <row r="478" ht="13.5" customHeight="1">
      <c r="P478" s="6"/>
      <c r="AD478" s="6"/>
      <c r="AR478" s="6"/>
      <c r="BF478" s="6"/>
      <c r="BT478" s="6"/>
      <c r="CH478" s="6"/>
    </row>
    <row r="479" ht="13.5" customHeight="1">
      <c r="P479" s="6"/>
      <c r="AD479" s="6"/>
      <c r="AR479" s="6"/>
      <c r="BF479" s="6"/>
      <c r="BT479" s="6"/>
      <c r="CH479" s="6"/>
    </row>
    <row r="480" ht="13.5" customHeight="1">
      <c r="P480" s="6"/>
      <c r="AD480" s="6"/>
      <c r="AR480" s="6"/>
      <c r="BF480" s="6"/>
      <c r="BT480" s="6"/>
      <c r="CH480" s="6"/>
    </row>
    <row r="481" ht="13.5" customHeight="1">
      <c r="P481" s="6"/>
      <c r="AD481" s="6"/>
      <c r="AR481" s="6"/>
      <c r="BF481" s="6"/>
      <c r="BT481" s="6"/>
      <c r="CH481" s="6"/>
    </row>
    <row r="482" ht="13.5" customHeight="1">
      <c r="P482" s="6"/>
      <c r="AD482" s="6"/>
      <c r="AR482" s="6"/>
      <c r="BF482" s="6"/>
      <c r="BT482" s="6"/>
      <c r="CH482" s="6"/>
    </row>
    <row r="483" ht="13.5" customHeight="1">
      <c r="P483" s="6"/>
      <c r="AD483" s="6"/>
      <c r="AR483" s="6"/>
      <c r="BF483" s="6"/>
      <c r="BT483" s="6"/>
      <c r="CH483" s="6"/>
    </row>
    <row r="484" ht="13.5" customHeight="1">
      <c r="P484" s="6"/>
      <c r="AD484" s="6"/>
      <c r="AR484" s="6"/>
      <c r="BF484" s="6"/>
      <c r="BT484" s="6"/>
      <c r="CH484" s="6"/>
    </row>
    <row r="485" ht="13.5" customHeight="1">
      <c r="P485" s="6"/>
      <c r="AD485" s="6"/>
      <c r="AR485" s="6"/>
      <c r="BF485" s="6"/>
      <c r="BT485" s="6"/>
      <c r="CH485" s="6"/>
    </row>
    <row r="486" ht="13.5" customHeight="1">
      <c r="P486" s="6"/>
      <c r="AD486" s="6"/>
      <c r="AR486" s="6"/>
      <c r="BF486" s="6"/>
      <c r="BT486" s="6"/>
      <c r="CH486" s="6"/>
    </row>
    <row r="487" ht="13.5" customHeight="1">
      <c r="P487" s="6"/>
      <c r="AD487" s="6"/>
      <c r="AR487" s="6"/>
      <c r="BF487" s="6"/>
      <c r="BT487" s="6"/>
      <c r="CH487" s="6"/>
    </row>
    <row r="488" ht="13.5" customHeight="1">
      <c r="P488" s="6"/>
      <c r="AD488" s="6"/>
      <c r="AR488" s="6"/>
      <c r="BF488" s="6"/>
      <c r="BT488" s="6"/>
      <c r="CH488" s="6"/>
    </row>
    <row r="489" ht="13.5" customHeight="1">
      <c r="P489" s="6"/>
      <c r="AD489" s="6"/>
      <c r="AR489" s="6"/>
      <c r="BF489" s="6"/>
      <c r="BT489" s="6"/>
      <c r="CH489" s="6"/>
    </row>
    <row r="490" ht="13.5" customHeight="1">
      <c r="P490" s="6"/>
      <c r="AD490" s="6"/>
      <c r="AR490" s="6"/>
      <c r="BF490" s="6"/>
      <c r="BT490" s="6"/>
      <c r="CH490" s="6"/>
    </row>
    <row r="491" ht="13.5" customHeight="1">
      <c r="P491" s="6"/>
      <c r="AD491" s="6"/>
      <c r="AR491" s="6"/>
      <c r="BF491" s="6"/>
      <c r="BT491" s="6"/>
      <c r="CH491" s="6"/>
    </row>
    <row r="492" ht="13.5" customHeight="1">
      <c r="P492" s="6"/>
      <c r="AD492" s="6"/>
      <c r="AR492" s="6"/>
      <c r="BF492" s="6"/>
      <c r="BT492" s="6"/>
      <c r="CH492" s="6"/>
    </row>
    <row r="493" ht="13.5" customHeight="1">
      <c r="P493" s="6"/>
      <c r="AD493" s="6"/>
      <c r="AR493" s="6"/>
      <c r="BF493" s="6"/>
      <c r="BT493" s="6"/>
      <c r="CH493" s="6"/>
    </row>
    <row r="494" ht="13.5" customHeight="1">
      <c r="P494" s="6"/>
      <c r="AD494" s="6"/>
      <c r="AR494" s="6"/>
      <c r="BF494" s="6"/>
      <c r="BT494" s="6"/>
      <c r="CH494" s="6"/>
    </row>
    <row r="495" ht="13.5" customHeight="1">
      <c r="P495" s="6"/>
      <c r="AD495" s="6"/>
      <c r="AR495" s="6"/>
      <c r="BF495" s="6"/>
      <c r="BT495" s="6"/>
      <c r="CH495" s="6"/>
    </row>
    <row r="496" ht="13.5" customHeight="1">
      <c r="P496" s="6"/>
      <c r="AD496" s="6"/>
      <c r="AR496" s="6"/>
      <c r="BF496" s="6"/>
      <c r="BT496" s="6"/>
      <c r="CH496" s="6"/>
    </row>
    <row r="497" ht="13.5" customHeight="1">
      <c r="P497" s="6"/>
      <c r="AD497" s="6"/>
      <c r="AR497" s="6"/>
      <c r="BF497" s="6"/>
      <c r="BT497" s="6"/>
      <c r="CH497" s="6"/>
    </row>
    <row r="498" ht="13.5" customHeight="1">
      <c r="P498" s="6"/>
      <c r="AD498" s="6"/>
      <c r="AR498" s="6"/>
      <c r="BF498" s="6"/>
      <c r="BT498" s="6"/>
      <c r="CH498" s="6"/>
    </row>
    <row r="499" ht="13.5" customHeight="1">
      <c r="P499" s="6"/>
      <c r="AD499" s="6"/>
      <c r="AR499" s="6"/>
      <c r="BF499" s="6"/>
      <c r="BT499" s="6"/>
      <c r="CH499" s="6"/>
    </row>
    <row r="500" ht="13.5" customHeight="1">
      <c r="P500" s="6"/>
      <c r="AD500" s="6"/>
      <c r="AR500" s="6"/>
      <c r="BF500" s="6"/>
      <c r="BT500" s="6"/>
      <c r="CH500" s="6"/>
    </row>
    <row r="501" ht="13.5" customHeight="1">
      <c r="P501" s="6"/>
      <c r="AD501" s="6"/>
      <c r="AR501" s="6"/>
      <c r="BF501" s="6"/>
      <c r="BT501" s="6"/>
      <c r="CH501" s="6"/>
    </row>
    <row r="502" ht="13.5" customHeight="1">
      <c r="P502" s="6"/>
      <c r="AD502" s="6"/>
      <c r="AR502" s="6"/>
      <c r="BF502" s="6"/>
      <c r="BT502" s="6"/>
      <c r="CH502" s="6"/>
    </row>
    <row r="503" ht="13.5" customHeight="1">
      <c r="P503" s="6"/>
      <c r="AD503" s="6"/>
      <c r="AR503" s="6"/>
      <c r="BF503" s="6"/>
      <c r="BT503" s="6"/>
      <c r="CH503" s="6"/>
    </row>
    <row r="504" ht="13.5" customHeight="1">
      <c r="P504" s="6"/>
      <c r="AD504" s="6"/>
      <c r="AR504" s="6"/>
      <c r="BF504" s="6"/>
      <c r="BT504" s="6"/>
      <c r="CH504" s="6"/>
    </row>
    <row r="505" ht="13.5" customHeight="1">
      <c r="P505" s="6"/>
      <c r="AD505" s="6"/>
      <c r="AR505" s="6"/>
      <c r="BF505" s="6"/>
      <c r="BT505" s="6"/>
      <c r="CH505" s="6"/>
    </row>
    <row r="506" ht="13.5" customHeight="1">
      <c r="P506" s="6"/>
      <c r="AD506" s="6"/>
      <c r="AR506" s="6"/>
      <c r="BF506" s="6"/>
      <c r="BT506" s="6"/>
      <c r="CH506" s="6"/>
    </row>
    <row r="507" ht="13.5" customHeight="1">
      <c r="P507" s="6"/>
      <c r="AD507" s="6"/>
      <c r="AR507" s="6"/>
      <c r="BF507" s="6"/>
      <c r="BT507" s="6"/>
      <c r="CH507" s="6"/>
    </row>
    <row r="508" ht="13.5" customHeight="1">
      <c r="P508" s="6"/>
      <c r="AD508" s="6"/>
      <c r="AR508" s="6"/>
      <c r="BF508" s="6"/>
      <c r="BT508" s="6"/>
      <c r="CH508" s="6"/>
    </row>
    <row r="509" ht="13.5" customHeight="1">
      <c r="P509" s="6"/>
      <c r="AD509" s="6"/>
      <c r="AR509" s="6"/>
      <c r="BF509" s="6"/>
      <c r="BT509" s="6"/>
      <c r="CH509" s="6"/>
    </row>
    <row r="510" ht="13.5" customHeight="1">
      <c r="P510" s="6"/>
      <c r="AD510" s="6"/>
      <c r="AR510" s="6"/>
      <c r="BF510" s="6"/>
      <c r="BT510" s="6"/>
      <c r="CH510" s="6"/>
    </row>
    <row r="511" ht="13.5" customHeight="1">
      <c r="P511" s="6"/>
      <c r="AD511" s="6"/>
      <c r="AR511" s="6"/>
      <c r="BF511" s="6"/>
      <c r="BT511" s="6"/>
      <c r="CH511" s="6"/>
    </row>
    <row r="512" ht="13.5" customHeight="1">
      <c r="P512" s="6"/>
      <c r="AD512" s="6"/>
      <c r="AR512" s="6"/>
      <c r="BF512" s="6"/>
      <c r="BT512" s="6"/>
      <c r="CH512" s="6"/>
    </row>
    <row r="513" ht="13.5" customHeight="1">
      <c r="P513" s="6"/>
      <c r="AD513" s="6"/>
      <c r="AR513" s="6"/>
      <c r="BF513" s="6"/>
      <c r="BT513" s="6"/>
      <c r="CH513" s="6"/>
    </row>
    <row r="514" ht="13.5" customHeight="1">
      <c r="P514" s="6"/>
      <c r="AD514" s="6"/>
      <c r="AR514" s="6"/>
      <c r="BF514" s="6"/>
      <c r="BT514" s="6"/>
      <c r="CH514" s="6"/>
    </row>
    <row r="515" ht="13.5" customHeight="1">
      <c r="P515" s="6"/>
      <c r="AD515" s="6"/>
      <c r="AR515" s="6"/>
      <c r="BF515" s="6"/>
      <c r="BT515" s="6"/>
      <c r="CH515" s="6"/>
    </row>
    <row r="516" ht="13.5" customHeight="1">
      <c r="P516" s="6"/>
      <c r="AD516" s="6"/>
      <c r="AR516" s="6"/>
      <c r="BF516" s="6"/>
      <c r="BT516" s="6"/>
      <c r="CH516" s="6"/>
    </row>
    <row r="517" ht="13.5" customHeight="1">
      <c r="P517" s="6"/>
      <c r="AD517" s="6"/>
      <c r="AR517" s="6"/>
      <c r="BF517" s="6"/>
      <c r="BT517" s="6"/>
      <c r="CH517" s="6"/>
    </row>
    <row r="518" ht="13.5" customHeight="1">
      <c r="P518" s="6"/>
      <c r="AD518" s="6"/>
      <c r="AR518" s="6"/>
      <c r="BF518" s="6"/>
      <c r="BT518" s="6"/>
      <c r="CH518" s="6"/>
    </row>
    <row r="519" ht="13.5" customHeight="1">
      <c r="P519" s="6"/>
      <c r="AD519" s="6"/>
      <c r="AR519" s="6"/>
      <c r="BF519" s="6"/>
      <c r="BT519" s="6"/>
      <c r="CH519" s="6"/>
    </row>
    <row r="520" ht="13.5" customHeight="1">
      <c r="P520" s="6"/>
      <c r="AD520" s="6"/>
      <c r="AR520" s="6"/>
      <c r="BF520" s="6"/>
      <c r="BT520" s="6"/>
      <c r="CH520" s="6"/>
    </row>
    <row r="521" ht="13.5" customHeight="1">
      <c r="P521" s="6"/>
      <c r="AD521" s="6"/>
      <c r="AR521" s="6"/>
      <c r="BF521" s="6"/>
      <c r="BT521" s="6"/>
      <c r="CH521" s="6"/>
    </row>
    <row r="522" ht="13.5" customHeight="1">
      <c r="P522" s="6"/>
      <c r="AD522" s="6"/>
      <c r="AR522" s="6"/>
      <c r="BF522" s="6"/>
      <c r="BT522" s="6"/>
      <c r="CH522" s="6"/>
    </row>
    <row r="523" ht="13.5" customHeight="1">
      <c r="P523" s="6"/>
      <c r="AD523" s="6"/>
      <c r="AR523" s="6"/>
      <c r="BF523" s="6"/>
      <c r="BT523" s="6"/>
      <c r="CH523" s="6"/>
    </row>
    <row r="524" ht="13.5" customHeight="1">
      <c r="P524" s="6"/>
      <c r="AD524" s="6"/>
      <c r="AR524" s="6"/>
      <c r="BF524" s="6"/>
      <c r="BT524" s="6"/>
      <c r="CH524" s="6"/>
    </row>
    <row r="525" ht="13.5" customHeight="1">
      <c r="P525" s="6"/>
      <c r="AD525" s="6"/>
      <c r="AR525" s="6"/>
      <c r="BF525" s="6"/>
      <c r="BT525" s="6"/>
      <c r="CH525" s="6"/>
    </row>
    <row r="526" ht="13.5" customHeight="1">
      <c r="P526" s="6"/>
      <c r="AD526" s="6"/>
      <c r="AR526" s="6"/>
      <c r="BF526" s="6"/>
      <c r="BT526" s="6"/>
      <c r="CH526" s="6"/>
    </row>
    <row r="527" ht="13.5" customHeight="1">
      <c r="P527" s="6"/>
      <c r="AD527" s="6"/>
      <c r="AR527" s="6"/>
      <c r="BF527" s="6"/>
      <c r="BT527" s="6"/>
      <c r="CH527" s="6"/>
    </row>
    <row r="528" ht="13.5" customHeight="1">
      <c r="P528" s="6"/>
      <c r="AD528" s="6"/>
      <c r="AR528" s="6"/>
      <c r="BF528" s="6"/>
      <c r="BT528" s="6"/>
      <c r="CH528" s="6"/>
    </row>
    <row r="529" ht="13.5" customHeight="1">
      <c r="P529" s="6"/>
      <c r="AD529" s="6"/>
      <c r="AR529" s="6"/>
      <c r="BF529" s="6"/>
      <c r="BT529" s="6"/>
      <c r="CH529" s="6"/>
    </row>
    <row r="530" ht="13.5" customHeight="1">
      <c r="P530" s="6"/>
      <c r="AD530" s="6"/>
      <c r="AR530" s="6"/>
      <c r="BF530" s="6"/>
      <c r="BT530" s="6"/>
      <c r="CH530" s="6"/>
    </row>
    <row r="531" ht="13.5" customHeight="1">
      <c r="P531" s="6"/>
      <c r="AD531" s="6"/>
      <c r="AR531" s="6"/>
      <c r="BF531" s="6"/>
      <c r="BT531" s="6"/>
      <c r="CH531" s="6"/>
    </row>
    <row r="532" ht="13.5" customHeight="1">
      <c r="P532" s="6"/>
      <c r="AD532" s="6"/>
      <c r="AR532" s="6"/>
      <c r="BF532" s="6"/>
      <c r="BT532" s="6"/>
      <c r="CH532" s="6"/>
    </row>
    <row r="533" ht="13.5" customHeight="1">
      <c r="P533" s="6"/>
      <c r="AD533" s="6"/>
      <c r="AR533" s="6"/>
      <c r="BF533" s="6"/>
      <c r="BT533" s="6"/>
      <c r="CH533" s="6"/>
    </row>
    <row r="534" ht="13.5" customHeight="1">
      <c r="P534" s="6"/>
      <c r="AD534" s="6"/>
      <c r="AR534" s="6"/>
      <c r="BF534" s="6"/>
      <c r="BT534" s="6"/>
      <c r="CH534" s="6"/>
    </row>
    <row r="535" ht="13.5" customHeight="1">
      <c r="P535" s="6"/>
      <c r="AD535" s="6"/>
      <c r="AR535" s="6"/>
      <c r="BF535" s="6"/>
      <c r="BT535" s="6"/>
      <c r="CH535" s="6"/>
    </row>
    <row r="536" ht="13.5" customHeight="1">
      <c r="P536" s="6"/>
      <c r="AD536" s="6"/>
      <c r="AR536" s="6"/>
      <c r="BF536" s="6"/>
      <c r="BT536" s="6"/>
      <c r="CH536" s="6"/>
    </row>
    <row r="537" ht="13.5" customHeight="1">
      <c r="P537" s="6"/>
      <c r="AD537" s="6"/>
      <c r="AR537" s="6"/>
      <c r="BF537" s="6"/>
      <c r="BT537" s="6"/>
      <c r="CH537" s="6"/>
    </row>
    <row r="538" ht="13.5" customHeight="1">
      <c r="P538" s="6"/>
      <c r="AD538" s="6"/>
      <c r="AR538" s="6"/>
      <c r="BF538" s="6"/>
      <c r="BT538" s="6"/>
      <c r="CH538" s="6"/>
    </row>
    <row r="539" ht="13.5" customHeight="1">
      <c r="P539" s="6"/>
      <c r="AD539" s="6"/>
      <c r="AR539" s="6"/>
      <c r="BF539" s="6"/>
      <c r="BT539" s="6"/>
      <c r="CH539" s="6"/>
    </row>
    <row r="540" ht="13.5" customHeight="1">
      <c r="P540" s="6"/>
      <c r="AD540" s="6"/>
      <c r="AR540" s="6"/>
      <c r="BF540" s="6"/>
      <c r="BT540" s="6"/>
      <c r="CH540" s="6"/>
    </row>
    <row r="541" ht="13.5" customHeight="1">
      <c r="P541" s="6"/>
      <c r="AD541" s="6"/>
      <c r="AR541" s="6"/>
      <c r="BF541" s="6"/>
      <c r="BT541" s="6"/>
      <c r="CH541" s="6"/>
    </row>
    <row r="542" ht="13.5" customHeight="1">
      <c r="P542" s="6"/>
      <c r="AD542" s="6"/>
      <c r="AR542" s="6"/>
      <c r="BF542" s="6"/>
      <c r="BT542" s="6"/>
      <c r="CH542" s="6"/>
    </row>
    <row r="543" ht="13.5" customHeight="1">
      <c r="P543" s="6"/>
      <c r="AD543" s="6"/>
      <c r="AR543" s="6"/>
      <c r="BF543" s="6"/>
      <c r="BT543" s="6"/>
      <c r="CH543" s="6"/>
    </row>
    <row r="544" ht="13.5" customHeight="1">
      <c r="P544" s="6"/>
      <c r="AD544" s="6"/>
      <c r="AR544" s="6"/>
      <c r="BF544" s="6"/>
      <c r="BT544" s="6"/>
      <c r="CH544" s="6"/>
    </row>
    <row r="545" ht="13.5" customHeight="1">
      <c r="P545" s="6"/>
      <c r="AD545" s="6"/>
      <c r="AR545" s="6"/>
      <c r="BF545" s="6"/>
      <c r="BT545" s="6"/>
      <c r="CH545" s="6"/>
    </row>
    <row r="546" ht="13.5" customHeight="1">
      <c r="P546" s="6"/>
      <c r="AD546" s="6"/>
      <c r="AR546" s="6"/>
      <c r="BF546" s="6"/>
      <c r="BT546" s="6"/>
      <c r="CH546" s="6"/>
    </row>
    <row r="547" ht="13.5" customHeight="1">
      <c r="P547" s="6"/>
      <c r="AD547" s="6"/>
      <c r="AR547" s="6"/>
      <c r="BF547" s="6"/>
      <c r="BT547" s="6"/>
      <c r="CH547" s="6"/>
    </row>
    <row r="548" ht="13.5" customHeight="1">
      <c r="P548" s="6"/>
      <c r="AD548" s="6"/>
      <c r="AR548" s="6"/>
      <c r="BF548" s="6"/>
      <c r="BT548" s="6"/>
      <c r="CH548" s="6"/>
    </row>
    <row r="549" ht="13.5" customHeight="1">
      <c r="P549" s="6"/>
      <c r="AD549" s="6"/>
      <c r="AR549" s="6"/>
      <c r="BF549" s="6"/>
      <c r="BT549" s="6"/>
      <c r="CH549" s="6"/>
    </row>
    <row r="550" ht="13.5" customHeight="1">
      <c r="P550" s="6"/>
      <c r="AD550" s="6"/>
      <c r="AR550" s="6"/>
      <c r="BF550" s="6"/>
      <c r="BT550" s="6"/>
      <c r="CH550" s="6"/>
    </row>
    <row r="551" ht="13.5" customHeight="1">
      <c r="P551" s="6"/>
      <c r="AD551" s="6"/>
      <c r="AR551" s="6"/>
      <c r="BF551" s="6"/>
      <c r="BT551" s="6"/>
      <c r="CH551" s="6"/>
    </row>
    <row r="552" ht="13.5" customHeight="1">
      <c r="P552" s="6"/>
      <c r="AD552" s="6"/>
      <c r="AR552" s="6"/>
      <c r="BF552" s="6"/>
      <c r="BT552" s="6"/>
      <c r="CH552" s="6"/>
    </row>
    <row r="553" ht="13.5" customHeight="1">
      <c r="P553" s="6"/>
      <c r="AD553" s="6"/>
      <c r="AR553" s="6"/>
      <c r="BF553" s="6"/>
      <c r="BT553" s="6"/>
      <c r="CH553" s="6"/>
    </row>
    <row r="554" ht="13.5" customHeight="1">
      <c r="P554" s="6"/>
      <c r="AD554" s="6"/>
      <c r="AR554" s="6"/>
      <c r="BF554" s="6"/>
      <c r="BT554" s="6"/>
      <c r="CH554" s="6"/>
    </row>
    <row r="555" ht="13.5" customHeight="1">
      <c r="P555" s="6"/>
      <c r="AD555" s="6"/>
      <c r="AR555" s="6"/>
      <c r="BF555" s="6"/>
      <c r="BT555" s="6"/>
      <c r="CH555" s="6"/>
    </row>
    <row r="556" ht="13.5" customHeight="1">
      <c r="P556" s="6"/>
      <c r="AD556" s="6"/>
      <c r="AR556" s="6"/>
      <c r="BF556" s="6"/>
      <c r="BT556" s="6"/>
      <c r="CH556" s="6"/>
    </row>
    <row r="557" ht="13.5" customHeight="1">
      <c r="P557" s="6"/>
      <c r="AD557" s="6"/>
      <c r="AR557" s="6"/>
      <c r="BF557" s="6"/>
      <c r="BT557" s="6"/>
      <c r="CH557" s="6"/>
    </row>
    <row r="558" ht="13.5" customHeight="1">
      <c r="P558" s="6"/>
      <c r="AD558" s="6"/>
      <c r="AR558" s="6"/>
      <c r="BF558" s="6"/>
      <c r="BT558" s="6"/>
      <c r="CH558" s="6"/>
    </row>
    <row r="559" ht="13.5" customHeight="1">
      <c r="P559" s="6"/>
      <c r="AD559" s="6"/>
      <c r="AR559" s="6"/>
      <c r="BF559" s="6"/>
      <c r="BT559" s="6"/>
      <c r="CH559" s="6"/>
    </row>
    <row r="560" ht="13.5" customHeight="1">
      <c r="P560" s="6"/>
      <c r="AD560" s="6"/>
      <c r="AR560" s="6"/>
      <c r="BF560" s="6"/>
      <c r="BT560" s="6"/>
      <c r="CH560" s="6"/>
    </row>
    <row r="561" ht="13.5" customHeight="1">
      <c r="P561" s="6"/>
      <c r="AD561" s="6"/>
      <c r="AR561" s="6"/>
      <c r="BF561" s="6"/>
      <c r="BT561" s="6"/>
      <c r="CH561" s="6"/>
    </row>
    <row r="562" ht="13.5" customHeight="1">
      <c r="P562" s="6"/>
      <c r="AD562" s="6"/>
      <c r="AR562" s="6"/>
      <c r="BF562" s="6"/>
      <c r="BT562" s="6"/>
      <c r="CH562" s="6"/>
    </row>
    <row r="563" ht="13.5" customHeight="1">
      <c r="P563" s="6"/>
      <c r="AD563" s="6"/>
      <c r="AR563" s="6"/>
      <c r="BF563" s="6"/>
      <c r="BT563" s="6"/>
      <c r="CH563" s="6"/>
    </row>
    <row r="564" ht="13.5" customHeight="1">
      <c r="P564" s="6"/>
      <c r="AD564" s="6"/>
      <c r="AR564" s="6"/>
      <c r="BF564" s="6"/>
      <c r="BT564" s="6"/>
      <c r="CH564" s="6"/>
    </row>
    <row r="565" ht="13.5" customHeight="1">
      <c r="P565" s="6"/>
      <c r="AD565" s="6"/>
      <c r="AR565" s="6"/>
      <c r="BF565" s="6"/>
      <c r="BT565" s="6"/>
      <c r="CH565" s="6"/>
    </row>
    <row r="566" ht="13.5" customHeight="1">
      <c r="P566" s="6"/>
      <c r="AD566" s="6"/>
      <c r="AR566" s="6"/>
      <c r="BF566" s="6"/>
      <c r="BT566" s="6"/>
      <c r="CH566" s="6"/>
    </row>
    <row r="567" ht="13.5" customHeight="1">
      <c r="P567" s="6"/>
      <c r="AD567" s="6"/>
      <c r="AR567" s="6"/>
      <c r="BF567" s="6"/>
      <c r="BT567" s="6"/>
      <c r="CH567" s="6"/>
    </row>
    <row r="568" ht="13.5" customHeight="1">
      <c r="P568" s="6"/>
      <c r="AD568" s="6"/>
      <c r="AR568" s="6"/>
      <c r="BF568" s="6"/>
      <c r="BT568" s="6"/>
      <c r="CH568" s="6"/>
    </row>
    <row r="569" ht="13.5" customHeight="1">
      <c r="P569" s="6"/>
      <c r="AD569" s="6"/>
      <c r="AR569" s="6"/>
      <c r="BF569" s="6"/>
      <c r="BT569" s="6"/>
      <c r="CH569" s="6"/>
    </row>
    <row r="570" ht="13.5" customHeight="1">
      <c r="P570" s="6"/>
      <c r="AD570" s="6"/>
      <c r="AR570" s="6"/>
      <c r="BF570" s="6"/>
      <c r="BT570" s="6"/>
      <c r="CH570" s="6"/>
    </row>
    <row r="571" ht="13.5" customHeight="1">
      <c r="P571" s="6"/>
      <c r="AD571" s="6"/>
      <c r="AR571" s="6"/>
      <c r="BF571" s="6"/>
      <c r="BT571" s="6"/>
      <c r="CH571" s="6"/>
    </row>
    <row r="572" ht="13.5" customHeight="1">
      <c r="P572" s="6"/>
      <c r="AD572" s="6"/>
      <c r="AR572" s="6"/>
      <c r="BF572" s="6"/>
      <c r="BT572" s="6"/>
      <c r="CH572" s="6"/>
    </row>
    <row r="573" ht="13.5" customHeight="1">
      <c r="P573" s="6"/>
      <c r="AD573" s="6"/>
      <c r="AR573" s="6"/>
      <c r="BF573" s="6"/>
      <c r="BT573" s="6"/>
      <c r="CH573" s="6"/>
    </row>
    <row r="574" ht="13.5" customHeight="1">
      <c r="P574" s="6"/>
      <c r="AD574" s="6"/>
      <c r="AR574" s="6"/>
      <c r="BF574" s="6"/>
      <c r="BT574" s="6"/>
      <c r="CH574" s="6"/>
    </row>
    <row r="575" ht="13.5" customHeight="1">
      <c r="P575" s="6"/>
      <c r="AD575" s="6"/>
      <c r="AR575" s="6"/>
      <c r="BF575" s="6"/>
      <c r="BT575" s="6"/>
      <c r="CH575" s="6"/>
    </row>
    <row r="576" ht="13.5" customHeight="1">
      <c r="P576" s="6"/>
      <c r="AD576" s="6"/>
      <c r="AR576" s="6"/>
      <c r="BF576" s="6"/>
      <c r="BT576" s="6"/>
      <c r="CH576" s="6"/>
    </row>
    <row r="577" ht="13.5" customHeight="1">
      <c r="P577" s="6"/>
      <c r="AD577" s="6"/>
      <c r="AR577" s="6"/>
      <c r="BF577" s="6"/>
      <c r="BT577" s="6"/>
      <c r="CH577" s="6"/>
    </row>
    <row r="578" ht="13.5" customHeight="1">
      <c r="P578" s="6"/>
      <c r="AD578" s="6"/>
      <c r="AR578" s="6"/>
      <c r="BF578" s="6"/>
      <c r="BT578" s="6"/>
      <c r="CH578" s="6"/>
    </row>
    <row r="579" ht="13.5" customHeight="1">
      <c r="P579" s="6"/>
      <c r="AD579" s="6"/>
      <c r="AR579" s="6"/>
      <c r="BF579" s="6"/>
      <c r="BT579" s="6"/>
      <c r="CH579" s="6"/>
    </row>
    <row r="580" ht="13.5" customHeight="1">
      <c r="P580" s="6"/>
      <c r="AD580" s="6"/>
      <c r="AR580" s="6"/>
      <c r="BF580" s="6"/>
      <c r="BT580" s="6"/>
      <c r="CH580" s="6"/>
    </row>
    <row r="581" ht="13.5" customHeight="1">
      <c r="P581" s="6"/>
      <c r="AD581" s="6"/>
      <c r="AR581" s="6"/>
      <c r="BF581" s="6"/>
      <c r="BT581" s="6"/>
      <c r="CH581" s="6"/>
    </row>
    <row r="582" ht="13.5" customHeight="1">
      <c r="P582" s="6"/>
      <c r="AD582" s="6"/>
      <c r="AR582" s="6"/>
      <c r="BF582" s="6"/>
      <c r="BT582" s="6"/>
      <c r="CH582" s="6"/>
    </row>
    <row r="583" ht="13.5" customHeight="1">
      <c r="P583" s="6"/>
      <c r="AD583" s="6"/>
      <c r="AR583" s="6"/>
      <c r="BF583" s="6"/>
      <c r="BT583" s="6"/>
      <c r="CH583" s="6"/>
    </row>
    <row r="584" ht="13.5" customHeight="1">
      <c r="P584" s="6"/>
      <c r="AD584" s="6"/>
      <c r="AR584" s="6"/>
      <c r="BF584" s="6"/>
      <c r="BT584" s="6"/>
      <c r="CH584" s="6"/>
    </row>
    <row r="585" ht="13.5" customHeight="1">
      <c r="P585" s="6"/>
      <c r="AD585" s="6"/>
      <c r="AR585" s="6"/>
      <c r="BF585" s="6"/>
      <c r="BT585" s="6"/>
      <c r="CH585" s="6"/>
    </row>
    <row r="586" ht="13.5" customHeight="1">
      <c r="P586" s="6"/>
      <c r="AD586" s="6"/>
      <c r="AR586" s="6"/>
      <c r="BF586" s="6"/>
      <c r="BT586" s="6"/>
      <c r="CH586" s="6"/>
    </row>
    <row r="587" ht="13.5" customHeight="1">
      <c r="P587" s="6"/>
      <c r="AD587" s="6"/>
      <c r="AR587" s="6"/>
      <c r="BF587" s="6"/>
      <c r="BT587" s="6"/>
      <c r="CH587" s="6"/>
    </row>
    <row r="588" ht="13.5" customHeight="1">
      <c r="P588" s="6"/>
      <c r="AD588" s="6"/>
      <c r="AR588" s="6"/>
      <c r="BF588" s="6"/>
      <c r="BT588" s="6"/>
      <c r="CH588" s="6"/>
    </row>
    <row r="589" ht="13.5" customHeight="1">
      <c r="P589" s="6"/>
      <c r="AD589" s="6"/>
      <c r="AR589" s="6"/>
      <c r="BF589" s="6"/>
      <c r="BT589" s="6"/>
      <c r="CH589" s="6"/>
    </row>
    <row r="590" ht="13.5" customHeight="1">
      <c r="P590" s="6"/>
      <c r="AD590" s="6"/>
      <c r="AR590" s="6"/>
      <c r="BF590" s="6"/>
      <c r="BT590" s="6"/>
      <c r="CH590" s="6"/>
    </row>
    <row r="591" ht="13.5" customHeight="1">
      <c r="P591" s="6"/>
      <c r="AD591" s="6"/>
      <c r="AR591" s="6"/>
      <c r="BF591" s="6"/>
      <c r="BT591" s="6"/>
      <c r="CH591" s="6"/>
    </row>
    <row r="592" ht="13.5" customHeight="1">
      <c r="P592" s="6"/>
      <c r="AD592" s="6"/>
      <c r="AR592" s="6"/>
      <c r="BF592" s="6"/>
      <c r="BT592" s="6"/>
      <c r="CH592" s="6"/>
    </row>
    <row r="593" ht="13.5" customHeight="1">
      <c r="P593" s="6"/>
      <c r="AD593" s="6"/>
      <c r="AR593" s="6"/>
      <c r="BF593" s="6"/>
      <c r="BT593" s="6"/>
      <c r="CH593" s="6"/>
    </row>
    <row r="594" ht="13.5" customHeight="1">
      <c r="P594" s="6"/>
      <c r="AD594" s="6"/>
      <c r="AR594" s="6"/>
      <c r="BF594" s="6"/>
      <c r="BT594" s="6"/>
      <c r="CH594" s="6"/>
    </row>
    <row r="595" ht="13.5" customHeight="1">
      <c r="P595" s="6"/>
      <c r="AD595" s="6"/>
      <c r="AR595" s="6"/>
      <c r="BF595" s="6"/>
      <c r="BT595" s="6"/>
      <c r="CH595" s="6"/>
    </row>
    <row r="596" ht="13.5" customHeight="1">
      <c r="P596" s="6"/>
      <c r="AD596" s="6"/>
      <c r="AR596" s="6"/>
      <c r="BF596" s="6"/>
      <c r="BT596" s="6"/>
      <c r="CH596" s="6"/>
    </row>
    <row r="597" ht="13.5" customHeight="1">
      <c r="P597" s="6"/>
      <c r="AD597" s="6"/>
      <c r="AR597" s="6"/>
      <c r="BF597" s="6"/>
      <c r="BT597" s="6"/>
      <c r="CH597" s="6"/>
    </row>
    <row r="598" ht="13.5" customHeight="1">
      <c r="P598" s="6"/>
      <c r="AD598" s="6"/>
      <c r="AR598" s="6"/>
      <c r="BF598" s="6"/>
      <c r="BT598" s="6"/>
      <c r="CH598" s="6"/>
    </row>
    <row r="599" ht="13.5" customHeight="1">
      <c r="P599" s="6"/>
      <c r="AD599" s="6"/>
      <c r="AR599" s="6"/>
      <c r="BF599" s="6"/>
      <c r="BT599" s="6"/>
      <c r="CH599" s="6"/>
    </row>
    <row r="600" ht="13.5" customHeight="1">
      <c r="P600" s="6"/>
      <c r="AD600" s="6"/>
      <c r="AR600" s="6"/>
      <c r="BF600" s="6"/>
      <c r="BT600" s="6"/>
      <c r="CH600" s="6"/>
    </row>
    <row r="601" ht="13.5" customHeight="1">
      <c r="P601" s="6"/>
      <c r="AD601" s="6"/>
      <c r="AR601" s="6"/>
      <c r="BF601" s="6"/>
      <c r="BT601" s="6"/>
      <c r="CH601" s="6"/>
    </row>
    <row r="602" ht="13.5" customHeight="1">
      <c r="P602" s="6"/>
      <c r="AD602" s="6"/>
      <c r="AR602" s="6"/>
      <c r="BF602" s="6"/>
      <c r="BT602" s="6"/>
      <c r="CH602" s="6"/>
    </row>
    <row r="603" ht="13.5" customHeight="1">
      <c r="P603" s="6"/>
      <c r="AD603" s="6"/>
      <c r="AR603" s="6"/>
      <c r="BF603" s="6"/>
      <c r="BT603" s="6"/>
      <c r="CH603" s="6"/>
    </row>
    <row r="604" ht="13.5" customHeight="1">
      <c r="P604" s="6"/>
      <c r="AD604" s="6"/>
      <c r="AR604" s="6"/>
      <c r="BF604" s="6"/>
      <c r="BT604" s="6"/>
      <c r="CH604" s="6"/>
    </row>
    <row r="605" ht="13.5" customHeight="1">
      <c r="P605" s="6"/>
      <c r="AD605" s="6"/>
      <c r="AR605" s="6"/>
      <c r="BF605" s="6"/>
      <c r="BT605" s="6"/>
      <c r="CH605" s="6"/>
    </row>
    <row r="606" ht="13.5" customHeight="1">
      <c r="P606" s="6"/>
      <c r="AD606" s="6"/>
      <c r="AR606" s="6"/>
      <c r="BF606" s="6"/>
      <c r="BT606" s="6"/>
      <c r="CH606" s="6"/>
    </row>
    <row r="607" ht="13.5" customHeight="1">
      <c r="P607" s="6"/>
      <c r="AD607" s="6"/>
      <c r="AR607" s="6"/>
      <c r="BF607" s="6"/>
      <c r="BT607" s="6"/>
      <c r="CH607" s="6"/>
    </row>
    <row r="608" ht="13.5" customHeight="1">
      <c r="P608" s="6"/>
      <c r="AD608" s="6"/>
      <c r="AR608" s="6"/>
      <c r="BF608" s="6"/>
      <c r="BT608" s="6"/>
      <c r="CH608" s="6"/>
    </row>
    <row r="609" ht="13.5" customHeight="1">
      <c r="P609" s="6"/>
      <c r="AD609" s="6"/>
      <c r="AR609" s="6"/>
      <c r="BF609" s="6"/>
      <c r="BT609" s="6"/>
      <c r="CH609" s="6"/>
    </row>
    <row r="610" ht="13.5" customHeight="1">
      <c r="P610" s="6"/>
      <c r="AD610" s="6"/>
      <c r="AR610" s="6"/>
      <c r="BF610" s="6"/>
      <c r="BT610" s="6"/>
      <c r="CH610" s="6"/>
    </row>
    <row r="611" ht="13.5" customHeight="1">
      <c r="P611" s="6"/>
      <c r="AD611" s="6"/>
      <c r="AR611" s="6"/>
      <c r="BF611" s="6"/>
      <c r="BT611" s="6"/>
      <c r="CH611" s="6"/>
    </row>
    <row r="612" ht="13.5" customHeight="1">
      <c r="P612" s="6"/>
      <c r="AD612" s="6"/>
      <c r="AR612" s="6"/>
      <c r="BF612" s="6"/>
      <c r="BT612" s="6"/>
      <c r="CH612" s="6"/>
    </row>
    <row r="613" ht="13.5" customHeight="1">
      <c r="P613" s="6"/>
      <c r="AD613" s="6"/>
      <c r="AR613" s="6"/>
      <c r="BF613" s="6"/>
      <c r="BT613" s="6"/>
      <c r="CH613" s="6"/>
    </row>
    <row r="614" ht="13.5" customHeight="1">
      <c r="P614" s="6"/>
      <c r="AD614" s="6"/>
      <c r="AR614" s="6"/>
      <c r="BF614" s="6"/>
      <c r="BT614" s="6"/>
      <c r="CH614" s="6"/>
    </row>
    <row r="615" ht="13.5" customHeight="1">
      <c r="P615" s="6"/>
      <c r="AD615" s="6"/>
      <c r="AR615" s="6"/>
      <c r="BF615" s="6"/>
      <c r="BT615" s="6"/>
      <c r="CH615" s="6"/>
    </row>
    <row r="616" ht="13.5" customHeight="1">
      <c r="P616" s="6"/>
      <c r="AD616" s="6"/>
      <c r="AR616" s="6"/>
      <c r="BF616" s="6"/>
      <c r="BT616" s="6"/>
      <c r="CH616" s="6"/>
    </row>
    <row r="617" ht="13.5" customHeight="1">
      <c r="P617" s="6"/>
      <c r="AD617" s="6"/>
      <c r="AR617" s="6"/>
      <c r="BF617" s="6"/>
      <c r="BT617" s="6"/>
      <c r="CH617" s="6"/>
    </row>
    <row r="618" ht="13.5" customHeight="1">
      <c r="P618" s="6"/>
      <c r="AD618" s="6"/>
      <c r="AR618" s="6"/>
      <c r="BF618" s="6"/>
      <c r="BT618" s="6"/>
      <c r="CH618" s="6"/>
    </row>
    <row r="619" ht="13.5" customHeight="1">
      <c r="P619" s="6"/>
      <c r="AD619" s="6"/>
      <c r="AR619" s="6"/>
      <c r="BF619" s="6"/>
      <c r="BT619" s="6"/>
      <c r="CH619" s="6"/>
    </row>
    <row r="620" ht="13.5" customHeight="1">
      <c r="P620" s="6"/>
      <c r="AD620" s="6"/>
      <c r="AR620" s="6"/>
      <c r="BF620" s="6"/>
      <c r="BT620" s="6"/>
      <c r="CH620" s="6"/>
    </row>
    <row r="621" ht="13.5" customHeight="1">
      <c r="P621" s="6"/>
      <c r="AD621" s="6"/>
      <c r="AR621" s="6"/>
      <c r="BF621" s="6"/>
      <c r="BT621" s="6"/>
      <c r="CH621" s="6"/>
    </row>
    <row r="622" ht="13.5" customHeight="1">
      <c r="P622" s="6"/>
      <c r="AD622" s="6"/>
      <c r="AR622" s="6"/>
      <c r="BF622" s="6"/>
      <c r="BT622" s="6"/>
      <c r="CH622" s="6"/>
    </row>
    <row r="623" ht="13.5" customHeight="1">
      <c r="P623" s="6"/>
      <c r="AD623" s="6"/>
      <c r="AR623" s="6"/>
      <c r="BF623" s="6"/>
      <c r="BT623" s="6"/>
      <c r="CH623" s="6"/>
    </row>
    <row r="624" ht="13.5" customHeight="1">
      <c r="P624" s="6"/>
      <c r="AD624" s="6"/>
      <c r="AR624" s="6"/>
      <c r="BF624" s="6"/>
      <c r="BT624" s="6"/>
      <c r="CH624" s="6"/>
    </row>
    <row r="625" ht="13.5" customHeight="1">
      <c r="P625" s="6"/>
      <c r="AD625" s="6"/>
      <c r="AR625" s="6"/>
      <c r="BF625" s="6"/>
      <c r="BT625" s="6"/>
      <c r="CH625" s="6"/>
    </row>
    <row r="626" ht="13.5" customHeight="1">
      <c r="P626" s="6"/>
      <c r="AD626" s="6"/>
      <c r="AR626" s="6"/>
      <c r="BF626" s="6"/>
      <c r="BT626" s="6"/>
      <c r="CH626" s="6"/>
    </row>
    <row r="627" ht="13.5" customHeight="1">
      <c r="P627" s="6"/>
      <c r="AD627" s="6"/>
      <c r="AR627" s="6"/>
      <c r="BF627" s="6"/>
      <c r="BT627" s="6"/>
      <c r="CH627" s="6"/>
    </row>
    <row r="628" ht="13.5" customHeight="1">
      <c r="P628" s="6"/>
      <c r="AD628" s="6"/>
      <c r="AR628" s="6"/>
      <c r="BF628" s="6"/>
      <c r="BT628" s="6"/>
      <c r="CH628" s="6"/>
    </row>
    <row r="629" ht="13.5" customHeight="1">
      <c r="P629" s="6"/>
      <c r="AD629" s="6"/>
      <c r="AR629" s="6"/>
      <c r="BF629" s="6"/>
      <c r="BT629" s="6"/>
      <c r="CH629" s="6"/>
    </row>
    <row r="630" ht="13.5" customHeight="1">
      <c r="P630" s="6"/>
      <c r="AD630" s="6"/>
      <c r="AR630" s="6"/>
      <c r="BF630" s="6"/>
      <c r="BT630" s="6"/>
      <c r="CH630" s="6"/>
    </row>
    <row r="631" ht="13.5" customHeight="1">
      <c r="P631" s="6"/>
      <c r="AD631" s="6"/>
      <c r="AR631" s="6"/>
      <c r="BF631" s="6"/>
      <c r="BT631" s="6"/>
      <c r="CH631" s="6"/>
    </row>
    <row r="632" ht="13.5" customHeight="1">
      <c r="P632" s="6"/>
      <c r="AD632" s="6"/>
      <c r="AR632" s="6"/>
      <c r="BF632" s="6"/>
      <c r="BT632" s="6"/>
      <c r="CH632" s="6"/>
    </row>
    <row r="633" ht="13.5" customHeight="1">
      <c r="P633" s="6"/>
      <c r="AD633" s="6"/>
      <c r="AR633" s="6"/>
      <c r="BF633" s="6"/>
      <c r="BT633" s="6"/>
      <c r="CH633" s="6"/>
    </row>
    <row r="634" ht="13.5" customHeight="1">
      <c r="P634" s="6"/>
      <c r="AD634" s="6"/>
      <c r="AR634" s="6"/>
      <c r="BF634" s="6"/>
      <c r="BT634" s="6"/>
      <c r="CH634" s="6"/>
    </row>
    <row r="635" ht="13.5" customHeight="1">
      <c r="P635" s="6"/>
      <c r="AD635" s="6"/>
      <c r="AR635" s="6"/>
      <c r="BF635" s="6"/>
      <c r="BT635" s="6"/>
      <c r="CH635" s="6"/>
    </row>
    <row r="636" ht="13.5" customHeight="1">
      <c r="P636" s="6"/>
      <c r="AD636" s="6"/>
      <c r="AR636" s="6"/>
      <c r="BF636" s="6"/>
      <c r="BT636" s="6"/>
      <c r="CH636" s="6"/>
    </row>
    <row r="637" ht="13.5" customHeight="1">
      <c r="P637" s="6"/>
      <c r="AD637" s="6"/>
      <c r="AR637" s="6"/>
      <c r="BF637" s="6"/>
      <c r="BT637" s="6"/>
      <c r="CH637" s="6"/>
    </row>
    <row r="638" ht="13.5" customHeight="1">
      <c r="P638" s="6"/>
      <c r="AD638" s="6"/>
      <c r="AR638" s="6"/>
      <c r="BF638" s="6"/>
      <c r="BT638" s="6"/>
      <c r="CH638" s="6"/>
    </row>
    <row r="639" ht="13.5" customHeight="1">
      <c r="P639" s="6"/>
      <c r="AD639" s="6"/>
      <c r="AR639" s="6"/>
      <c r="BF639" s="6"/>
      <c r="BT639" s="6"/>
      <c r="CH639" s="6"/>
    </row>
    <row r="640" ht="13.5" customHeight="1">
      <c r="P640" s="6"/>
      <c r="AD640" s="6"/>
      <c r="AR640" s="6"/>
      <c r="BF640" s="6"/>
      <c r="BT640" s="6"/>
      <c r="CH640" s="6"/>
    </row>
    <row r="641" ht="13.5" customHeight="1">
      <c r="P641" s="6"/>
      <c r="AD641" s="6"/>
      <c r="AR641" s="6"/>
      <c r="BF641" s="6"/>
      <c r="BT641" s="6"/>
      <c r="CH641" s="6"/>
    </row>
    <row r="642" ht="13.5" customHeight="1">
      <c r="P642" s="6"/>
      <c r="AD642" s="6"/>
      <c r="AR642" s="6"/>
      <c r="BF642" s="6"/>
      <c r="BT642" s="6"/>
      <c r="CH642" s="6"/>
    </row>
    <row r="643" ht="13.5" customHeight="1">
      <c r="P643" s="6"/>
      <c r="AD643" s="6"/>
      <c r="AR643" s="6"/>
      <c r="BF643" s="6"/>
      <c r="BT643" s="6"/>
      <c r="CH643" s="6"/>
    </row>
    <row r="644" ht="13.5" customHeight="1">
      <c r="P644" s="6"/>
      <c r="AD644" s="6"/>
      <c r="AR644" s="6"/>
      <c r="BF644" s="6"/>
      <c r="BT644" s="6"/>
      <c r="CH644" s="6"/>
    </row>
    <row r="645" ht="13.5" customHeight="1">
      <c r="P645" s="6"/>
      <c r="AD645" s="6"/>
      <c r="AR645" s="6"/>
      <c r="BF645" s="6"/>
      <c r="BT645" s="6"/>
      <c r="CH645" s="6"/>
    </row>
    <row r="646" ht="13.5" customHeight="1">
      <c r="P646" s="6"/>
      <c r="AD646" s="6"/>
      <c r="AR646" s="6"/>
      <c r="BF646" s="6"/>
      <c r="BT646" s="6"/>
      <c r="CH646" s="6"/>
    </row>
    <row r="647" ht="13.5" customHeight="1">
      <c r="P647" s="6"/>
      <c r="AD647" s="6"/>
      <c r="AR647" s="6"/>
      <c r="BF647" s="6"/>
      <c r="BT647" s="6"/>
      <c r="CH647" s="6"/>
    </row>
    <row r="648" ht="13.5" customHeight="1">
      <c r="P648" s="6"/>
      <c r="AD648" s="6"/>
      <c r="AR648" s="6"/>
      <c r="BF648" s="6"/>
      <c r="BT648" s="6"/>
      <c r="CH648" s="6"/>
    </row>
    <row r="649" ht="13.5" customHeight="1">
      <c r="P649" s="6"/>
      <c r="AD649" s="6"/>
      <c r="AR649" s="6"/>
      <c r="BF649" s="6"/>
      <c r="BT649" s="6"/>
      <c r="CH649" s="6"/>
    </row>
    <row r="650" ht="13.5" customHeight="1">
      <c r="P650" s="6"/>
      <c r="AD650" s="6"/>
      <c r="AR650" s="6"/>
      <c r="BF650" s="6"/>
      <c r="BT650" s="6"/>
      <c r="CH650" s="6"/>
    </row>
    <row r="651" ht="13.5" customHeight="1">
      <c r="P651" s="6"/>
      <c r="AD651" s="6"/>
      <c r="AR651" s="6"/>
      <c r="BF651" s="6"/>
      <c r="BT651" s="6"/>
      <c r="CH651" s="6"/>
    </row>
    <row r="652" ht="13.5" customHeight="1">
      <c r="P652" s="6"/>
      <c r="AD652" s="6"/>
      <c r="AR652" s="6"/>
      <c r="BF652" s="6"/>
      <c r="BT652" s="6"/>
      <c r="CH652" s="6"/>
    </row>
    <row r="653" ht="13.5" customHeight="1">
      <c r="P653" s="6"/>
      <c r="AD653" s="6"/>
      <c r="AR653" s="6"/>
      <c r="BF653" s="6"/>
      <c r="BT653" s="6"/>
      <c r="CH653" s="6"/>
    </row>
    <row r="654" ht="13.5" customHeight="1">
      <c r="P654" s="6"/>
      <c r="AD654" s="6"/>
      <c r="AR654" s="6"/>
      <c r="BF654" s="6"/>
      <c r="BT654" s="6"/>
      <c r="CH654" s="6"/>
    </row>
    <row r="655" ht="13.5" customHeight="1">
      <c r="P655" s="6"/>
      <c r="AD655" s="6"/>
      <c r="AR655" s="6"/>
      <c r="BF655" s="6"/>
      <c r="BT655" s="6"/>
      <c r="CH655" s="6"/>
    </row>
    <row r="656" ht="13.5" customHeight="1">
      <c r="P656" s="6"/>
      <c r="AD656" s="6"/>
      <c r="AR656" s="6"/>
      <c r="BF656" s="6"/>
      <c r="BT656" s="6"/>
      <c r="CH656" s="6"/>
    </row>
    <row r="657" ht="13.5" customHeight="1">
      <c r="P657" s="6"/>
      <c r="AD657" s="6"/>
      <c r="AR657" s="6"/>
      <c r="BF657" s="6"/>
      <c r="BT657" s="6"/>
      <c r="CH657" s="6"/>
    </row>
    <row r="658" ht="13.5" customHeight="1">
      <c r="P658" s="6"/>
      <c r="AD658" s="6"/>
      <c r="AR658" s="6"/>
      <c r="BF658" s="6"/>
      <c r="BT658" s="6"/>
      <c r="CH658" s="6"/>
    </row>
    <row r="659" ht="13.5" customHeight="1">
      <c r="P659" s="6"/>
      <c r="AD659" s="6"/>
      <c r="AR659" s="6"/>
      <c r="BF659" s="6"/>
      <c r="BT659" s="6"/>
      <c r="CH659" s="6"/>
    </row>
    <row r="660" ht="13.5" customHeight="1">
      <c r="P660" s="6"/>
      <c r="AD660" s="6"/>
      <c r="AR660" s="6"/>
      <c r="BF660" s="6"/>
      <c r="BT660" s="6"/>
      <c r="CH660" s="6"/>
    </row>
    <row r="661" ht="13.5" customHeight="1">
      <c r="P661" s="6"/>
      <c r="AD661" s="6"/>
      <c r="AR661" s="6"/>
      <c r="BF661" s="6"/>
      <c r="BT661" s="6"/>
      <c r="CH661" s="6"/>
    </row>
    <row r="662" ht="13.5" customHeight="1">
      <c r="P662" s="6"/>
      <c r="AD662" s="6"/>
      <c r="AR662" s="6"/>
      <c r="BF662" s="6"/>
      <c r="BT662" s="6"/>
      <c r="CH662" s="6"/>
    </row>
    <row r="663" ht="13.5" customHeight="1">
      <c r="P663" s="6"/>
      <c r="AD663" s="6"/>
      <c r="AR663" s="6"/>
      <c r="BF663" s="6"/>
      <c r="BT663" s="6"/>
      <c r="CH663" s="6"/>
    </row>
    <row r="664" ht="13.5" customHeight="1">
      <c r="P664" s="6"/>
      <c r="AD664" s="6"/>
      <c r="AR664" s="6"/>
      <c r="BF664" s="6"/>
      <c r="BT664" s="6"/>
      <c r="CH664" s="6"/>
    </row>
    <row r="665" ht="13.5" customHeight="1">
      <c r="P665" s="6"/>
      <c r="AD665" s="6"/>
      <c r="AR665" s="6"/>
      <c r="BF665" s="6"/>
      <c r="BT665" s="6"/>
      <c r="CH665" s="6"/>
    </row>
    <row r="666" ht="13.5" customHeight="1">
      <c r="P666" s="6"/>
      <c r="AD666" s="6"/>
      <c r="AR666" s="6"/>
      <c r="BF666" s="6"/>
      <c r="BT666" s="6"/>
      <c r="CH666" s="6"/>
    </row>
    <row r="667" ht="13.5" customHeight="1">
      <c r="P667" s="6"/>
      <c r="AD667" s="6"/>
      <c r="AR667" s="6"/>
      <c r="BF667" s="6"/>
      <c r="BT667" s="6"/>
      <c r="CH667" s="6"/>
    </row>
    <row r="668" ht="13.5" customHeight="1">
      <c r="P668" s="6"/>
      <c r="AD668" s="6"/>
      <c r="AR668" s="6"/>
      <c r="BF668" s="6"/>
      <c r="BT668" s="6"/>
      <c r="CH668" s="6"/>
    </row>
    <row r="669" ht="13.5" customHeight="1">
      <c r="P669" s="6"/>
      <c r="AD669" s="6"/>
      <c r="AR669" s="6"/>
      <c r="BF669" s="6"/>
      <c r="BT669" s="6"/>
      <c r="CH669" s="6"/>
    </row>
    <row r="670" ht="13.5" customHeight="1">
      <c r="P670" s="6"/>
      <c r="AD670" s="6"/>
      <c r="AR670" s="6"/>
      <c r="BF670" s="6"/>
      <c r="BT670" s="6"/>
      <c r="CH670" s="6"/>
    </row>
    <row r="671" ht="13.5" customHeight="1">
      <c r="P671" s="6"/>
      <c r="AD671" s="6"/>
      <c r="AR671" s="6"/>
      <c r="BF671" s="6"/>
      <c r="BT671" s="6"/>
      <c r="CH671" s="6"/>
    </row>
    <row r="672" ht="13.5" customHeight="1">
      <c r="P672" s="6"/>
      <c r="AD672" s="6"/>
      <c r="AR672" s="6"/>
      <c r="BF672" s="6"/>
      <c r="BT672" s="6"/>
      <c r="CH672" s="6"/>
    </row>
    <row r="673" ht="13.5" customHeight="1">
      <c r="P673" s="6"/>
      <c r="AD673" s="6"/>
      <c r="AR673" s="6"/>
      <c r="BF673" s="6"/>
      <c r="BT673" s="6"/>
      <c r="CH673" s="6"/>
    </row>
    <row r="674" ht="13.5" customHeight="1">
      <c r="P674" s="6"/>
      <c r="AD674" s="6"/>
      <c r="AR674" s="6"/>
      <c r="BF674" s="6"/>
      <c r="BT674" s="6"/>
      <c r="CH674" s="6"/>
    </row>
    <row r="675" ht="13.5" customHeight="1">
      <c r="P675" s="6"/>
      <c r="AD675" s="6"/>
      <c r="AR675" s="6"/>
      <c r="BF675" s="6"/>
      <c r="BT675" s="6"/>
      <c r="CH675" s="6"/>
    </row>
    <row r="676" ht="13.5" customHeight="1">
      <c r="P676" s="6"/>
      <c r="AD676" s="6"/>
      <c r="AR676" s="6"/>
      <c r="BF676" s="6"/>
      <c r="BT676" s="6"/>
      <c r="CH676" s="6"/>
    </row>
    <row r="677" ht="13.5" customHeight="1">
      <c r="P677" s="6"/>
      <c r="AD677" s="6"/>
      <c r="AR677" s="6"/>
      <c r="BF677" s="6"/>
      <c r="BT677" s="6"/>
      <c r="CH677" s="6"/>
    </row>
    <row r="678" ht="13.5" customHeight="1">
      <c r="P678" s="6"/>
      <c r="AD678" s="6"/>
      <c r="AR678" s="6"/>
      <c r="BF678" s="6"/>
      <c r="BT678" s="6"/>
      <c r="CH678" s="6"/>
    </row>
    <row r="679" ht="13.5" customHeight="1">
      <c r="P679" s="6"/>
      <c r="AD679" s="6"/>
      <c r="AR679" s="6"/>
      <c r="BF679" s="6"/>
      <c r="BT679" s="6"/>
      <c r="CH679" s="6"/>
    </row>
    <row r="680" ht="13.5" customHeight="1">
      <c r="P680" s="6"/>
      <c r="AD680" s="6"/>
      <c r="AR680" s="6"/>
      <c r="BF680" s="6"/>
      <c r="BT680" s="6"/>
      <c r="CH680" s="6"/>
    </row>
    <row r="681" ht="13.5" customHeight="1">
      <c r="P681" s="6"/>
      <c r="AD681" s="6"/>
      <c r="AR681" s="6"/>
      <c r="BF681" s="6"/>
      <c r="BT681" s="6"/>
      <c r="CH681" s="6"/>
    </row>
    <row r="682" ht="13.5" customHeight="1">
      <c r="P682" s="6"/>
      <c r="AD682" s="6"/>
      <c r="AR682" s="6"/>
      <c r="BF682" s="6"/>
      <c r="BT682" s="6"/>
      <c r="CH682" s="6"/>
    </row>
    <row r="683" ht="13.5" customHeight="1">
      <c r="P683" s="6"/>
      <c r="AD683" s="6"/>
      <c r="AR683" s="6"/>
      <c r="BF683" s="6"/>
      <c r="BT683" s="6"/>
      <c r="CH683" s="6"/>
    </row>
    <row r="684" ht="13.5" customHeight="1">
      <c r="P684" s="6"/>
      <c r="AD684" s="6"/>
      <c r="AR684" s="6"/>
      <c r="BF684" s="6"/>
      <c r="BT684" s="6"/>
      <c r="CH684" s="6"/>
    </row>
    <row r="685" ht="13.5" customHeight="1">
      <c r="P685" s="6"/>
      <c r="AD685" s="6"/>
      <c r="AR685" s="6"/>
      <c r="BF685" s="6"/>
      <c r="BT685" s="6"/>
      <c r="CH685" s="6"/>
    </row>
    <row r="686" ht="13.5" customHeight="1">
      <c r="P686" s="6"/>
      <c r="AD686" s="6"/>
      <c r="AR686" s="6"/>
      <c r="BF686" s="6"/>
      <c r="BT686" s="6"/>
      <c r="CH686" s="6"/>
    </row>
    <row r="687" ht="13.5" customHeight="1">
      <c r="P687" s="6"/>
      <c r="AD687" s="6"/>
      <c r="AR687" s="6"/>
      <c r="BF687" s="6"/>
      <c r="BT687" s="6"/>
      <c r="CH687" s="6"/>
    </row>
    <row r="688" ht="13.5" customHeight="1">
      <c r="P688" s="6"/>
      <c r="AD688" s="6"/>
      <c r="AR688" s="6"/>
      <c r="BF688" s="6"/>
      <c r="BT688" s="6"/>
      <c r="CH688" s="6"/>
    </row>
    <row r="689" ht="13.5" customHeight="1">
      <c r="P689" s="6"/>
      <c r="AD689" s="6"/>
      <c r="AR689" s="6"/>
      <c r="BF689" s="6"/>
      <c r="BT689" s="6"/>
      <c r="CH689" s="6"/>
    </row>
    <row r="690" ht="13.5" customHeight="1">
      <c r="P690" s="6"/>
      <c r="AD690" s="6"/>
      <c r="AR690" s="6"/>
      <c r="BF690" s="6"/>
      <c r="BT690" s="6"/>
      <c r="CH690" s="6"/>
    </row>
    <row r="691" ht="13.5" customHeight="1">
      <c r="P691" s="6"/>
      <c r="AD691" s="6"/>
      <c r="AR691" s="6"/>
      <c r="BF691" s="6"/>
      <c r="BT691" s="6"/>
      <c r="CH691" s="6"/>
    </row>
    <row r="692" ht="13.5" customHeight="1">
      <c r="P692" s="6"/>
      <c r="AD692" s="6"/>
      <c r="AR692" s="6"/>
      <c r="BF692" s="6"/>
      <c r="BT692" s="6"/>
      <c r="CH692" s="6"/>
    </row>
    <row r="693" ht="13.5" customHeight="1">
      <c r="P693" s="6"/>
      <c r="AD693" s="6"/>
      <c r="AR693" s="6"/>
      <c r="BF693" s="6"/>
      <c r="BT693" s="6"/>
      <c r="CH693" s="6"/>
    </row>
    <row r="694" ht="13.5" customHeight="1">
      <c r="P694" s="6"/>
      <c r="AD694" s="6"/>
      <c r="AR694" s="6"/>
      <c r="BF694" s="6"/>
      <c r="BT694" s="6"/>
      <c r="CH694" s="6"/>
    </row>
    <row r="695" ht="13.5" customHeight="1">
      <c r="P695" s="6"/>
      <c r="AD695" s="6"/>
      <c r="AR695" s="6"/>
      <c r="BF695" s="6"/>
      <c r="BT695" s="6"/>
      <c r="CH695" s="6"/>
    </row>
    <row r="696" ht="13.5" customHeight="1">
      <c r="P696" s="6"/>
      <c r="AD696" s="6"/>
      <c r="AR696" s="6"/>
      <c r="BF696" s="6"/>
      <c r="BT696" s="6"/>
      <c r="CH696" s="6"/>
    </row>
    <row r="697" ht="13.5" customHeight="1">
      <c r="P697" s="6"/>
      <c r="AD697" s="6"/>
      <c r="AR697" s="6"/>
      <c r="BF697" s="6"/>
      <c r="BT697" s="6"/>
      <c r="CH697" s="6"/>
    </row>
    <row r="698" ht="13.5" customHeight="1">
      <c r="P698" s="6"/>
      <c r="AD698" s="6"/>
      <c r="AR698" s="6"/>
      <c r="BF698" s="6"/>
      <c r="BT698" s="6"/>
      <c r="CH698" s="6"/>
    </row>
    <row r="699" ht="13.5" customHeight="1">
      <c r="P699" s="6"/>
      <c r="AD699" s="6"/>
      <c r="AR699" s="6"/>
      <c r="BF699" s="6"/>
      <c r="BT699" s="6"/>
      <c r="CH699" s="6"/>
    </row>
    <row r="700" ht="13.5" customHeight="1">
      <c r="P700" s="6"/>
      <c r="AD700" s="6"/>
      <c r="AR700" s="6"/>
      <c r="BF700" s="6"/>
      <c r="BT700" s="6"/>
      <c r="CH700" s="6"/>
    </row>
    <row r="701" ht="13.5" customHeight="1">
      <c r="P701" s="6"/>
      <c r="AD701" s="6"/>
      <c r="AR701" s="6"/>
      <c r="BF701" s="6"/>
      <c r="BT701" s="6"/>
      <c r="CH701" s="6"/>
    </row>
    <row r="702" ht="13.5" customHeight="1">
      <c r="P702" s="6"/>
      <c r="AD702" s="6"/>
      <c r="AR702" s="6"/>
      <c r="BF702" s="6"/>
      <c r="BT702" s="6"/>
      <c r="CH702" s="6"/>
    </row>
    <row r="703" ht="13.5" customHeight="1">
      <c r="P703" s="6"/>
      <c r="AD703" s="6"/>
      <c r="AR703" s="6"/>
      <c r="BF703" s="6"/>
      <c r="BT703" s="6"/>
      <c r="CH703" s="6"/>
    </row>
    <row r="704" ht="13.5" customHeight="1">
      <c r="P704" s="6"/>
      <c r="AD704" s="6"/>
      <c r="AR704" s="6"/>
      <c r="BF704" s="6"/>
      <c r="BT704" s="6"/>
      <c r="CH704" s="6"/>
    </row>
    <row r="705" ht="13.5" customHeight="1">
      <c r="P705" s="6"/>
      <c r="AD705" s="6"/>
      <c r="AR705" s="6"/>
      <c r="BF705" s="6"/>
      <c r="BT705" s="6"/>
      <c r="CH705" s="6"/>
    </row>
    <row r="706" ht="13.5" customHeight="1">
      <c r="P706" s="6"/>
      <c r="AD706" s="6"/>
      <c r="AR706" s="6"/>
      <c r="BF706" s="6"/>
      <c r="BT706" s="6"/>
      <c r="CH706" s="6"/>
    </row>
    <row r="707" ht="13.5" customHeight="1">
      <c r="P707" s="6"/>
      <c r="AD707" s="6"/>
      <c r="AR707" s="6"/>
      <c r="BF707" s="6"/>
      <c r="BT707" s="6"/>
      <c r="CH707" s="6"/>
    </row>
    <row r="708" ht="13.5" customHeight="1">
      <c r="P708" s="6"/>
      <c r="AD708" s="6"/>
      <c r="AR708" s="6"/>
      <c r="BF708" s="6"/>
      <c r="BT708" s="6"/>
      <c r="CH708" s="6"/>
    </row>
    <row r="709" ht="13.5" customHeight="1">
      <c r="P709" s="6"/>
      <c r="AD709" s="6"/>
      <c r="AR709" s="6"/>
      <c r="BF709" s="6"/>
      <c r="BT709" s="6"/>
      <c r="CH709" s="6"/>
    </row>
    <row r="710" ht="13.5" customHeight="1">
      <c r="P710" s="6"/>
      <c r="AD710" s="6"/>
      <c r="AR710" s="6"/>
      <c r="BF710" s="6"/>
      <c r="BT710" s="6"/>
      <c r="CH710" s="6"/>
    </row>
    <row r="711" ht="13.5" customHeight="1">
      <c r="P711" s="6"/>
      <c r="AD711" s="6"/>
      <c r="AR711" s="6"/>
      <c r="BF711" s="6"/>
      <c r="BT711" s="6"/>
      <c r="CH711" s="6"/>
    </row>
    <row r="712" ht="13.5" customHeight="1">
      <c r="P712" s="6"/>
      <c r="AD712" s="6"/>
      <c r="AR712" s="6"/>
      <c r="BF712" s="6"/>
      <c r="BT712" s="6"/>
      <c r="CH712" s="6"/>
    </row>
    <row r="713" ht="13.5" customHeight="1">
      <c r="P713" s="6"/>
      <c r="AD713" s="6"/>
      <c r="AR713" s="6"/>
      <c r="BF713" s="6"/>
      <c r="BT713" s="6"/>
      <c r="CH713" s="6"/>
    </row>
    <row r="714" ht="13.5" customHeight="1">
      <c r="P714" s="6"/>
      <c r="AD714" s="6"/>
      <c r="AR714" s="6"/>
      <c r="BF714" s="6"/>
      <c r="BT714" s="6"/>
      <c r="CH714" s="6"/>
    </row>
    <row r="715" ht="13.5" customHeight="1">
      <c r="P715" s="6"/>
      <c r="AD715" s="6"/>
      <c r="AR715" s="6"/>
      <c r="BF715" s="6"/>
      <c r="BT715" s="6"/>
      <c r="CH715" s="6"/>
    </row>
    <row r="716" ht="13.5" customHeight="1">
      <c r="P716" s="6"/>
      <c r="AD716" s="6"/>
      <c r="AR716" s="6"/>
      <c r="BF716" s="6"/>
      <c r="BT716" s="6"/>
      <c r="CH716" s="6"/>
    </row>
    <row r="717" ht="13.5" customHeight="1">
      <c r="P717" s="6"/>
      <c r="AD717" s="6"/>
      <c r="AR717" s="6"/>
      <c r="BF717" s="6"/>
      <c r="BT717" s="6"/>
      <c r="CH717" s="6"/>
    </row>
    <row r="718" ht="13.5" customHeight="1">
      <c r="P718" s="6"/>
      <c r="AD718" s="6"/>
      <c r="AR718" s="6"/>
      <c r="BF718" s="6"/>
      <c r="BT718" s="6"/>
      <c r="CH718" s="6"/>
    </row>
    <row r="719" ht="13.5" customHeight="1">
      <c r="P719" s="6"/>
      <c r="AD719" s="6"/>
      <c r="AR719" s="6"/>
      <c r="BF719" s="6"/>
      <c r="BT719" s="6"/>
      <c r="CH719" s="6"/>
    </row>
    <row r="720" ht="13.5" customHeight="1">
      <c r="P720" s="6"/>
      <c r="AD720" s="6"/>
      <c r="AR720" s="6"/>
      <c r="BF720" s="6"/>
      <c r="BT720" s="6"/>
      <c r="CH720" s="6"/>
    </row>
    <row r="721" ht="13.5" customHeight="1">
      <c r="P721" s="6"/>
      <c r="AD721" s="6"/>
      <c r="AR721" s="6"/>
      <c r="BF721" s="6"/>
      <c r="BT721" s="6"/>
      <c r="CH721" s="6"/>
    </row>
    <row r="722" ht="13.5" customHeight="1">
      <c r="P722" s="6"/>
      <c r="AD722" s="6"/>
      <c r="AR722" s="6"/>
      <c r="BF722" s="6"/>
      <c r="BT722" s="6"/>
      <c r="CH722" s="6"/>
    </row>
    <row r="723" ht="13.5" customHeight="1">
      <c r="P723" s="6"/>
      <c r="AD723" s="6"/>
      <c r="AR723" s="6"/>
      <c r="BF723" s="6"/>
      <c r="BT723" s="6"/>
      <c r="CH723" s="6"/>
    </row>
    <row r="724" ht="13.5" customHeight="1">
      <c r="P724" s="6"/>
      <c r="AD724" s="6"/>
      <c r="AR724" s="6"/>
      <c r="BF724" s="6"/>
      <c r="BT724" s="6"/>
      <c r="CH724" s="6"/>
    </row>
    <row r="725" ht="13.5" customHeight="1">
      <c r="P725" s="6"/>
      <c r="AD725" s="6"/>
      <c r="AR725" s="6"/>
      <c r="BF725" s="6"/>
      <c r="BT725" s="6"/>
      <c r="CH725" s="6"/>
    </row>
    <row r="726" ht="13.5" customHeight="1">
      <c r="P726" s="6"/>
      <c r="AD726" s="6"/>
      <c r="AR726" s="6"/>
      <c r="BF726" s="6"/>
      <c r="BT726" s="6"/>
      <c r="CH726" s="6"/>
    </row>
    <row r="727" ht="13.5" customHeight="1">
      <c r="P727" s="6"/>
      <c r="AD727" s="6"/>
      <c r="AR727" s="6"/>
      <c r="BF727" s="6"/>
      <c r="BT727" s="6"/>
      <c r="CH727" s="6"/>
    </row>
    <row r="728" ht="13.5" customHeight="1">
      <c r="P728" s="6"/>
      <c r="AD728" s="6"/>
      <c r="AR728" s="6"/>
      <c r="BF728" s="6"/>
      <c r="BT728" s="6"/>
      <c r="CH728" s="6"/>
    </row>
    <row r="729" ht="13.5" customHeight="1">
      <c r="P729" s="6"/>
      <c r="AD729" s="6"/>
      <c r="AR729" s="6"/>
      <c r="BF729" s="6"/>
      <c r="BT729" s="6"/>
      <c r="CH729" s="6"/>
    </row>
    <row r="730" ht="13.5" customHeight="1">
      <c r="P730" s="6"/>
      <c r="AD730" s="6"/>
      <c r="AR730" s="6"/>
      <c r="BF730" s="6"/>
      <c r="BT730" s="6"/>
      <c r="CH730" s="6"/>
    </row>
    <row r="731" ht="13.5" customHeight="1">
      <c r="P731" s="6"/>
      <c r="AD731" s="6"/>
      <c r="AR731" s="6"/>
      <c r="BF731" s="6"/>
      <c r="BT731" s="6"/>
      <c r="CH731" s="6"/>
    </row>
    <row r="732" ht="13.5" customHeight="1">
      <c r="P732" s="6"/>
      <c r="AD732" s="6"/>
      <c r="AR732" s="6"/>
      <c r="BF732" s="6"/>
      <c r="BT732" s="6"/>
      <c r="CH732" s="6"/>
    </row>
    <row r="733" ht="13.5" customHeight="1">
      <c r="P733" s="6"/>
      <c r="AD733" s="6"/>
      <c r="AR733" s="6"/>
      <c r="BF733" s="6"/>
      <c r="BT733" s="6"/>
      <c r="CH733" s="6"/>
    </row>
    <row r="734" ht="13.5" customHeight="1">
      <c r="P734" s="6"/>
      <c r="AD734" s="6"/>
      <c r="AR734" s="6"/>
      <c r="BF734" s="6"/>
      <c r="BT734" s="6"/>
      <c r="CH734" s="6"/>
    </row>
    <row r="735" ht="13.5" customHeight="1">
      <c r="P735" s="6"/>
      <c r="AD735" s="6"/>
      <c r="AR735" s="6"/>
      <c r="BF735" s="6"/>
      <c r="BT735" s="6"/>
      <c r="CH735" s="6"/>
    </row>
    <row r="736" ht="13.5" customHeight="1">
      <c r="P736" s="6"/>
      <c r="AD736" s="6"/>
      <c r="AR736" s="6"/>
      <c r="BF736" s="6"/>
      <c r="BT736" s="6"/>
      <c r="CH736" s="6"/>
    </row>
    <row r="737" ht="13.5" customHeight="1">
      <c r="P737" s="6"/>
      <c r="AD737" s="6"/>
      <c r="AR737" s="6"/>
      <c r="BF737" s="6"/>
      <c r="BT737" s="6"/>
      <c r="CH737" s="6"/>
    </row>
    <row r="738" ht="13.5" customHeight="1">
      <c r="P738" s="6"/>
      <c r="AD738" s="6"/>
      <c r="AR738" s="6"/>
      <c r="BF738" s="6"/>
      <c r="BT738" s="6"/>
      <c r="CH738" s="6"/>
    </row>
    <row r="739" ht="13.5" customHeight="1">
      <c r="P739" s="6"/>
      <c r="AD739" s="6"/>
      <c r="AR739" s="6"/>
      <c r="BF739" s="6"/>
      <c r="BT739" s="6"/>
      <c r="CH739" s="6"/>
    </row>
    <row r="740" ht="13.5" customHeight="1">
      <c r="P740" s="6"/>
      <c r="AD740" s="6"/>
      <c r="AR740" s="6"/>
      <c r="BF740" s="6"/>
      <c r="BT740" s="6"/>
      <c r="CH740" s="6"/>
    </row>
    <row r="741" ht="13.5" customHeight="1">
      <c r="P741" s="6"/>
      <c r="AD741" s="6"/>
      <c r="AR741" s="6"/>
      <c r="BF741" s="6"/>
      <c r="BT741" s="6"/>
      <c r="CH741" s="6"/>
    </row>
    <row r="742" ht="13.5" customHeight="1">
      <c r="P742" s="6"/>
      <c r="AD742" s="6"/>
      <c r="AR742" s="6"/>
      <c r="BF742" s="6"/>
      <c r="BT742" s="6"/>
      <c r="CH742" s="6"/>
    </row>
    <row r="743" ht="13.5" customHeight="1">
      <c r="P743" s="6"/>
      <c r="AD743" s="6"/>
      <c r="AR743" s="6"/>
      <c r="BF743" s="6"/>
      <c r="BT743" s="6"/>
      <c r="CH743" s="6"/>
    </row>
    <row r="744" ht="13.5" customHeight="1">
      <c r="P744" s="6"/>
      <c r="AD744" s="6"/>
      <c r="AR744" s="6"/>
      <c r="BF744" s="6"/>
      <c r="BT744" s="6"/>
      <c r="CH744" s="6"/>
    </row>
    <row r="745" ht="13.5" customHeight="1">
      <c r="P745" s="6"/>
      <c r="AD745" s="6"/>
      <c r="AR745" s="6"/>
      <c r="BF745" s="6"/>
      <c r="BT745" s="6"/>
      <c r="CH745" s="6"/>
    </row>
    <row r="746" ht="13.5" customHeight="1">
      <c r="P746" s="6"/>
      <c r="AD746" s="6"/>
      <c r="AR746" s="6"/>
      <c r="BF746" s="6"/>
      <c r="BT746" s="6"/>
      <c r="CH746" s="6"/>
    </row>
    <row r="747" ht="13.5" customHeight="1">
      <c r="P747" s="6"/>
      <c r="AD747" s="6"/>
      <c r="AR747" s="6"/>
      <c r="BF747" s="6"/>
      <c r="BT747" s="6"/>
      <c r="CH747" s="6"/>
    </row>
    <row r="748" ht="13.5" customHeight="1">
      <c r="P748" s="6"/>
      <c r="AD748" s="6"/>
      <c r="AR748" s="6"/>
      <c r="BF748" s="6"/>
      <c r="BT748" s="6"/>
      <c r="CH748" s="6"/>
    </row>
    <row r="749" ht="13.5" customHeight="1">
      <c r="P749" s="6"/>
      <c r="AD749" s="6"/>
      <c r="AR749" s="6"/>
      <c r="BF749" s="6"/>
      <c r="BT749" s="6"/>
      <c r="CH749" s="6"/>
    </row>
    <row r="750" ht="13.5" customHeight="1">
      <c r="P750" s="6"/>
      <c r="AD750" s="6"/>
      <c r="AR750" s="6"/>
      <c r="BF750" s="6"/>
      <c r="BT750" s="6"/>
      <c r="CH750" s="6"/>
    </row>
    <row r="751" ht="13.5" customHeight="1">
      <c r="P751" s="6"/>
      <c r="AD751" s="6"/>
      <c r="AR751" s="6"/>
      <c r="BF751" s="6"/>
      <c r="BT751" s="6"/>
      <c r="CH751" s="6"/>
    </row>
    <row r="752" ht="13.5" customHeight="1">
      <c r="P752" s="6"/>
      <c r="AD752" s="6"/>
      <c r="AR752" s="6"/>
      <c r="BF752" s="6"/>
      <c r="BT752" s="6"/>
      <c r="CH752" s="6"/>
    </row>
    <row r="753" ht="13.5" customHeight="1">
      <c r="P753" s="6"/>
      <c r="AD753" s="6"/>
      <c r="AR753" s="6"/>
      <c r="BF753" s="6"/>
      <c r="BT753" s="6"/>
      <c r="CH753" s="6"/>
    </row>
    <row r="754" ht="13.5" customHeight="1">
      <c r="P754" s="6"/>
      <c r="AD754" s="6"/>
      <c r="AR754" s="6"/>
      <c r="BF754" s="6"/>
      <c r="BT754" s="6"/>
      <c r="CH754" s="6"/>
    </row>
    <row r="755" ht="13.5" customHeight="1">
      <c r="P755" s="6"/>
      <c r="AD755" s="6"/>
      <c r="AR755" s="6"/>
      <c r="BF755" s="6"/>
      <c r="BT755" s="6"/>
      <c r="CH755" s="6"/>
    </row>
    <row r="756" ht="13.5" customHeight="1">
      <c r="P756" s="6"/>
      <c r="AD756" s="6"/>
      <c r="AR756" s="6"/>
      <c r="BF756" s="6"/>
      <c r="BT756" s="6"/>
      <c r="CH756" s="6"/>
    </row>
    <row r="757" ht="13.5" customHeight="1">
      <c r="P757" s="6"/>
      <c r="AD757" s="6"/>
      <c r="AR757" s="6"/>
      <c r="BF757" s="6"/>
      <c r="BT757" s="6"/>
      <c r="CH757" s="6"/>
    </row>
    <row r="758" ht="13.5" customHeight="1">
      <c r="P758" s="6"/>
      <c r="AD758" s="6"/>
      <c r="AR758" s="6"/>
      <c r="BF758" s="6"/>
      <c r="BT758" s="6"/>
      <c r="CH758" s="6"/>
    </row>
    <row r="759" ht="13.5" customHeight="1">
      <c r="P759" s="6"/>
      <c r="AD759" s="6"/>
      <c r="AR759" s="6"/>
      <c r="BF759" s="6"/>
      <c r="BT759" s="6"/>
      <c r="CH759" s="6"/>
    </row>
    <row r="760" ht="13.5" customHeight="1">
      <c r="P760" s="6"/>
      <c r="AD760" s="6"/>
      <c r="AR760" s="6"/>
      <c r="BF760" s="6"/>
      <c r="BT760" s="6"/>
      <c r="CH760" s="6"/>
    </row>
    <row r="761" ht="13.5" customHeight="1">
      <c r="P761" s="6"/>
      <c r="AD761" s="6"/>
      <c r="AR761" s="6"/>
      <c r="BF761" s="6"/>
      <c r="BT761" s="6"/>
      <c r="CH761" s="6"/>
    </row>
    <row r="762" ht="13.5" customHeight="1">
      <c r="P762" s="6"/>
      <c r="AD762" s="6"/>
      <c r="AR762" s="6"/>
      <c r="BF762" s="6"/>
      <c r="BT762" s="6"/>
      <c r="CH762" s="6"/>
    </row>
    <row r="763" ht="13.5" customHeight="1">
      <c r="P763" s="6"/>
      <c r="AD763" s="6"/>
      <c r="AR763" s="6"/>
      <c r="BF763" s="6"/>
      <c r="BT763" s="6"/>
      <c r="CH763" s="6"/>
    </row>
    <row r="764" ht="13.5" customHeight="1">
      <c r="P764" s="6"/>
      <c r="AD764" s="6"/>
      <c r="AR764" s="6"/>
      <c r="BF764" s="6"/>
      <c r="BT764" s="6"/>
      <c r="CH764" s="6"/>
    </row>
    <row r="765" ht="13.5" customHeight="1">
      <c r="P765" s="6"/>
      <c r="AD765" s="6"/>
      <c r="AR765" s="6"/>
      <c r="BF765" s="6"/>
      <c r="BT765" s="6"/>
      <c r="CH765" s="6"/>
    </row>
    <row r="766" ht="13.5" customHeight="1">
      <c r="P766" s="6"/>
      <c r="AD766" s="6"/>
      <c r="AR766" s="6"/>
      <c r="BF766" s="6"/>
      <c r="BT766" s="6"/>
      <c r="CH766" s="6"/>
    </row>
    <row r="767" ht="13.5" customHeight="1">
      <c r="P767" s="6"/>
      <c r="AD767" s="6"/>
      <c r="AR767" s="6"/>
      <c r="BF767" s="6"/>
      <c r="BT767" s="6"/>
      <c r="CH767" s="6"/>
    </row>
    <row r="768" ht="13.5" customHeight="1">
      <c r="P768" s="6"/>
      <c r="AD768" s="6"/>
      <c r="AR768" s="6"/>
      <c r="BF768" s="6"/>
      <c r="BT768" s="6"/>
      <c r="CH768" s="6"/>
    </row>
    <row r="769" ht="13.5" customHeight="1">
      <c r="P769" s="6"/>
      <c r="AD769" s="6"/>
      <c r="AR769" s="6"/>
      <c r="BF769" s="6"/>
      <c r="BT769" s="6"/>
      <c r="CH769" s="6"/>
    </row>
    <row r="770" ht="13.5" customHeight="1">
      <c r="P770" s="6"/>
      <c r="AD770" s="6"/>
      <c r="AR770" s="6"/>
      <c r="BF770" s="6"/>
      <c r="BT770" s="6"/>
      <c r="CH770" s="6"/>
    </row>
    <row r="771" ht="13.5" customHeight="1">
      <c r="P771" s="6"/>
      <c r="AD771" s="6"/>
      <c r="AR771" s="6"/>
      <c r="BF771" s="6"/>
      <c r="BT771" s="6"/>
      <c r="CH771" s="6"/>
    </row>
    <row r="772" ht="13.5" customHeight="1">
      <c r="P772" s="6"/>
      <c r="AD772" s="6"/>
      <c r="AR772" s="6"/>
      <c r="BF772" s="6"/>
      <c r="BT772" s="6"/>
      <c r="CH772" s="6"/>
    </row>
    <row r="773" ht="13.5" customHeight="1">
      <c r="P773" s="6"/>
      <c r="AD773" s="6"/>
      <c r="AR773" s="6"/>
      <c r="BF773" s="6"/>
      <c r="BT773" s="6"/>
      <c r="CH773" s="6"/>
    </row>
    <row r="774" ht="13.5" customHeight="1">
      <c r="P774" s="6"/>
      <c r="AD774" s="6"/>
      <c r="AR774" s="6"/>
      <c r="BF774" s="6"/>
      <c r="BT774" s="6"/>
      <c r="CH774" s="6"/>
    </row>
    <row r="775" ht="13.5" customHeight="1">
      <c r="P775" s="6"/>
      <c r="AD775" s="6"/>
      <c r="AR775" s="6"/>
      <c r="BF775" s="6"/>
      <c r="BT775" s="6"/>
      <c r="CH775" s="6"/>
    </row>
    <row r="776" ht="13.5" customHeight="1">
      <c r="P776" s="6"/>
      <c r="AD776" s="6"/>
      <c r="AR776" s="6"/>
      <c r="BF776" s="6"/>
      <c r="BT776" s="6"/>
      <c r="CH776" s="6"/>
    </row>
    <row r="777" ht="13.5" customHeight="1">
      <c r="P777" s="6"/>
      <c r="AD777" s="6"/>
      <c r="AR777" s="6"/>
      <c r="BF777" s="6"/>
      <c r="BT777" s="6"/>
      <c r="CH777" s="6"/>
    </row>
    <row r="778" ht="13.5" customHeight="1">
      <c r="P778" s="6"/>
      <c r="AD778" s="6"/>
      <c r="AR778" s="6"/>
      <c r="BF778" s="6"/>
      <c r="BT778" s="6"/>
      <c r="CH778" s="6"/>
    </row>
    <row r="779" ht="13.5" customHeight="1">
      <c r="P779" s="6"/>
      <c r="AD779" s="6"/>
      <c r="AR779" s="6"/>
      <c r="BF779" s="6"/>
      <c r="BT779" s="6"/>
      <c r="CH779" s="6"/>
    </row>
    <row r="780" ht="13.5" customHeight="1">
      <c r="P780" s="6"/>
      <c r="AD780" s="6"/>
      <c r="AR780" s="6"/>
      <c r="BF780" s="6"/>
      <c r="BT780" s="6"/>
      <c r="CH780" s="6"/>
    </row>
    <row r="781" ht="13.5" customHeight="1">
      <c r="P781" s="6"/>
      <c r="AD781" s="6"/>
      <c r="AR781" s="6"/>
      <c r="BF781" s="6"/>
      <c r="BT781" s="6"/>
      <c r="CH781" s="6"/>
    </row>
    <row r="782" ht="13.5" customHeight="1">
      <c r="P782" s="6"/>
      <c r="AD782" s="6"/>
      <c r="AR782" s="6"/>
      <c r="BF782" s="6"/>
      <c r="BT782" s="6"/>
      <c r="CH782" s="6"/>
    </row>
    <row r="783" ht="13.5" customHeight="1">
      <c r="P783" s="6"/>
      <c r="AD783" s="6"/>
      <c r="AR783" s="6"/>
      <c r="BF783" s="6"/>
      <c r="BT783" s="6"/>
      <c r="CH783" s="6"/>
    </row>
    <row r="784" ht="13.5" customHeight="1">
      <c r="P784" s="6"/>
      <c r="AD784" s="6"/>
      <c r="AR784" s="6"/>
      <c r="BF784" s="6"/>
      <c r="BT784" s="6"/>
      <c r="CH784" s="6"/>
    </row>
    <row r="785" ht="13.5" customHeight="1">
      <c r="P785" s="6"/>
      <c r="AD785" s="6"/>
      <c r="AR785" s="6"/>
      <c r="BF785" s="6"/>
      <c r="BT785" s="6"/>
      <c r="CH785" s="6"/>
    </row>
    <row r="786" ht="13.5" customHeight="1">
      <c r="P786" s="6"/>
      <c r="AD786" s="6"/>
      <c r="AR786" s="6"/>
      <c r="BF786" s="6"/>
      <c r="BT786" s="6"/>
      <c r="CH786" s="6"/>
    </row>
    <row r="787" ht="13.5" customHeight="1">
      <c r="P787" s="6"/>
      <c r="AD787" s="6"/>
      <c r="AR787" s="6"/>
      <c r="BF787" s="6"/>
      <c r="BT787" s="6"/>
      <c r="CH787" s="6"/>
    </row>
    <row r="788" ht="13.5" customHeight="1">
      <c r="P788" s="6"/>
      <c r="AD788" s="6"/>
      <c r="AR788" s="6"/>
      <c r="BF788" s="6"/>
      <c r="BT788" s="6"/>
      <c r="CH788" s="6"/>
    </row>
    <row r="789" ht="13.5" customHeight="1">
      <c r="P789" s="6"/>
      <c r="AD789" s="6"/>
      <c r="AR789" s="6"/>
      <c r="BF789" s="6"/>
      <c r="BT789" s="6"/>
      <c r="CH789" s="6"/>
    </row>
    <row r="790" ht="13.5" customHeight="1">
      <c r="P790" s="6"/>
      <c r="AD790" s="6"/>
      <c r="AR790" s="6"/>
      <c r="BF790" s="6"/>
      <c r="BT790" s="6"/>
      <c r="CH790" s="6"/>
    </row>
    <row r="791" ht="13.5" customHeight="1">
      <c r="P791" s="6"/>
      <c r="AD791" s="6"/>
      <c r="AR791" s="6"/>
      <c r="BF791" s="6"/>
      <c r="BT791" s="6"/>
      <c r="CH791" s="6"/>
    </row>
    <row r="792" ht="13.5" customHeight="1">
      <c r="P792" s="6"/>
      <c r="AD792" s="6"/>
      <c r="AR792" s="6"/>
      <c r="BF792" s="6"/>
      <c r="BT792" s="6"/>
      <c r="CH792" s="6"/>
    </row>
    <row r="793" ht="13.5" customHeight="1">
      <c r="P793" s="6"/>
      <c r="AD793" s="6"/>
      <c r="AR793" s="6"/>
      <c r="BF793" s="6"/>
      <c r="BT793" s="6"/>
      <c r="CH793" s="6"/>
    </row>
    <row r="794" ht="13.5" customHeight="1">
      <c r="P794" s="6"/>
      <c r="AD794" s="6"/>
      <c r="AR794" s="6"/>
      <c r="BF794" s="6"/>
      <c r="BT794" s="6"/>
      <c r="CH794" s="6"/>
    </row>
    <row r="795" ht="13.5" customHeight="1">
      <c r="P795" s="6"/>
      <c r="AD795" s="6"/>
      <c r="AR795" s="6"/>
      <c r="BF795" s="6"/>
      <c r="BT795" s="6"/>
      <c r="CH795" s="6"/>
    </row>
    <row r="796" ht="13.5" customHeight="1">
      <c r="P796" s="6"/>
      <c r="AD796" s="6"/>
      <c r="AR796" s="6"/>
      <c r="BF796" s="6"/>
      <c r="BT796" s="6"/>
      <c r="CH796" s="6"/>
    </row>
    <row r="797" ht="13.5" customHeight="1">
      <c r="P797" s="6"/>
      <c r="AD797" s="6"/>
      <c r="AR797" s="6"/>
      <c r="BF797" s="6"/>
      <c r="BT797" s="6"/>
      <c r="CH797" s="6"/>
    </row>
    <row r="798" ht="13.5" customHeight="1">
      <c r="P798" s="6"/>
      <c r="AD798" s="6"/>
      <c r="AR798" s="6"/>
      <c r="BF798" s="6"/>
      <c r="BT798" s="6"/>
      <c r="CH798" s="6"/>
    </row>
    <row r="799" ht="13.5" customHeight="1">
      <c r="P799" s="6"/>
      <c r="AD799" s="6"/>
      <c r="AR799" s="6"/>
      <c r="BF799" s="6"/>
      <c r="BT799" s="6"/>
      <c r="CH799" s="6"/>
    </row>
    <row r="800" ht="13.5" customHeight="1">
      <c r="P800" s="6"/>
      <c r="AD800" s="6"/>
      <c r="AR800" s="6"/>
      <c r="BF800" s="6"/>
      <c r="BT800" s="6"/>
      <c r="CH800" s="6"/>
    </row>
    <row r="801" ht="13.5" customHeight="1">
      <c r="P801" s="6"/>
      <c r="AD801" s="6"/>
      <c r="AR801" s="6"/>
      <c r="BF801" s="6"/>
      <c r="BT801" s="6"/>
      <c r="CH801" s="6"/>
    </row>
    <row r="802" ht="13.5" customHeight="1">
      <c r="P802" s="6"/>
      <c r="AD802" s="6"/>
      <c r="AR802" s="6"/>
      <c r="BF802" s="6"/>
      <c r="BT802" s="6"/>
      <c r="CH802" s="6"/>
    </row>
    <row r="803" ht="13.5" customHeight="1">
      <c r="P803" s="6"/>
      <c r="AD803" s="6"/>
      <c r="AR803" s="6"/>
      <c r="BF803" s="6"/>
      <c r="BT803" s="6"/>
      <c r="CH803" s="6"/>
    </row>
    <row r="804" ht="13.5" customHeight="1">
      <c r="P804" s="6"/>
      <c r="AD804" s="6"/>
      <c r="AR804" s="6"/>
      <c r="BF804" s="6"/>
      <c r="BT804" s="6"/>
      <c r="CH804" s="6"/>
    </row>
    <row r="805" ht="13.5" customHeight="1">
      <c r="P805" s="6"/>
      <c r="AD805" s="6"/>
      <c r="AR805" s="6"/>
      <c r="BF805" s="6"/>
      <c r="BT805" s="6"/>
      <c r="CH805" s="6"/>
    </row>
    <row r="806" ht="13.5" customHeight="1">
      <c r="P806" s="6"/>
      <c r="AD806" s="6"/>
      <c r="AR806" s="6"/>
      <c r="BF806" s="6"/>
      <c r="BT806" s="6"/>
      <c r="CH806" s="6"/>
    </row>
    <row r="807" ht="13.5" customHeight="1">
      <c r="P807" s="6"/>
      <c r="AD807" s="6"/>
      <c r="AR807" s="6"/>
      <c r="BF807" s="6"/>
      <c r="BT807" s="6"/>
      <c r="CH807" s="6"/>
    </row>
    <row r="808" ht="13.5" customHeight="1">
      <c r="P808" s="6"/>
      <c r="AD808" s="6"/>
      <c r="AR808" s="6"/>
      <c r="BF808" s="6"/>
      <c r="BT808" s="6"/>
      <c r="CH808" s="6"/>
    </row>
    <row r="809" ht="13.5" customHeight="1">
      <c r="P809" s="6"/>
      <c r="AD809" s="6"/>
      <c r="AR809" s="6"/>
      <c r="BF809" s="6"/>
      <c r="BT809" s="6"/>
      <c r="CH809" s="6"/>
    </row>
    <row r="810" ht="13.5" customHeight="1">
      <c r="P810" s="6"/>
      <c r="AD810" s="6"/>
      <c r="AR810" s="6"/>
      <c r="BF810" s="6"/>
      <c r="BT810" s="6"/>
      <c r="CH810" s="6"/>
    </row>
    <row r="811" ht="13.5" customHeight="1">
      <c r="P811" s="6"/>
      <c r="AD811" s="6"/>
      <c r="AR811" s="6"/>
      <c r="BF811" s="6"/>
      <c r="BT811" s="6"/>
      <c r="CH811" s="6"/>
    </row>
    <row r="812" ht="13.5" customHeight="1">
      <c r="P812" s="6"/>
      <c r="AD812" s="6"/>
      <c r="AR812" s="6"/>
      <c r="BF812" s="6"/>
      <c r="BT812" s="6"/>
      <c r="CH812" s="6"/>
    </row>
    <row r="813" ht="13.5" customHeight="1">
      <c r="P813" s="6"/>
      <c r="AD813" s="6"/>
      <c r="AR813" s="6"/>
      <c r="BF813" s="6"/>
      <c r="BT813" s="6"/>
      <c r="CH813" s="6"/>
    </row>
    <row r="814" ht="13.5" customHeight="1">
      <c r="P814" s="6"/>
      <c r="AD814" s="6"/>
      <c r="AR814" s="6"/>
      <c r="BF814" s="6"/>
      <c r="BT814" s="6"/>
      <c r="CH814" s="6"/>
    </row>
    <row r="815" ht="13.5" customHeight="1">
      <c r="P815" s="6"/>
      <c r="AD815" s="6"/>
      <c r="AR815" s="6"/>
      <c r="BF815" s="6"/>
      <c r="BT815" s="6"/>
      <c r="CH815" s="6"/>
    </row>
    <row r="816" ht="13.5" customHeight="1">
      <c r="P816" s="6"/>
      <c r="AD816" s="6"/>
      <c r="AR816" s="6"/>
      <c r="BF816" s="6"/>
      <c r="BT816" s="6"/>
      <c r="CH816" s="6"/>
    </row>
    <row r="817" ht="13.5" customHeight="1">
      <c r="P817" s="6"/>
      <c r="AD817" s="6"/>
      <c r="AR817" s="6"/>
      <c r="BF817" s="6"/>
      <c r="BT817" s="6"/>
      <c r="CH817" s="6"/>
    </row>
    <row r="818" ht="13.5" customHeight="1">
      <c r="P818" s="6"/>
      <c r="AD818" s="6"/>
      <c r="AR818" s="6"/>
      <c r="BF818" s="6"/>
      <c r="BT818" s="6"/>
      <c r="CH818" s="6"/>
    </row>
    <row r="819" ht="13.5" customHeight="1">
      <c r="P819" s="6"/>
      <c r="AD819" s="6"/>
      <c r="AR819" s="6"/>
      <c r="BF819" s="6"/>
      <c r="BT819" s="6"/>
      <c r="CH819" s="6"/>
    </row>
    <row r="820" ht="13.5" customHeight="1">
      <c r="P820" s="6"/>
      <c r="AD820" s="6"/>
      <c r="AR820" s="6"/>
      <c r="BF820" s="6"/>
      <c r="BT820" s="6"/>
      <c r="CH820" s="6"/>
    </row>
    <row r="821" ht="13.5" customHeight="1">
      <c r="P821" s="6"/>
      <c r="AD821" s="6"/>
      <c r="AR821" s="6"/>
      <c r="BF821" s="6"/>
      <c r="BT821" s="6"/>
      <c r="CH821" s="6"/>
    </row>
    <row r="822" ht="13.5" customHeight="1">
      <c r="P822" s="6"/>
      <c r="AD822" s="6"/>
      <c r="AR822" s="6"/>
      <c r="BF822" s="6"/>
      <c r="BT822" s="6"/>
      <c r="CH822" s="6"/>
    </row>
    <row r="823" ht="13.5" customHeight="1">
      <c r="P823" s="6"/>
      <c r="AD823" s="6"/>
      <c r="AR823" s="6"/>
      <c r="BF823" s="6"/>
      <c r="BT823" s="6"/>
      <c r="CH823" s="6"/>
    </row>
    <row r="824" ht="13.5" customHeight="1">
      <c r="P824" s="6"/>
      <c r="AD824" s="6"/>
      <c r="AR824" s="6"/>
      <c r="BF824" s="6"/>
      <c r="BT824" s="6"/>
      <c r="CH824" s="6"/>
    </row>
    <row r="825" ht="13.5" customHeight="1">
      <c r="P825" s="6"/>
      <c r="AD825" s="6"/>
      <c r="AR825" s="6"/>
      <c r="BF825" s="6"/>
      <c r="BT825" s="6"/>
      <c r="CH825" s="6"/>
    </row>
    <row r="826" ht="13.5" customHeight="1">
      <c r="P826" s="6"/>
      <c r="AD826" s="6"/>
      <c r="AR826" s="6"/>
      <c r="BF826" s="6"/>
      <c r="BT826" s="6"/>
      <c r="CH826" s="6"/>
    </row>
    <row r="827" ht="13.5" customHeight="1">
      <c r="P827" s="6"/>
      <c r="AD827" s="6"/>
      <c r="AR827" s="6"/>
      <c r="BF827" s="6"/>
      <c r="BT827" s="6"/>
      <c r="CH827" s="6"/>
    </row>
    <row r="828" ht="13.5" customHeight="1">
      <c r="P828" s="6"/>
      <c r="AD828" s="6"/>
      <c r="AR828" s="6"/>
      <c r="BF828" s="6"/>
      <c r="BT828" s="6"/>
      <c r="CH828" s="6"/>
    </row>
    <row r="829" ht="13.5" customHeight="1">
      <c r="P829" s="6"/>
      <c r="AD829" s="6"/>
      <c r="AR829" s="6"/>
      <c r="BF829" s="6"/>
      <c r="BT829" s="6"/>
      <c r="CH829" s="6"/>
    </row>
    <row r="830" ht="13.5" customHeight="1">
      <c r="P830" s="6"/>
      <c r="AD830" s="6"/>
      <c r="AR830" s="6"/>
      <c r="BF830" s="6"/>
      <c r="BT830" s="6"/>
      <c r="CH830" s="6"/>
    </row>
    <row r="831" ht="13.5" customHeight="1">
      <c r="P831" s="6"/>
      <c r="AD831" s="6"/>
      <c r="AR831" s="6"/>
      <c r="BF831" s="6"/>
      <c r="BT831" s="6"/>
      <c r="CH831" s="6"/>
    </row>
    <row r="832" ht="13.5" customHeight="1">
      <c r="P832" s="6"/>
      <c r="AD832" s="6"/>
      <c r="AR832" s="6"/>
      <c r="BF832" s="6"/>
      <c r="BT832" s="6"/>
      <c r="CH832" s="6"/>
    </row>
    <row r="833" ht="13.5" customHeight="1">
      <c r="P833" s="6"/>
      <c r="AD833" s="6"/>
      <c r="AR833" s="6"/>
      <c r="BF833" s="6"/>
      <c r="BT833" s="6"/>
      <c r="CH833" s="6"/>
    </row>
    <row r="834" ht="13.5" customHeight="1">
      <c r="P834" s="6"/>
      <c r="AD834" s="6"/>
      <c r="AR834" s="6"/>
      <c r="BF834" s="6"/>
      <c r="BT834" s="6"/>
      <c r="CH834" s="6"/>
    </row>
    <row r="835" ht="13.5" customHeight="1">
      <c r="P835" s="6"/>
      <c r="AD835" s="6"/>
      <c r="AR835" s="6"/>
      <c r="BF835" s="6"/>
      <c r="BT835" s="6"/>
      <c r="CH835" s="6"/>
    </row>
    <row r="836" ht="13.5" customHeight="1">
      <c r="P836" s="6"/>
      <c r="AD836" s="6"/>
      <c r="AR836" s="6"/>
      <c r="BF836" s="6"/>
      <c r="BT836" s="6"/>
      <c r="CH836" s="6"/>
    </row>
    <row r="837" ht="13.5" customHeight="1">
      <c r="P837" s="6"/>
      <c r="AD837" s="6"/>
      <c r="AR837" s="6"/>
      <c r="BF837" s="6"/>
      <c r="BT837" s="6"/>
      <c r="CH837" s="6"/>
    </row>
    <row r="838" ht="13.5" customHeight="1">
      <c r="P838" s="6"/>
      <c r="AD838" s="6"/>
      <c r="AR838" s="6"/>
      <c r="BF838" s="6"/>
      <c r="BT838" s="6"/>
      <c r="CH838" s="6"/>
    </row>
    <row r="839" ht="13.5" customHeight="1">
      <c r="P839" s="6"/>
      <c r="AD839" s="6"/>
      <c r="AR839" s="6"/>
      <c r="BF839" s="6"/>
      <c r="BT839" s="6"/>
      <c r="CH839" s="6"/>
    </row>
    <row r="840" ht="13.5" customHeight="1">
      <c r="P840" s="6"/>
      <c r="AD840" s="6"/>
      <c r="AR840" s="6"/>
      <c r="BF840" s="6"/>
      <c r="BT840" s="6"/>
      <c r="CH840" s="6"/>
    </row>
    <row r="841" ht="13.5" customHeight="1">
      <c r="P841" s="6"/>
      <c r="AD841" s="6"/>
      <c r="AR841" s="6"/>
      <c r="BF841" s="6"/>
      <c r="BT841" s="6"/>
      <c r="CH841" s="6"/>
    </row>
    <row r="842" ht="13.5" customHeight="1">
      <c r="P842" s="6"/>
      <c r="AD842" s="6"/>
      <c r="AR842" s="6"/>
      <c r="BF842" s="6"/>
      <c r="BT842" s="6"/>
      <c r="CH842" s="6"/>
    </row>
    <row r="843" ht="13.5" customHeight="1">
      <c r="P843" s="6"/>
      <c r="AD843" s="6"/>
      <c r="AR843" s="6"/>
      <c r="BF843" s="6"/>
      <c r="BT843" s="6"/>
      <c r="CH843" s="6"/>
    </row>
    <row r="844" ht="13.5" customHeight="1">
      <c r="P844" s="6"/>
      <c r="AD844" s="6"/>
      <c r="AR844" s="6"/>
      <c r="BF844" s="6"/>
      <c r="BT844" s="6"/>
      <c r="CH844" s="6"/>
    </row>
    <row r="845" ht="13.5" customHeight="1">
      <c r="P845" s="6"/>
      <c r="AD845" s="6"/>
      <c r="AR845" s="6"/>
      <c r="BF845" s="6"/>
      <c r="BT845" s="6"/>
      <c r="CH845" s="6"/>
    </row>
    <row r="846" ht="13.5" customHeight="1">
      <c r="P846" s="6"/>
      <c r="AD846" s="6"/>
      <c r="AR846" s="6"/>
      <c r="BF846" s="6"/>
      <c r="BT846" s="6"/>
      <c r="CH846" s="6"/>
    </row>
    <row r="847" ht="13.5" customHeight="1">
      <c r="P847" s="6"/>
      <c r="AD847" s="6"/>
      <c r="AR847" s="6"/>
      <c r="BF847" s="6"/>
      <c r="BT847" s="6"/>
      <c r="CH847" s="6"/>
    </row>
    <row r="848" ht="13.5" customHeight="1">
      <c r="P848" s="6"/>
      <c r="AD848" s="6"/>
      <c r="AR848" s="6"/>
      <c r="BF848" s="6"/>
      <c r="BT848" s="6"/>
      <c r="CH848" s="6"/>
    </row>
    <row r="849" ht="13.5" customHeight="1">
      <c r="P849" s="6"/>
      <c r="AD849" s="6"/>
      <c r="AR849" s="6"/>
      <c r="BF849" s="6"/>
      <c r="BT849" s="6"/>
      <c r="CH849" s="6"/>
    </row>
    <row r="850" ht="13.5" customHeight="1">
      <c r="P850" s="6"/>
      <c r="AD850" s="6"/>
      <c r="AR850" s="6"/>
      <c r="BF850" s="6"/>
      <c r="BT850" s="6"/>
      <c r="CH850" s="6"/>
    </row>
    <row r="851" ht="13.5" customHeight="1">
      <c r="P851" s="6"/>
      <c r="AD851" s="6"/>
      <c r="AR851" s="6"/>
      <c r="BF851" s="6"/>
      <c r="BT851" s="6"/>
      <c r="CH851" s="6"/>
    </row>
    <row r="852" ht="13.5" customHeight="1">
      <c r="P852" s="6"/>
      <c r="AD852" s="6"/>
      <c r="AR852" s="6"/>
      <c r="BF852" s="6"/>
      <c r="BT852" s="6"/>
      <c r="CH852" s="6"/>
    </row>
    <row r="853" ht="13.5" customHeight="1">
      <c r="P853" s="6"/>
      <c r="AD853" s="6"/>
      <c r="AR853" s="6"/>
      <c r="BF853" s="6"/>
      <c r="BT853" s="6"/>
      <c r="CH853" s="6"/>
    </row>
    <row r="854" ht="13.5" customHeight="1">
      <c r="P854" s="6"/>
      <c r="AD854" s="6"/>
      <c r="AR854" s="6"/>
      <c r="BF854" s="6"/>
      <c r="BT854" s="6"/>
      <c r="CH854" s="6"/>
    </row>
    <row r="855" ht="13.5" customHeight="1">
      <c r="P855" s="6"/>
      <c r="AD855" s="6"/>
      <c r="AR855" s="6"/>
      <c r="BF855" s="6"/>
      <c r="BT855" s="6"/>
      <c r="CH855" s="6"/>
    </row>
    <row r="856" ht="13.5" customHeight="1">
      <c r="P856" s="6"/>
      <c r="AD856" s="6"/>
      <c r="AR856" s="6"/>
      <c r="BF856" s="6"/>
      <c r="BT856" s="6"/>
      <c r="CH856" s="6"/>
    </row>
    <row r="857" ht="13.5" customHeight="1">
      <c r="P857" s="6"/>
      <c r="AD857" s="6"/>
      <c r="AR857" s="6"/>
      <c r="BF857" s="6"/>
      <c r="BT857" s="6"/>
      <c r="CH857" s="6"/>
    </row>
    <row r="858" ht="13.5" customHeight="1">
      <c r="P858" s="6"/>
      <c r="AD858" s="6"/>
      <c r="AR858" s="6"/>
      <c r="BF858" s="6"/>
      <c r="BT858" s="6"/>
      <c r="CH858" s="6"/>
    </row>
    <row r="859" ht="13.5" customHeight="1">
      <c r="P859" s="6"/>
      <c r="AD859" s="6"/>
      <c r="AR859" s="6"/>
      <c r="BF859" s="6"/>
      <c r="BT859" s="6"/>
      <c r="CH859" s="6"/>
    </row>
    <row r="860" ht="13.5" customHeight="1">
      <c r="P860" s="6"/>
      <c r="AD860" s="6"/>
      <c r="AR860" s="6"/>
      <c r="BF860" s="6"/>
      <c r="BT860" s="6"/>
      <c r="CH860" s="6"/>
    </row>
    <row r="861" ht="13.5" customHeight="1">
      <c r="P861" s="6"/>
      <c r="AD861" s="6"/>
      <c r="AR861" s="6"/>
      <c r="BF861" s="6"/>
      <c r="BT861" s="6"/>
      <c r="CH861" s="6"/>
    </row>
    <row r="862" ht="13.5" customHeight="1">
      <c r="P862" s="6"/>
      <c r="AD862" s="6"/>
      <c r="AR862" s="6"/>
      <c r="BF862" s="6"/>
      <c r="BT862" s="6"/>
      <c r="CH862" s="6"/>
    </row>
    <row r="863" ht="13.5" customHeight="1">
      <c r="P863" s="6"/>
      <c r="AD863" s="6"/>
      <c r="AR863" s="6"/>
      <c r="BF863" s="6"/>
      <c r="BT863" s="6"/>
      <c r="CH863" s="6"/>
    </row>
    <row r="864" ht="13.5" customHeight="1">
      <c r="P864" s="6"/>
      <c r="AD864" s="6"/>
      <c r="AR864" s="6"/>
      <c r="BF864" s="6"/>
      <c r="BT864" s="6"/>
      <c r="CH864" s="6"/>
    </row>
    <row r="865" ht="13.5" customHeight="1">
      <c r="P865" s="6"/>
      <c r="AD865" s="6"/>
      <c r="AR865" s="6"/>
      <c r="BF865" s="6"/>
      <c r="BT865" s="6"/>
      <c r="CH865" s="6"/>
    </row>
    <row r="866" ht="13.5" customHeight="1">
      <c r="P866" s="6"/>
      <c r="AD866" s="6"/>
      <c r="AR866" s="6"/>
      <c r="BF866" s="6"/>
      <c r="BT866" s="6"/>
      <c r="CH866" s="6"/>
    </row>
    <row r="867" ht="13.5" customHeight="1">
      <c r="P867" s="6"/>
      <c r="AD867" s="6"/>
      <c r="AR867" s="6"/>
      <c r="BF867" s="6"/>
      <c r="BT867" s="6"/>
      <c r="CH867" s="6"/>
    </row>
    <row r="868" ht="13.5" customHeight="1">
      <c r="P868" s="6"/>
      <c r="AD868" s="6"/>
      <c r="AR868" s="6"/>
      <c r="BF868" s="6"/>
      <c r="BT868" s="6"/>
      <c r="CH868" s="6"/>
    </row>
    <row r="869" ht="13.5" customHeight="1">
      <c r="P869" s="6"/>
      <c r="AD869" s="6"/>
      <c r="AR869" s="6"/>
      <c r="BF869" s="6"/>
      <c r="BT869" s="6"/>
      <c r="CH869" s="6"/>
    </row>
    <row r="870" ht="13.5" customHeight="1">
      <c r="P870" s="6"/>
      <c r="AD870" s="6"/>
      <c r="AR870" s="6"/>
      <c r="BF870" s="6"/>
      <c r="BT870" s="6"/>
      <c r="CH870" s="6"/>
    </row>
    <row r="871" ht="13.5" customHeight="1">
      <c r="P871" s="6"/>
      <c r="AD871" s="6"/>
      <c r="AR871" s="6"/>
      <c r="BF871" s="6"/>
      <c r="BT871" s="6"/>
      <c r="CH871" s="6"/>
    </row>
    <row r="872" ht="13.5" customHeight="1">
      <c r="P872" s="6"/>
      <c r="AD872" s="6"/>
      <c r="AR872" s="6"/>
      <c r="BF872" s="6"/>
      <c r="BT872" s="6"/>
      <c r="CH872" s="6"/>
    </row>
    <row r="873" ht="13.5" customHeight="1">
      <c r="P873" s="6"/>
      <c r="AD873" s="6"/>
      <c r="AR873" s="6"/>
      <c r="BF873" s="6"/>
      <c r="BT873" s="6"/>
      <c r="CH873" s="6"/>
    </row>
    <row r="874" ht="13.5" customHeight="1">
      <c r="P874" s="6"/>
      <c r="AD874" s="6"/>
      <c r="AR874" s="6"/>
      <c r="BF874" s="6"/>
      <c r="BT874" s="6"/>
      <c r="CH874" s="6"/>
    </row>
    <row r="875" ht="13.5" customHeight="1">
      <c r="P875" s="6"/>
      <c r="AD875" s="6"/>
      <c r="AR875" s="6"/>
      <c r="BF875" s="6"/>
      <c r="BT875" s="6"/>
      <c r="CH875" s="6"/>
    </row>
    <row r="876" ht="13.5" customHeight="1">
      <c r="P876" s="6"/>
      <c r="AD876" s="6"/>
      <c r="AR876" s="6"/>
      <c r="BF876" s="6"/>
      <c r="BT876" s="6"/>
      <c r="CH876" s="6"/>
    </row>
    <row r="877" ht="13.5" customHeight="1">
      <c r="P877" s="6"/>
      <c r="AD877" s="6"/>
      <c r="AR877" s="6"/>
      <c r="BF877" s="6"/>
      <c r="BT877" s="6"/>
      <c r="CH877" s="6"/>
    </row>
    <row r="878" ht="13.5" customHeight="1">
      <c r="P878" s="6"/>
      <c r="AD878" s="6"/>
      <c r="AR878" s="6"/>
      <c r="BF878" s="6"/>
      <c r="BT878" s="6"/>
      <c r="CH878" s="6"/>
    </row>
    <row r="879" ht="13.5" customHeight="1">
      <c r="P879" s="6"/>
      <c r="AD879" s="6"/>
      <c r="AR879" s="6"/>
      <c r="BF879" s="6"/>
      <c r="BT879" s="6"/>
      <c r="CH879" s="6"/>
    </row>
    <row r="880" ht="13.5" customHeight="1">
      <c r="P880" s="6"/>
      <c r="AD880" s="6"/>
      <c r="AR880" s="6"/>
      <c r="BF880" s="6"/>
      <c r="BT880" s="6"/>
      <c r="CH880" s="6"/>
    </row>
    <row r="881" ht="13.5" customHeight="1">
      <c r="P881" s="6"/>
      <c r="AD881" s="6"/>
      <c r="AR881" s="6"/>
      <c r="BF881" s="6"/>
      <c r="BT881" s="6"/>
      <c r="CH881" s="6"/>
    </row>
    <row r="882" ht="13.5" customHeight="1">
      <c r="P882" s="6"/>
      <c r="AD882" s="6"/>
      <c r="AR882" s="6"/>
      <c r="BF882" s="6"/>
      <c r="BT882" s="6"/>
      <c r="CH882" s="6"/>
    </row>
    <row r="883" ht="13.5" customHeight="1">
      <c r="P883" s="6"/>
      <c r="AD883" s="6"/>
      <c r="AR883" s="6"/>
      <c r="BF883" s="6"/>
      <c r="BT883" s="6"/>
      <c r="CH883" s="6"/>
    </row>
    <row r="884" ht="13.5" customHeight="1">
      <c r="P884" s="6"/>
      <c r="AD884" s="6"/>
      <c r="AR884" s="6"/>
      <c r="BF884" s="6"/>
      <c r="BT884" s="6"/>
      <c r="CH884" s="6"/>
    </row>
    <row r="885" ht="13.5" customHeight="1">
      <c r="P885" s="6"/>
      <c r="AD885" s="6"/>
      <c r="AR885" s="6"/>
      <c r="BF885" s="6"/>
      <c r="BT885" s="6"/>
      <c r="CH885" s="6"/>
    </row>
    <row r="886" ht="13.5" customHeight="1">
      <c r="P886" s="6"/>
      <c r="AD886" s="6"/>
      <c r="AR886" s="6"/>
      <c r="BF886" s="6"/>
      <c r="BT886" s="6"/>
      <c r="CH886" s="6"/>
    </row>
    <row r="887" ht="13.5" customHeight="1">
      <c r="P887" s="6"/>
      <c r="AD887" s="6"/>
      <c r="AR887" s="6"/>
      <c r="BF887" s="6"/>
      <c r="BT887" s="6"/>
      <c r="CH887" s="6"/>
    </row>
    <row r="888" ht="13.5" customHeight="1">
      <c r="P888" s="6"/>
      <c r="AD888" s="6"/>
      <c r="AR888" s="6"/>
      <c r="BF888" s="6"/>
      <c r="BT888" s="6"/>
      <c r="CH888" s="6"/>
    </row>
    <row r="889" ht="13.5" customHeight="1">
      <c r="P889" s="6"/>
      <c r="AD889" s="6"/>
      <c r="AR889" s="6"/>
      <c r="BF889" s="6"/>
      <c r="BT889" s="6"/>
      <c r="CH889" s="6"/>
    </row>
    <row r="890" ht="13.5" customHeight="1">
      <c r="P890" s="6"/>
      <c r="AD890" s="6"/>
      <c r="AR890" s="6"/>
      <c r="BF890" s="6"/>
      <c r="BT890" s="6"/>
      <c r="CH890" s="6"/>
    </row>
    <row r="891" ht="13.5" customHeight="1">
      <c r="P891" s="6"/>
      <c r="AD891" s="6"/>
      <c r="AR891" s="6"/>
      <c r="BF891" s="6"/>
      <c r="BT891" s="6"/>
      <c r="CH891" s="6"/>
    </row>
    <row r="892" ht="13.5" customHeight="1">
      <c r="P892" s="6"/>
      <c r="AD892" s="6"/>
      <c r="AR892" s="6"/>
      <c r="BF892" s="6"/>
      <c r="BT892" s="6"/>
      <c r="CH892" s="6"/>
    </row>
    <row r="893" ht="13.5" customHeight="1">
      <c r="P893" s="6"/>
      <c r="AD893" s="6"/>
      <c r="AR893" s="6"/>
      <c r="BF893" s="6"/>
      <c r="BT893" s="6"/>
      <c r="CH893" s="6"/>
    </row>
    <row r="894" ht="13.5" customHeight="1">
      <c r="P894" s="6"/>
      <c r="AD894" s="6"/>
      <c r="AR894" s="6"/>
      <c r="BF894" s="6"/>
      <c r="BT894" s="6"/>
      <c r="CH894" s="6"/>
    </row>
    <row r="895" ht="13.5" customHeight="1">
      <c r="P895" s="6"/>
      <c r="AD895" s="6"/>
      <c r="AR895" s="6"/>
      <c r="BF895" s="6"/>
      <c r="BT895" s="6"/>
      <c r="CH895" s="6"/>
    </row>
    <row r="896" ht="13.5" customHeight="1">
      <c r="P896" s="6"/>
      <c r="AD896" s="6"/>
      <c r="AR896" s="6"/>
      <c r="BF896" s="6"/>
      <c r="BT896" s="6"/>
      <c r="CH896" s="6"/>
    </row>
    <row r="897" ht="13.5" customHeight="1">
      <c r="P897" s="6"/>
      <c r="AD897" s="6"/>
      <c r="AR897" s="6"/>
      <c r="BF897" s="6"/>
      <c r="BT897" s="6"/>
      <c r="CH897" s="6"/>
    </row>
    <row r="898" ht="13.5" customHeight="1">
      <c r="P898" s="6"/>
      <c r="AD898" s="6"/>
      <c r="AR898" s="6"/>
      <c r="BF898" s="6"/>
      <c r="BT898" s="6"/>
      <c r="CH898" s="6"/>
    </row>
    <row r="899" ht="13.5" customHeight="1">
      <c r="P899" s="6"/>
      <c r="AD899" s="6"/>
      <c r="AR899" s="6"/>
      <c r="BF899" s="6"/>
      <c r="BT899" s="6"/>
      <c r="CH899" s="6"/>
    </row>
    <row r="900" ht="13.5" customHeight="1">
      <c r="P900" s="6"/>
      <c r="AD900" s="6"/>
      <c r="AR900" s="6"/>
      <c r="BF900" s="6"/>
      <c r="BT900" s="6"/>
      <c r="CH900" s="6"/>
    </row>
    <row r="901" ht="13.5" customHeight="1">
      <c r="P901" s="6"/>
      <c r="AD901" s="6"/>
      <c r="AR901" s="6"/>
      <c r="BF901" s="6"/>
      <c r="BT901" s="6"/>
      <c r="CH901" s="6"/>
    </row>
    <row r="902" ht="13.5" customHeight="1">
      <c r="P902" s="6"/>
      <c r="AD902" s="6"/>
      <c r="AR902" s="6"/>
      <c r="BF902" s="6"/>
      <c r="BT902" s="6"/>
      <c r="CH902" s="6"/>
    </row>
    <row r="903" ht="13.5" customHeight="1">
      <c r="P903" s="6"/>
      <c r="AD903" s="6"/>
      <c r="AR903" s="6"/>
      <c r="BF903" s="6"/>
      <c r="BT903" s="6"/>
      <c r="CH903" s="6"/>
    </row>
    <row r="904" ht="13.5" customHeight="1">
      <c r="P904" s="6"/>
      <c r="AD904" s="6"/>
      <c r="AR904" s="6"/>
      <c r="BF904" s="6"/>
      <c r="BT904" s="6"/>
      <c r="CH904" s="6"/>
    </row>
    <row r="905" ht="13.5" customHeight="1">
      <c r="P905" s="6"/>
      <c r="AD905" s="6"/>
      <c r="AR905" s="6"/>
      <c r="BF905" s="6"/>
      <c r="BT905" s="6"/>
      <c r="CH905" s="6"/>
    </row>
    <row r="906" ht="13.5" customHeight="1">
      <c r="P906" s="6"/>
      <c r="AD906" s="6"/>
      <c r="AR906" s="6"/>
      <c r="BF906" s="6"/>
      <c r="BT906" s="6"/>
      <c r="CH906" s="6"/>
    </row>
    <row r="907" ht="13.5" customHeight="1">
      <c r="P907" s="6"/>
      <c r="AD907" s="6"/>
      <c r="AR907" s="6"/>
      <c r="BF907" s="6"/>
      <c r="BT907" s="6"/>
      <c r="CH907" s="6"/>
    </row>
    <row r="908" ht="13.5" customHeight="1">
      <c r="P908" s="6"/>
      <c r="AD908" s="6"/>
      <c r="AR908" s="6"/>
      <c r="BF908" s="6"/>
      <c r="BT908" s="6"/>
      <c r="CH908" s="6"/>
    </row>
    <row r="909" ht="13.5" customHeight="1">
      <c r="P909" s="6"/>
      <c r="AD909" s="6"/>
      <c r="AR909" s="6"/>
      <c r="BF909" s="6"/>
      <c r="BT909" s="6"/>
      <c r="CH909" s="6"/>
    </row>
    <row r="910" ht="13.5" customHeight="1">
      <c r="P910" s="6"/>
      <c r="AD910" s="6"/>
      <c r="AR910" s="6"/>
      <c r="BF910" s="6"/>
      <c r="BT910" s="6"/>
      <c r="CH910" s="6"/>
    </row>
    <row r="911" ht="13.5" customHeight="1">
      <c r="P911" s="6"/>
      <c r="AD911" s="6"/>
      <c r="AR911" s="6"/>
      <c r="BF911" s="6"/>
      <c r="BT911" s="6"/>
      <c r="CH911" s="6"/>
    </row>
    <row r="912" ht="13.5" customHeight="1">
      <c r="P912" s="6"/>
      <c r="AD912" s="6"/>
      <c r="AR912" s="6"/>
      <c r="BF912" s="6"/>
      <c r="BT912" s="6"/>
      <c r="CH912" s="6"/>
    </row>
    <row r="913" ht="13.5" customHeight="1">
      <c r="P913" s="6"/>
      <c r="AD913" s="6"/>
      <c r="AR913" s="6"/>
      <c r="BF913" s="6"/>
      <c r="BT913" s="6"/>
      <c r="CH913" s="6"/>
    </row>
    <row r="914" ht="13.5" customHeight="1">
      <c r="P914" s="6"/>
      <c r="AD914" s="6"/>
      <c r="AR914" s="6"/>
      <c r="BF914" s="6"/>
      <c r="BT914" s="6"/>
      <c r="CH914" s="6"/>
    </row>
    <row r="915" ht="13.5" customHeight="1">
      <c r="P915" s="6"/>
      <c r="AD915" s="6"/>
      <c r="AR915" s="6"/>
      <c r="BF915" s="6"/>
      <c r="BT915" s="6"/>
      <c r="CH915" s="6"/>
    </row>
    <row r="916" ht="13.5" customHeight="1">
      <c r="P916" s="6"/>
      <c r="AD916" s="6"/>
      <c r="AR916" s="6"/>
      <c r="BF916" s="6"/>
      <c r="BT916" s="6"/>
      <c r="CH916" s="6"/>
    </row>
    <row r="917" ht="13.5" customHeight="1">
      <c r="P917" s="6"/>
      <c r="AD917" s="6"/>
      <c r="AR917" s="6"/>
      <c r="BF917" s="6"/>
      <c r="BT917" s="6"/>
      <c r="CH917" s="6"/>
    </row>
    <row r="918" ht="13.5" customHeight="1">
      <c r="P918" s="6"/>
      <c r="AD918" s="6"/>
      <c r="AR918" s="6"/>
      <c r="BF918" s="6"/>
      <c r="BT918" s="6"/>
      <c r="CH918" s="6"/>
    </row>
    <row r="919" ht="13.5" customHeight="1">
      <c r="P919" s="6"/>
      <c r="AD919" s="6"/>
      <c r="AR919" s="6"/>
      <c r="BF919" s="6"/>
      <c r="BT919" s="6"/>
      <c r="CH919" s="6"/>
    </row>
    <row r="920" ht="13.5" customHeight="1">
      <c r="P920" s="6"/>
      <c r="AD920" s="6"/>
      <c r="AR920" s="6"/>
      <c r="BF920" s="6"/>
      <c r="BT920" s="6"/>
      <c r="CH920" s="6"/>
    </row>
    <row r="921" ht="13.5" customHeight="1">
      <c r="P921" s="6"/>
      <c r="AD921" s="6"/>
      <c r="AR921" s="6"/>
      <c r="BF921" s="6"/>
      <c r="BT921" s="6"/>
      <c r="CH921" s="6"/>
    </row>
    <row r="922" ht="13.5" customHeight="1">
      <c r="P922" s="6"/>
      <c r="AD922" s="6"/>
      <c r="AR922" s="6"/>
      <c r="BF922" s="6"/>
      <c r="BT922" s="6"/>
      <c r="CH922" s="6"/>
    </row>
    <row r="923" ht="13.5" customHeight="1">
      <c r="P923" s="6"/>
      <c r="AD923" s="6"/>
      <c r="AR923" s="6"/>
      <c r="BF923" s="6"/>
      <c r="BT923" s="6"/>
      <c r="CH923" s="6"/>
    </row>
    <row r="924" ht="13.5" customHeight="1">
      <c r="P924" s="6"/>
      <c r="AD924" s="6"/>
      <c r="AR924" s="6"/>
      <c r="BF924" s="6"/>
      <c r="BT924" s="6"/>
      <c r="CH924" s="6"/>
    </row>
    <row r="925" ht="13.5" customHeight="1">
      <c r="P925" s="6"/>
      <c r="AD925" s="6"/>
      <c r="AR925" s="6"/>
      <c r="BF925" s="6"/>
      <c r="BT925" s="6"/>
      <c r="CH925" s="6"/>
    </row>
    <row r="926" ht="13.5" customHeight="1">
      <c r="P926" s="6"/>
      <c r="AD926" s="6"/>
      <c r="AR926" s="6"/>
      <c r="BF926" s="6"/>
      <c r="BT926" s="6"/>
      <c r="CH926" s="6"/>
    </row>
    <row r="927" ht="13.5" customHeight="1">
      <c r="P927" s="6"/>
      <c r="AD927" s="6"/>
      <c r="AR927" s="6"/>
      <c r="BF927" s="6"/>
      <c r="BT927" s="6"/>
      <c r="CH927" s="6"/>
    </row>
    <row r="928" ht="13.5" customHeight="1">
      <c r="P928" s="6"/>
      <c r="AD928" s="6"/>
      <c r="AR928" s="6"/>
      <c r="BF928" s="6"/>
      <c r="BT928" s="6"/>
      <c r="CH928" s="6"/>
    </row>
    <row r="929" ht="13.5" customHeight="1">
      <c r="P929" s="6"/>
      <c r="AD929" s="6"/>
      <c r="AR929" s="6"/>
      <c r="BF929" s="6"/>
      <c r="BT929" s="6"/>
      <c r="CH929" s="6"/>
    </row>
    <row r="930" ht="13.5" customHeight="1">
      <c r="P930" s="6"/>
      <c r="AD930" s="6"/>
      <c r="AR930" s="6"/>
      <c r="BF930" s="6"/>
      <c r="BT930" s="6"/>
      <c r="CH930" s="6"/>
    </row>
    <row r="931" ht="13.5" customHeight="1">
      <c r="P931" s="6"/>
      <c r="AD931" s="6"/>
      <c r="AR931" s="6"/>
      <c r="BF931" s="6"/>
      <c r="BT931" s="6"/>
      <c r="CH931" s="6"/>
    </row>
    <row r="932" ht="13.5" customHeight="1">
      <c r="P932" s="6"/>
      <c r="AD932" s="6"/>
      <c r="AR932" s="6"/>
      <c r="BF932" s="6"/>
      <c r="BT932" s="6"/>
      <c r="CH932" s="6"/>
    </row>
    <row r="933" ht="13.5" customHeight="1">
      <c r="P933" s="6"/>
      <c r="AD933" s="6"/>
      <c r="AR933" s="6"/>
      <c r="BF933" s="6"/>
      <c r="BT933" s="6"/>
      <c r="CH933" s="6"/>
    </row>
    <row r="934" ht="13.5" customHeight="1">
      <c r="P934" s="6"/>
      <c r="AD934" s="6"/>
      <c r="AR934" s="6"/>
      <c r="BF934" s="6"/>
      <c r="BT934" s="6"/>
      <c r="CH934" s="6"/>
    </row>
    <row r="935" ht="13.5" customHeight="1">
      <c r="P935" s="6"/>
      <c r="AD935" s="6"/>
      <c r="AR935" s="6"/>
      <c r="BF935" s="6"/>
      <c r="BT935" s="6"/>
      <c r="CH935" s="6"/>
    </row>
    <row r="936" ht="13.5" customHeight="1">
      <c r="P936" s="6"/>
      <c r="AD936" s="6"/>
      <c r="AR936" s="6"/>
      <c r="BF936" s="6"/>
      <c r="BT936" s="6"/>
      <c r="CH936" s="6"/>
    </row>
    <row r="937" ht="13.5" customHeight="1">
      <c r="P937" s="6"/>
      <c r="AD937" s="6"/>
      <c r="AR937" s="6"/>
      <c r="BF937" s="6"/>
      <c r="BT937" s="6"/>
      <c r="CH937" s="6"/>
    </row>
    <row r="938" ht="13.5" customHeight="1">
      <c r="P938" s="6"/>
      <c r="AD938" s="6"/>
      <c r="AR938" s="6"/>
      <c r="BF938" s="6"/>
      <c r="BT938" s="6"/>
      <c r="CH938" s="6"/>
    </row>
    <row r="939" ht="13.5" customHeight="1">
      <c r="P939" s="6"/>
      <c r="AD939" s="6"/>
      <c r="AR939" s="6"/>
      <c r="BF939" s="6"/>
      <c r="BT939" s="6"/>
      <c r="CH939" s="6"/>
    </row>
    <row r="940" ht="13.5" customHeight="1">
      <c r="P940" s="6"/>
      <c r="AD940" s="6"/>
      <c r="AR940" s="6"/>
      <c r="BF940" s="6"/>
      <c r="BT940" s="6"/>
      <c r="CH940" s="6"/>
    </row>
    <row r="941" ht="13.5" customHeight="1">
      <c r="P941" s="6"/>
      <c r="AD941" s="6"/>
      <c r="AR941" s="6"/>
      <c r="BF941" s="6"/>
      <c r="BT941" s="6"/>
      <c r="CH941" s="6"/>
    </row>
    <row r="942" ht="13.5" customHeight="1">
      <c r="P942" s="6"/>
      <c r="AD942" s="6"/>
      <c r="AR942" s="6"/>
      <c r="BF942" s="6"/>
      <c r="BT942" s="6"/>
      <c r="CH942" s="6"/>
    </row>
    <row r="943" ht="13.5" customHeight="1">
      <c r="P943" s="6"/>
      <c r="AD943" s="6"/>
      <c r="AR943" s="6"/>
      <c r="BF943" s="6"/>
      <c r="BT943" s="6"/>
      <c r="CH943" s="6"/>
    </row>
    <row r="944" ht="13.5" customHeight="1">
      <c r="P944" s="6"/>
      <c r="AD944" s="6"/>
      <c r="AR944" s="6"/>
      <c r="BF944" s="6"/>
      <c r="BT944" s="6"/>
      <c r="CH944" s="6"/>
    </row>
    <row r="945" ht="13.5" customHeight="1">
      <c r="P945" s="6"/>
      <c r="AD945" s="6"/>
      <c r="AR945" s="6"/>
      <c r="BF945" s="6"/>
      <c r="BT945" s="6"/>
      <c r="CH945" s="6"/>
    </row>
    <row r="946" ht="13.5" customHeight="1">
      <c r="P946" s="6"/>
      <c r="AD946" s="6"/>
      <c r="AR946" s="6"/>
      <c r="BF946" s="6"/>
      <c r="BT946" s="6"/>
      <c r="CH946" s="6"/>
    </row>
    <row r="947" ht="13.5" customHeight="1">
      <c r="P947" s="6"/>
      <c r="AD947" s="6"/>
      <c r="AR947" s="6"/>
      <c r="BF947" s="6"/>
      <c r="BT947" s="6"/>
      <c r="CH947" s="6"/>
    </row>
    <row r="948" ht="13.5" customHeight="1">
      <c r="P948" s="6"/>
      <c r="AD948" s="6"/>
      <c r="AR948" s="6"/>
      <c r="BF948" s="6"/>
      <c r="BT948" s="6"/>
      <c r="CH948" s="6"/>
    </row>
    <row r="949" ht="13.5" customHeight="1">
      <c r="P949" s="6"/>
      <c r="AD949" s="6"/>
      <c r="AR949" s="6"/>
      <c r="BF949" s="6"/>
      <c r="BT949" s="6"/>
      <c r="CH949" s="6"/>
    </row>
    <row r="950" ht="13.5" customHeight="1">
      <c r="P950" s="6"/>
      <c r="AD950" s="6"/>
      <c r="AR950" s="6"/>
      <c r="BF950" s="6"/>
      <c r="BT950" s="6"/>
      <c r="CH950" s="6"/>
    </row>
    <row r="951" ht="13.5" customHeight="1">
      <c r="P951" s="6"/>
      <c r="AD951" s="6"/>
      <c r="AR951" s="6"/>
      <c r="BF951" s="6"/>
      <c r="BT951" s="6"/>
      <c r="CH951" s="6"/>
    </row>
    <row r="952" ht="13.5" customHeight="1">
      <c r="P952" s="6"/>
      <c r="AD952" s="6"/>
      <c r="AR952" s="6"/>
      <c r="BF952" s="6"/>
      <c r="BT952" s="6"/>
      <c r="CH952" s="6"/>
    </row>
    <row r="953" ht="13.5" customHeight="1">
      <c r="P953" s="6"/>
      <c r="AD953" s="6"/>
      <c r="AR953" s="6"/>
      <c r="BF953" s="6"/>
      <c r="BT953" s="6"/>
      <c r="CH953" s="6"/>
    </row>
    <row r="954" ht="13.5" customHeight="1">
      <c r="P954" s="6"/>
      <c r="AD954" s="6"/>
      <c r="AR954" s="6"/>
      <c r="BF954" s="6"/>
      <c r="BT954" s="6"/>
      <c r="CH954" s="6"/>
    </row>
    <row r="955" ht="13.5" customHeight="1">
      <c r="P955" s="6"/>
      <c r="AD955" s="6"/>
      <c r="AR955" s="6"/>
      <c r="BF955" s="6"/>
      <c r="BT955" s="6"/>
      <c r="CH955" s="6"/>
    </row>
    <row r="956" ht="13.5" customHeight="1">
      <c r="P956" s="6"/>
      <c r="AD956" s="6"/>
      <c r="AR956" s="6"/>
      <c r="BF956" s="6"/>
      <c r="BT956" s="6"/>
      <c r="CH956" s="6"/>
    </row>
    <row r="957" ht="13.5" customHeight="1">
      <c r="P957" s="6"/>
      <c r="AD957" s="6"/>
      <c r="AR957" s="6"/>
      <c r="BF957" s="6"/>
      <c r="BT957" s="6"/>
      <c r="CH957" s="6"/>
    </row>
    <row r="958" ht="13.5" customHeight="1">
      <c r="P958" s="6"/>
      <c r="AD958" s="6"/>
      <c r="AR958" s="6"/>
      <c r="BF958" s="6"/>
      <c r="BT958" s="6"/>
      <c r="CH958" s="6"/>
    </row>
    <row r="959" ht="13.5" customHeight="1">
      <c r="P959" s="6"/>
      <c r="AD959" s="6"/>
      <c r="AR959" s="6"/>
      <c r="BF959" s="6"/>
      <c r="BT959" s="6"/>
      <c r="CH959" s="6"/>
    </row>
    <row r="960" ht="13.5" customHeight="1">
      <c r="P960" s="6"/>
      <c r="AD960" s="6"/>
      <c r="AR960" s="6"/>
      <c r="BF960" s="6"/>
      <c r="BT960" s="6"/>
      <c r="CH960" s="6"/>
    </row>
    <row r="961" ht="13.5" customHeight="1">
      <c r="P961" s="6"/>
      <c r="AD961" s="6"/>
      <c r="AR961" s="6"/>
      <c r="BF961" s="6"/>
      <c r="BT961" s="6"/>
      <c r="CH961" s="6"/>
    </row>
    <row r="962" ht="13.5" customHeight="1">
      <c r="P962" s="6"/>
      <c r="AD962" s="6"/>
      <c r="AR962" s="6"/>
      <c r="BF962" s="6"/>
      <c r="BT962" s="6"/>
      <c r="CH962" s="6"/>
    </row>
    <row r="963" ht="13.5" customHeight="1">
      <c r="P963" s="6"/>
      <c r="AD963" s="6"/>
      <c r="AR963" s="6"/>
      <c r="BF963" s="6"/>
      <c r="BT963" s="6"/>
      <c r="CH963" s="6"/>
    </row>
    <row r="964" ht="13.5" customHeight="1">
      <c r="P964" s="6"/>
      <c r="AD964" s="6"/>
      <c r="AR964" s="6"/>
      <c r="BF964" s="6"/>
      <c r="BT964" s="6"/>
      <c r="CH964" s="6"/>
    </row>
    <row r="965" ht="13.5" customHeight="1">
      <c r="P965" s="6"/>
      <c r="AD965" s="6"/>
      <c r="AR965" s="6"/>
      <c r="BF965" s="6"/>
      <c r="BT965" s="6"/>
      <c r="CH965" s="6"/>
    </row>
    <row r="966" ht="13.5" customHeight="1">
      <c r="P966" s="6"/>
      <c r="AD966" s="6"/>
      <c r="AR966" s="6"/>
      <c r="BF966" s="6"/>
      <c r="BT966" s="6"/>
      <c r="CH966" s="6"/>
    </row>
    <row r="967" ht="13.5" customHeight="1">
      <c r="P967" s="6"/>
      <c r="AD967" s="6"/>
      <c r="AR967" s="6"/>
      <c r="BF967" s="6"/>
      <c r="BT967" s="6"/>
      <c r="CH967" s="6"/>
    </row>
    <row r="968" ht="13.5" customHeight="1">
      <c r="P968" s="6"/>
      <c r="AD968" s="6"/>
      <c r="AR968" s="6"/>
      <c r="BF968" s="6"/>
      <c r="BT968" s="6"/>
      <c r="CH968" s="6"/>
    </row>
    <row r="969" ht="13.5" customHeight="1">
      <c r="P969" s="6"/>
      <c r="AD969" s="6"/>
      <c r="AR969" s="6"/>
      <c r="BF969" s="6"/>
      <c r="BT969" s="6"/>
      <c r="CH969" s="6"/>
    </row>
    <row r="970" ht="13.5" customHeight="1">
      <c r="P970" s="6"/>
      <c r="AD970" s="6"/>
      <c r="AR970" s="6"/>
      <c r="BF970" s="6"/>
      <c r="BT970" s="6"/>
      <c r="CH970" s="6"/>
    </row>
    <row r="971" ht="13.5" customHeight="1">
      <c r="P971" s="6"/>
      <c r="AD971" s="6"/>
      <c r="AR971" s="6"/>
      <c r="BF971" s="6"/>
      <c r="BT971" s="6"/>
      <c r="CH971" s="6"/>
    </row>
    <row r="972" ht="13.5" customHeight="1">
      <c r="P972" s="6"/>
      <c r="AD972" s="6"/>
      <c r="AR972" s="6"/>
      <c r="BF972" s="6"/>
      <c r="BT972" s="6"/>
      <c r="CH972" s="6"/>
    </row>
    <row r="973" ht="13.5" customHeight="1">
      <c r="P973" s="6"/>
      <c r="AD973" s="6"/>
      <c r="AR973" s="6"/>
      <c r="BF973" s="6"/>
      <c r="BT973" s="6"/>
      <c r="CH973" s="6"/>
    </row>
    <row r="974" ht="13.5" customHeight="1">
      <c r="P974" s="6"/>
      <c r="AD974" s="6"/>
      <c r="AR974" s="6"/>
      <c r="BF974" s="6"/>
      <c r="BT974" s="6"/>
      <c r="CH974" s="6"/>
    </row>
    <row r="975" ht="13.5" customHeight="1">
      <c r="P975" s="6"/>
      <c r="AD975" s="6"/>
      <c r="AR975" s="6"/>
      <c r="BF975" s="6"/>
      <c r="BT975" s="6"/>
      <c r="CH975" s="6"/>
    </row>
    <row r="976" ht="13.5" customHeight="1">
      <c r="P976" s="6"/>
      <c r="AD976" s="6"/>
      <c r="AR976" s="6"/>
      <c r="BF976" s="6"/>
      <c r="BT976" s="6"/>
      <c r="CH976" s="6"/>
    </row>
    <row r="977" ht="13.5" customHeight="1">
      <c r="P977" s="6"/>
      <c r="AD977" s="6"/>
      <c r="AR977" s="6"/>
      <c r="BF977" s="6"/>
      <c r="BT977" s="6"/>
      <c r="CH977" s="6"/>
    </row>
    <row r="978" ht="13.5" customHeight="1">
      <c r="P978" s="6"/>
      <c r="AD978" s="6"/>
      <c r="AR978" s="6"/>
      <c r="BF978" s="6"/>
      <c r="BT978" s="6"/>
      <c r="CH978" s="6"/>
    </row>
    <row r="979" ht="13.5" customHeight="1">
      <c r="P979" s="6"/>
      <c r="AD979" s="6"/>
      <c r="AR979" s="6"/>
      <c r="BF979" s="6"/>
      <c r="BT979" s="6"/>
      <c r="CH979" s="6"/>
    </row>
    <row r="980" ht="13.5" customHeight="1">
      <c r="P980" s="6"/>
      <c r="AD980" s="6"/>
      <c r="AR980" s="6"/>
      <c r="BF980" s="6"/>
      <c r="BT980" s="6"/>
      <c r="CH980" s="6"/>
    </row>
    <row r="981" ht="13.5" customHeight="1">
      <c r="P981" s="6"/>
      <c r="AD981" s="6"/>
      <c r="AR981" s="6"/>
      <c r="BF981" s="6"/>
      <c r="BT981" s="6"/>
      <c r="CH981" s="6"/>
    </row>
    <row r="982" ht="13.5" customHeight="1">
      <c r="P982" s="6"/>
      <c r="AD982" s="6"/>
      <c r="AR982" s="6"/>
      <c r="BF982" s="6"/>
      <c r="BT982" s="6"/>
      <c r="CH982" s="6"/>
    </row>
    <row r="983" ht="13.5" customHeight="1">
      <c r="P983" s="6"/>
      <c r="AD983" s="6"/>
      <c r="AR983" s="6"/>
      <c r="BF983" s="6"/>
      <c r="BT983" s="6"/>
      <c r="CH983" s="6"/>
    </row>
    <row r="984" ht="13.5" customHeight="1">
      <c r="P984" s="6"/>
      <c r="AD984" s="6"/>
      <c r="AR984" s="6"/>
      <c r="BF984" s="6"/>
      <c r="BT984" s="6"/>
      <c r="CH984" s="6"/>
    </row>
    <row r="985" ht="13.5" customHeight="1">
      <c r="P985" s="6"/>
      <c r="AD985" s="6"/>
      <c r="AR985" s="6"/>
      <c r="BF985" s="6"/>
      <c r="BT985" s="6"/>
      <c r="CH985" s="6"/>
    </row>
    <row r="986" ht="13.5" customHeight="1">
      <c r="P986" s="6"/>
      <c r="AD986" s="6"/>
      <c r="AR986" s="6"/>
      <c r="BF986" s="6"/>
      <c r="BT986" s="6"/>
      <c r="CH986" s="6"/>
    </row>
    <row r="987" ht="13.5" customHeight="1">
      <c r="P987" s="6"/>
      <c r="AD987" s="6"/>
      <c r="AR987" s="6"/>
      <c r="BF987" s="6"/>
      <c r="BT987" s="6"/>
      <c r="CH987" s="6"/>
    </row>
    <row r="988" ht="13.5" customHeight="1">
      <c r="P988" s="6"/>
      <c r="AD988" s="6"/>
      <c r="AR988" s="6"/>
      <c r="BF988" s="6"/>
      <c r="BT988" s="6"/>
      <c r="CH988" s="6"/>
    </row>
    <row r="989" ht="13.5" customHeight="1">
      <c r="P989" s="6"/>
      <c r="AD989" s="6"/>
      <c r="AR989" s="6"/>
      <c r="BF989" s="6"/>
      <c r="BT989" s="6"/>
      <c r="CH989" s="6"/>
    </row>
    <row r="990" ht="13.5" customHeight="1">
      <c r="P990" s="6"/>
      <c r="AD990" s="6"/>
      <c r="AR990" s="6"/>
      <c r="BF990" s="6"/>
      <c r="BT990" s="6"/>
      <c r="CH990" s="6"/>
    </row>
    <row r="991" ht="13.5" customHeight="1">
      <c r="P991" s="6"/>
      <c r="AD991" s="6"/>
      <c r="AR991" s="6"/>
      <c r="BF991" s="6"/>
      <c r="BT991" s="6"/>
      <c r="CH991" s="6"/>
    </row>
    <row r="992" ht="13.5" customHeight="1">
      <c r="P992" s="6"/>
      <c r="AD992" s="6"/>
      <c r="AR992" s="6"/>
      <c r="BF992" s="6"/>
      <c r="BT992" s="6"/>
      <c r="CH992" s="6"/>
    </row>
    <row r="993" ht="13.5" customHeight="1">
      <c r="P993" s="6"/>
      <c r="AD993" s="6"/>
      <c r="AR993" s="6"/>
      <c r="BF993" s="6"/>
      <c r="BT993" s="6"/>
      <c r="CH993" s="6"/>
    </row>
    <row r="994" ht="13.5" customHeight="1">
      <c r="P994" s="6"/>
      <c r="AD994" s="6"/>
      <c r="AR994" s="6"/>
      <c r="BF994" s="6"/>
      <c r="BT994" s="6"/>
      <c r="CH994" s="6"/>
    </row>
    <row r="995" ht="13.5" customHeight="1">
      <c r="P995" s="6"/>
      <c r="AD995" s="6"/>
      <c r="AR995" s="6"/>
      <c r="BF995" s="6"/>
      <c r="BT995" s="6"/>
      <c r="CH995" s="6"/>
    </row>
    <row r="996" ht="13.5" customHeight="1">
      <c r="P996" s="6"/>
      <c r="AD996" s="6"/>
      <c r="AR996" s="6"/>
      <c r="BF996" s="6"/>
      <c r="BT996" s="6"/>
      <c r="CH996" s="6"/>
    </row>
    <row r="997" ht="13.5" customHeight="1">
      <c r="P997" s="6"/>
      <c r="AD997" s="6"/>
      <c r="AR997" s="6"/>
      <c r="BF997" s="6"/>
      <c r="BT997" s="6"/>
      <c r="CH997" s="6"/>
    </row>
    <row r="998" ht="13.5" customHeight="1">
      <c r="P998" s="6"/>
      <c r="AD998" s="6"/>
      <c r="AR998" s="6"/>
      <c r="BF998" s="6"/>
      <c r="BT998" s="6"/>
      <c r="CH998" s="6"/>
    </row>
    <row r="999" ht="13.5" customHeight="1">
      <c r="P999" s="6"/>
      <c r="AD999" s="6"/>
      <c r="AR999" s="6"/>
      <c r="BF999" s="6"/>
      <c r="BT999" s="6"/>
      <c r="CH999" s="6"/>
    </row>
    <row r="1000" ht="13.5" customHeight="1">
      <c r="P1000" s="6"/>
      <c r="AD1000" s="6"/>
      <c r="AR1000" s="6"/>
      <c r="BF1000" s="6"/>
      <c r="BT1000" s="6"/>
      <c r="CH1000" s="6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0DD"/>
    <pageSetUpPr/>
  </sheetPr>
  <sheetViews>
    <sheetView workbookViewId="0"/>
  </sheetViews>
  <sheetFormatPr customHeight="1" defaultColWidth="12.63" defaultRowHeight="15.0" outlineLevelCol="1"/>
  <cols>
    <col customWidth="1" min="1" max="1" width="8.63"/>
    <col customWidth="1" min="2" max="2" width="21.0"/>
    <col customWidth="1" min="3" max="3" width="18.63"/>
    <col customWidth="1" min="4" max="15" width="12.88" outlineLevel="1"/>
    <col customWidth="1" min="16" max="16" width="12.88"/>
    <col customWidth="1" min="17" max="17" width="1.63"/>
    <col customWidth="1" min="18" max="29" width="12.88" outlineLevel="1"/>
    <col customWidth="1" min="30" max="30" width="12.88"/>
    <col customWidth="1" min="31" max="31" width="1.13"/>
    <col customWidth="1" min="32" max="43" width="12.88" outlineLevel="1"/>
    <col customWidth="1" min="44" max="44" width="12.88"/>
    <col customWidth="1" min="45" max="45" width="1.13"/>
    <col customWidth="1" min="46" max="57" width="12.88" outlineLevel="1"/>
    <col customWidth="1" min="58" max="58" width="12.88"/>
    <col customWidth="1" min="59" max="59" width="1.13"/>
    <col customWidth="1" min="60" max="71" width="12.88" outlineLevel="1"/>
    <col customWidth="1" min="72" max="72" width="12.88"/>
    <col customWidth="1" min="73" max="73" width="1.5"/>
    <col customWidth="1" min="74" max="85" width="12.88" outlineLevel="1"/>
    <col customWidth="1" min="86" max="86" width="12.88"/>
    <col customWidth="1" min="87" max="87" width="1.13"/>
  </cols>
  <sheetData>
    <row r="1" ht="20.25" customHeight="1">
      <c r="B1" s="2" t="s">
        <v>0</v>
      </c>
      <c r="C1" s="2"/>
      <c r="D1" s="3" t="str">
        <f>+COMP</f>
        <v>ZHY</v>
      </c>
      <c r="E1" s="3" t="str">
        <f>+COMP</f>
        <v>ZHY</v>
      </c>
      <c r="F1" s="3" t="str">
        <f>+COMP</f>
        <v>ZHY</v>
      </c>
      <c r="G1" s="3" t="str">
        <f>+COMP</f>
        <v>ZHY</v>
      </c>
      <c r="H1" s="3" t="str">
        <f>+COMP</f>
        <v>ZHY</v>
      </c>
      <c r="I1" s="3" t="str">
        <f>+COMP</f>
        <v>ZHY</v>
      </c>
      <c r="J1" s="3" t="str">
        <f>+COMP</f>
        <v>ZHY</v>
      </c>
      <c r="K1" s="3" t="str">
        <f>+COMP</f>
        <v>ZHY</v>
      </c>
      <c r="L1" s="3" t="str">
        <f>+COMP</f>
        <v>ZHY</v>
      </c>
      <c r="M1" s="3" t="str">
        <f>+COMP</f>
        <v>ZHY</v>
      </c>
      <c r="N1" s="3" t="str">
        <f>+COMP</f>
        <v>ZHY</v>
      </c>
      <c r="O1" s="3" t="str">
        <f>+COMP</f>
        <v>ZHY</v>
      </c>
      <c r="P1" s="4" t="str">
        <f>+COMP</f>
        <v>ZHY</v>
      </c>
      <c r="R1" s="3" t="str">
        <f>+COMP</f>
        <v>ZHY</v>
      </c>
      <c r="S1" s="3" t="str">
        <f>+COMP</f>
        <v>ZHY</v>
      </c>
      <c r="T1" s="3" t="str">
        <f>+COMP</f>
        <v>ZHY</v>
      </c>
      <c r="U1" s="3" t="str">
        <f>+COMP</f>
        <v>ZHY</v>
      </c>
      <c r="V1" s="3" t="str">
        <f>+COMP</f>
        <v>ZHY</v>
      </c>
      <c r="W1" s="3" t="str">
        <f>+COMP</f>
        <v>ZHY</v>
      </c>
      <c r="X1" s="3" t="str">
        <f>+COMP</f>
        <v>ZHY</v>
      </c>
      <c r="Y1" s="3" t="str">
        <f>+COMP</f>
        <v>ZHY</v>
      </c>
      <c r="Z1" s="3" t="str">
        <f>+COMP</f>
        <v>ZHY</v>
      </c>
      <c r="AA1" s="3" t="str">
        <f>+COMP</f>
        <v>ZHY</v>
      </c>
      <c r="AB1" s="3" t="str">
        <f>+COMP</f>
        <v>ZHY</v>
      </c>
      <c r="AC1" s="3" t="str">
        <f>+COMP</f>
        <v>ZHY</v>
      </c>
      <c r="AD1" s="4" t="str">
        <f>+COMP</f>
        <v>ZHY</v>
      </c>
      <c r="AF1" s="3" t="str">
        <f>+COMP</f>
        <v>ZHY</v>
      </c>
      <c r="AG1" s="3" t="str">
        <f>+COMP</f>
        <v>ZHY</v>
      </c>
      <c r="AH1" s="3" t="str">
        <f>+COMP</f>
        <v>ZHY</v>
      </c>
      <c r="AI1" s="3" t="str">
        <f>+COMP</f>
        <v>ZHY</v>
      </c>
      <c r="AJ1" s="3" t="str">
        <f>+COMP</f>
        <v>ZHY</v>
      </c>
      <c r="AK1" s="3" t="str">
        <f>+COMP</f>
        <v>ZHY</v>
      </c>
      <c r="AL1" s="3" t="str">
        <f>+COMP</f>
        <v>ZHY</v>
      </c>
      <c r="AM1" s="3" t="str">
        <f>+COMP</f>
        <v>ZHY</v>
      </c>
      <c r="AN1" s="3" t="str">
        <f>+COMP</f>
        <v>ZHY</v>
      </c>
      <c r="AO1" s="3" t="str">
        <f>+COMP</f>
        <v>ZHY</v>
      </c>
      <c r="AP1" s="3" t="str">
        <f>+COMP</f>
        <v>ZHY</v>
      </c>
      <c r="AQ1" s="3" t="str">
        <f>+COMP</f>
        <v>ZHY</v>
      </c>
      <c r="AR1" s="4" t="str">
        <f>+COMP</f>
        <v>ZHY</v>
      </c>
      <c r="AT1" s="3" t="str">
        <f>+COMP</f>
        <v>ZHY</v>
      </c>
      <c r="AU1" s="3" t="str">
        <f>+COMP</f>
        <v>ZHY</v>
      </c>
      <c r="AV1" s="3" t="str">
        <f>+COMP</f>
        <v>ZHY</v>
      </c>
      <c r="AW1" s="3" t="str">
        <f>+COMP</f>
        <v>ZHY</v>
      </c>
      <c r="AX1" s="3" t="str">
        <f>+COMP</f>
        <v>ZHY</v>
      </c>
      <c r="AY1" s="3" t="str">
        <f>+COMP</f>
        <v>ZHY</v>
      </c>
      <c r="AZ1" s="3" t="str">
        <f>+COMP</f>
        <v>ZHY</v>
      </c>
      <c r="BA1" s="3" t="str">
        <f>+COMP</f>
        <v>ZHY</v>
      </c>
      <c r="BB1" s="3" t="str">
        <f>+COMP</f>
        <v>ZHY</v>
      </c>
      <c r="BC1" s="3" t="str">
        <f>+COMP</f>
        <v>ZHY</v>
      </c>
      <c r="BD1" s="3" t="str">
        <f>+COMP</f>
        <v>ZHY</v>
      </c>
      <c r="BE1" s="3" t="str">
        <f>+COMP</f>
        <v>ZHY</v>
      </c>
      <c r="BF1" s="4" t="str">
        <f>+COMP</f>
        <v>ZHY</v>
      </c>
      <c r="BH1" s="3" t="str">
        <f>+COMP</f>
        <v>ZHY</v>
      </c>
      <c r="BI1" s="3" t="str">
        <f>+COMP</f>
        <v>ZHY</v>
      </c>
      <c r="BJ1" s="3" t="str">
        <f>+COMP</f>
        <v>ZHY</v>
      </c>
      <c r="BK1" s="3" t="str">
        <f>+COMP</f>
        <v>ZHY</v>
      </c>
      <c r="BL1" s="3" t="str">
        <f>+COMP</f>
        <v>ZHY</v>
      </c>
      <c r="BM1" s="3" t="str">
        <f>+COMP</f>
        <v>ZHY</v>
      </c>
      <c r="BN1" s="3" t="str">
        <f>+COMP</f>
        <v>ZHY</v>
      </c>
      <c r="BO1" s="3" t="str">
        <f>+COMP</f>
        <v>ZHY</v>
      </c>
      <c r="BP1" s="3" t="str">
        <f>+COMP</f>
        <v>ZHY</v>
      </c>
      <c r="BQ1" s="3" t="str">
        <f>+COMP</f>
        <v>ZHY</v>
      </c>
      <c r="BR1" s="3" t="str">
        <f>+COMP</f>
        <v>ZHY</v>
      </c>
      <c r="BS1" s="3" t="str">
        <f>+COMP</f>
        <v>ZHY</v>
      </c>
      <c r="BT1" s="4" t="str">
        <f>+COMP</f>
        <v>ZHY</v>
      </c>
      <c r="BV1" s="3" t="str">
        <f>+COMP</f>
        <v>ZHY</v>
      </c>
      <c r="BW1" s="3" t="str">
        <f>+COMP</f>
        <v>ZHY</v>
      </c>
      <c r="BX1" s="3" t="str">
        <f>+COMP</f>
        <v>ZHY</v>
      </c>
      <c r="BY1" s="3" t="str">
        <f>+COMP</f>
        <v>ZHY</v>
      </c>
      <c r="BZ1" s="3" t="str">
        <f>+COMP</f>
        <v>ZHY</v>
      </c>
      <c r="CA1" s="3" t="str">
        <f>+COMP</f>
        <v>ZHY</v>
      </c>
      <c r="CB1" s="3" t="str">
        <f>+COMP</f>
        <v>ZHY</v>
      </c>
      <c r="CC1" s="3" t="str">
        <f>+COMP</f>
        <v>ZHY</v>
      </c>
      <c r="CD1" s="3" t="str">
        <f>+COMP</f>
        <v>ZHY</v>
      </c>
      <c r="CE1" s="3" t="str">
        <f>+COMP</f>
        <v>ZHY</v>
      </c>
      <c r="CF1" s="3" t="str">
        <f>+COMP</f>
        <v>ZHY</v>
      </c>
      <c r="CG1" s="3" t="str">
        <f>+COMP</f>
        <v>ZHY</v>
      </c>
      <c r="CH1" s="4" t="str">
        <f>+COMP</f>
        <v>ZHY</v>
      </c>
    </row>
    <row r="2" ht="20.25" customHeight="1">
      <c r="B2" s="2" t="s">
        <v>1</v>
      </c>
      <c r="C2" s="2"/>
      <c r="D2" s="3">
        <f>+YEAR</f>
        <v>2025</v>
      </c>
      <c r="E2" s="3">
        <f>+YEAR</f>
        <v>2025</v>
      </c>
      <c r="F2" s="3">
        <f>+YEAR</f>
        <v>2025</v>
      </c>
      <c r="G2" s="3">
        <f>+YEAR</f>
        <v>2025</v>
      </c>
      <c r="H2" s="3">
        <f>+YEAR</f>
        <v>2025</v>
      </c>
      <c r="I2" s="3">
        <f>+YEAR</f>
        <v>2025</v>
      </c>
      <c r="J2" s="3">
        <f>+YEAR</f>
        <v>2025</v>
      </c>
      <c r="K2" s="3">
        <f>+YEAR</f>
        <v>2025</v>
      </c>
      <c r="L2" s="3">
        <f>+YEAR</f>
        <v>2025</v>
      </c>
      <c r="M2" s="3">
        <f>+YEAR</f>
        <v>2025</v>
      </c>
      <c r="N2" s="3">
        <f>+YEAR</f>
        <v>2025</v>
      </c>
      <c r="O2" s="3">
        <f>+YEAR</f>
        <v>2025</v>
      </c>
      <c r="P2" s="4">
        <f>+YEAR</f>
        <v>2025</v>
      </c>
      <c r="R2" s="3">
        <f>+YEAR_1</f>
        <v>2026</v>
      </c>
      <c r="S2" s="3">
        <f>+YEAR_1</f>
        <v>2026</v>
      </c>
      <c r="T2" s="3">
        <f>+YEAR_1</f>
        <v>2026</v>
      </c>
      <c r="U2" s="3">
        <f>+YEAR_1</f>
        <v>2026</v>
      </c>
      <c r="V2" s="3">
        <f>+YEAR_1</f>
        <v>2026</v>
      </c>
      <c r="W2" s="3">
        <f>+YEAR_1</f>
        <v>2026</v>
      </c>
      <c r="X2" s="3">
        <f>+YEAR_1</f>
        <v>2026</v>
      </c>
      <c r="Y2" s="3">
        <f>+YEAR_1</f>
        <v>2026</v>
      </c>
      <c r="Z2" s="3">
        <f>+YEAR_1</f>
        <v>2026</v>
      </c>
      <c r="AA2" s="3">
        <f>+YEAR_1</f>
        <v>2026</v>
      </c>
      <c r="AB2" s="3">
        <f>+YEAR_1</f>
        <v>2026</v>
      </c>
      <c r="AC2" s="3">
        <f>+YEAR_1</f>
        <v>2026</v>
      </c>
      <c r="AD2" s="4">
        <f>+YEAR+1</f>
        <v>2026</v>
      </c>
      <c r="AF2" s="3">
        <f>+YEAR_2</f>
        <v>2027</v>
      </c>
      <c r="AG2" s="3">
        <f>+YEAR_2</f>
        <v>2027</v>
      </c>
      <c r="AH2" s="3">
        <f>+YEAR_2</f>
        <v>2027</v>
      </c>
      <c r="AI2" s="3">
        <f>+YEAR_2</f>
        <v>2027</v>
      </c>
      <c r="AJ2" s="3">
        <f>+YEAR_2</f>
        <v>2027</v>
      </c>
      <c r="AK2" s="3">
        <f>+YEAR_2</f>
        <v>2027</v>
      </c>
      <c r="AL2" s="3">
        <f>+YEAR_2</f>
        <v>2027</v>
      </c>
      <c r="AM2" s="3">
        <f>+YEAR_2</f>
        <v>2027</v>
      </c>
      <c r="AN2" s="3">
        <f>+YEAR_2</f>
        <v>2027</v>
      </c>
      <c r="AO2" s="3">
        <f>+YEAR_2</f>
        <v>2027</v>
      </c>
      <c r="AP2" s="3">
        <f>+YEAR_2</f>
        <v>2027</v>
      </c>
      <c r="AQ2" s="3">
        <f>+YEAR_2</f>
        <v>2027</v>
      </c>
      <c r="AR2" s="4">
        <f>+YEAR+2</f>
        <v>2027</v>
      </c>
      <c r="AT2" s="3">
        <f>+YEAR_3</f>
        <v>2028</v>
      </c>
      <c r="AU2" s="3">
        <f>+YEAR_3</f>
        <v>2028</v>
      </c>
      <c r="AV2" s="3">
        <f>+YEAR_3</f>
        <v>2028</v>
      </c>
      <c r="AW2" s="3">
        <f>+YEAR_3</f>
        <v>2028</v>
      </c>
      <c r="AX2" s="3">
        <f>+YEAR_3</f>
        <v>2028</v>
      </c>
      <c r="AY2" s="3">
        <f>+YEAR_3</f>
        <v>2028</v>
      </c>
      <c r="AZ2" s="3">
        <f>+YEAR_3</f>
        <v>2028</v>
      </c>
      <c r="BA2" s="3">
        <f>+YEAR_3</f>
        <v>2028</v>
      </c>
      <c r="BB2" s="3">
        <f>+YEAR_3</f>
        <v>2028</v>
      </c>
      <c r="BC2" s="3">
        <f>+YEAR_3</f>
        <v>2028</v>
      </c>
      <c r="BD2" s="3">
        <f>+YEAR_3</f>
        <v>2028</v>
      </c>
      <c r="BE2" s="3">
        <f>+YEAR_3</f>
        <v>2028</v>
      </c>
      <c r="BF2" s="4">
        <f>+YEAR+3</f>
        <v>2028</v>
      </c>
      <c r="BH2" s="3">
        <f>+YEAR_4</f>
        <v>2029</v>
      </c>
      <c r="BI2" s="3">
        <f>+YEAR_4</f>
        <v>2029</v>
      </c>
      <c r="BJ2" s="3">
        <f>+YEAR_4</f>
        <v>2029</v>
      </c>
      <c r="BK2" s="3">
        <f>+YEAR_4</f>
        <v>2029</v>
      </c>
      <c r="BL2" s="3">
        <f>+YEAR_4</f>
        <v>2029</v>
      </c>
      <c r="BM2" s="3">
        <f>+YEAR_4</f>
        <v>2029</v>
      </c>
      <c r="BN2" s="3">
        <f>+YEAR_4</f>
        <v>2029</v>
      </c>
      <c r="BO2" s="3">
        <f>+YEAR_4</f>
        <v>2029</v>
      </c>
      <c r="BP2" s="3">
        <f>+YEAR_4</f>
        <v>2029</v>
      </c>
      <c r="BQ2" s="3">
        <f>+YEAR_4</f>
        <v>2029</v>
      </c>
      <c r="BR2" s="3">
        <f>+YEAR_4</f>
        <v>2029</v>
      </c>
      <c r="BS2" s="3">
        <f>+YEAR_4</f>
        <v>2029</v>
      </c>
      <c r="BT2" s="4">
        <f>+YEAR+4</f>
        <v>2029</v>
      </c>
      <c r="BV2" s="3">
        <f>+YEAR_5</f>
        <v>2030</v>
      </c>
      <c r="BW2" s="3">
        <f>+YEAR_5</f>
        <v>2030</v>
      </c>
      <c r="BX2" s="3">
        <f>+YEAR_5</f>
        <v>2030</v>
      </c>
      <c r="BY2" s="3">
        <f>+YEAR_5</f>
        <v>2030</v>
      </c>
      <c r="BZ2" s="3">
        <f>+YEAR_5</f>
        <v>2030</v>
      </c>
      <c r="CA2" s="3">
        <f>+YEAR_5</f>
        <v>2030</v>
      </c>
      <c r="CB2" s="3">
        <f>+YEAR_5</f>
        <v>2030</v>
      </c>
      <c r="CC2" s="3">
        <f>+YEAR_5</f>
        <v>2030</v>
      </c>
      <c r="CD2" s="3">
        <f>+YEAR_5</f>
        <v>2030</v>
      </c>
      <c r="CE2" s="3">
        <f>+YEAR_5</f>
        <v>2030</v>
      </c>
      <c r="CF2" s="3">
        <f>+YEAR_5</f>
        <v>2030</v>
      </c>
      <c r="CG2" s="3">
        <f>+YEAR_5</f>
        <v>2030</v>
      </c>
      <c r="CH2" s="4">
        <f>+YEAR+5</f>
        <v>2030</v>
      </c>
    </row>
    <row r="3" ht="20.25" customHeight="1">
      <c r="B3" s="2" t="s">
        <v>2</v>
      </c>
      <c r="C3" s="2"/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4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4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4" t="s">
        <v>3</v>
      </c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4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4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4" t="s">
        <v>3</v>
      </c>
    </row>
    <row r="4" ht="20.25" customHeight="1">
      <c r="B4" s="2" t="s">
        <v>4</v>
      </c>
      <c r="C4" s="2"/>
      <c r="D4" s="3">
        <v>1.0</v>
      </c>
      <c r="E4" s="3">
        <f t="shared" ref="E4:O4" si="1">+D4+1</f>
        <v>2</v>
      </c>
      <c r="F4" s="3">
        <f t="shared" si="1"/>
        <v>3</v>
      </c>
      <c r="G4" s="3">
        <f t="shared" si="1"/>
        <v>4</v>
      </c>
      <c r="H4" s="3">
        <f t="shared" si="1"/>
        <v>5</v>
      </c>
      <c r="I4" s="3">
        <f t="shared" si="1"/>
        <v>6</v>
      </c>
      <c r="J4" s="3">
        <f t="shared" si="1"/>
        <v>7</v>
      </c>
      <c r="K4" s="3">
        <f t="shared" si="1"/>
        <v>8</v>
      </c>
      <c r="L4" s="3">
        <f t="shared" si="1"/>
        <v>9</v>
      </c>
      <c r="M4" s="3">
        <f t="shared" si="1"/>
        <v>10</v>
      </c>
      <c r="N4" s="3">
        <f t="shared" si="1"/>
        <v>11</v>
      </c>
      <c r="O4" s="3">
        <f t="shared" si="1"/>
        <v>12</v>
      </c>
      <c r="P4" s="4" t="s">
        <v>5</v>
      </c>
      <c r="R4" s="3">
        <v>1.0</v>
      </c>
      <c r="S4" s="3">
        <f t="shared" ref="S4:AC4" si="2">+R4+1</f>
        <v>2</v>
      </c>
      <c r="T4" s="3">
        <f t="shared" si="2"/>
        <v>3</v>
      </c>
      <c r="U4" s="3">
        <f t="shared" si="2"/>
        <v>4</v>
      </c>
      <c r="V4" s="3">
        <f t="shared" si="2"/>
        <v>5</v>
      </c>
      <c r="W4" s="3">
        <f t="shared" si="2"/>
        <v>6</v>
      </c>
      <c r="X4" s="3">
        <f t="shared" si="2"/>
        <v>7</v>
      </c>
      <c r="Y4" s="3">
        <f t="shared" si="2"/>
        <v>8</v>
      </c>
      <c r="Z4" s="3">
        <f t="shared" si="2"/>
        <v>9</v>
      </c>
      <c r="AA4" s="3">
        <f t="shared" si="2"/>
        <v>10</v>
      </c>
      <c r="AB4" s="3">
        <f t="shared" si="2"/>
        <v>11</v>
      </c>
      <c r="AC4" s="3">
        <f t="shared" si="2"/>
        <v>12</v>
      </c>
      <c r="AD4" s="4" t="s">
        <v>5</v>
      </c>
      <c r="AF4" s="3">
        <v>1.0</v>
      </c>
      <c r="AG4" s="3">
        <f t="shared" ref="AG4:AQ4" si="3">+AF4+1</f>
        <v>2</v>
      </c>
      <c r="AH4" s="3">
        <f t="shared" si="3"/>
        <v>3</v>
      </c>
      <c r="AI4" s="3">
        <f t="shared" si="3"/>
        <v>4</v>
      </c>
      <c r="AJ4" s="3">
        <f t="shared" si="3"/>
        <v>5</v>
      </c>
      <c r="AK4" s="3">
        <f t="shared" si="3"/>
        <v>6</v>
      </c>
      <c r="AL4" s="3">
        <f t="shared" si="3"/>
        <v>7</v>
      </c>
      <c r="AM4" s="3">
        <f t="shared" si="3"/>
        <v>8</v>
      </c>
      <c r="AN4" s="3">
        <f t="shared" si="3"/>
        <v>9</v>
      </c>
      <c r="AO4" s="3">
        <f t="shared" si="3"/>
        <v>10</v>
      </c>
      <c r="AP4" s="3">
        <f t="shared" si="3"/>
        <v>11</v>
      </c>
      <c r="AQ4" s="3">
        <f t="shared" si="3"/>
        <v>12</v>
      </c>
      <c r="AR4" s="4" t="s">
        <v>5</v>
      </c>
      <c r="AT4" s="3">
        <v>1.0</v>
      </c>
      <c r="AU4" s="3">
        <f t="shared" ref="AU4:BE4" si="4">+AT4+1</f>
        <v>2</v>
      </c>
      <c r="AV4" s="3">
        <f t="shared" si="4"/>
        <v>3</v>
      </c>
      <c r="AW4" s="3">
        <f t="shared" si="4"/>
        <v>4</v>
      </c>
      <c r="AX4" s="3">
        <f t="shared" si="4"/>
        <v>5</v>
      </c>
      <c r="AY4" s="3">
        <f t="shared" si="4"/>
        <v>6</v>
      </c>
      <c r="AZ4" s="3">
        <f t="shared" si="4"/>
        <v>7</v>
      </c>
      <c r="BA4" s="3">
        <f t="shared" si="4"/>
        <v>8</v>
      </c>
      <c r="BB4" s="3">
        <f t="shared" si="4"/>
        <v>9</v>
      </c>
      <c r="BC4" s="3">
        <f t="shared" si="4"/>
        <v>10</v>
      </c>
      <c r="BD4" s="3">
        <f t="shared" si="4"/>
        <v>11</v>
      </c>
      <c r="BE4" s="3">
        <f t="shared" si="4"/>
        <v>12</v>
      </c>
      <c r="BF4" s="4" t="s">
        <v>5</v>
      </c>
      <c r="BH4" s="3">
        <v>1.0</v>
      </c>
      <c r="BI4" s="3">
        <f t="shared" ref="BI4:BS4" si="5">+BH4+1</f>
        <v>2</v>
      </c>
      <c r="BJ4" s="3">
        <f t="shared" si="5"/>
        <v>3</v>
      </c>
      <c r="BK4" s="3">
        <f t="shared" si="5"/>
        <v>4</v>
      </c>
      <c r="BL4" s="3">
        <f t="shared" si="5"/>
        <v>5</v>
      </c>
      <c r="BM4" s="3">
        <f t="shared" si="5"/>
        <v>6</v>
      </c>
      <c r="BN4" s="3">
        <f t="shared" si="5"/>
        <v>7</v>
      </c>
      <c r="BO4" s="3">
        <f t="shared" si="5"/>
        <v>8</v>
      </c>
      <c r="BP4" s="3">
        <f t="shared" si="5"/>
        <v>9</v>
      </c>
      <c r="BQ4" s="3">
        <f t="shared" si="5"/>
        <v>10</v>
      </c>
      <c r="BR4" s="3">
        <f t="shared" si="5"/>
        <v>11</v>
      </c>
      <c r="BS4" s="3">
        <f t="shared" si="5"/>
        <v>12</v>
      </c>
      <c r="BT4" s="4" t="s">
        <v>5</v>
      </c>
      <c r="BV4" s="3">
        <v>1.0</v>
      </c>
      <c r="BW4" s="3">
        <f t="shared" ref="BW4:CF4" si="6">+BV4+1</f>
        <v>2</v>
      </c>
      <c r="BX4" s="3">
        <f t="shared" si="6"/>
        <v>3</v>
      </c>
      <c r="BY4" s="3">
        <f t="shared" si="6"/>
        <v>4</v>
      </c>
      <c r="BZ4" s="3">
        <f t="shared" si="6"/>
        <v>5</v>
      </c>
      <c r="CA4" s="3">
        <f t="shared" si="6"/>
        <v>6</v>
      </c>
      <c r="CB4" s="3">
        <f t="shared" si="6"/>
        <v>7</v>
      </c>
      <c r="CC4" s="3">
        <f t="shared" si="6"/>
        <v>8</v>
      </c>
      <c r="CD4" s="3">
        <f t="shared" si="6"/>
        <v>9</v>
      </c>
      <c r="CE4" s="3">
        <f t="shared" si="6"/>
        <v>10</v>
      </c>
      <c r="CF4" s="3">
        <f t="shared" si="6"/>
        <v>11</v>
      </c>
      <c r="CG4" s="3">
        <f>+CE4+1</f>
        <v>11</v>
      </c>
      <c r="CH4" s="4" t="s">
        <v>5</v>
      </c>
    </row>
    <row r="5" ht="20.25" customHeight="1">
      <c r="B5" s="2" t="s">
        <v>6</v>
      </c>
      <c r="C5" s="2"/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9</v>
      </c>
      <c r="K5" s="3" t="s">
        <v>9</v>
      </c>
      <c r="L5" s="3" t="s">
        <v>9</v>
      </c>
      <c r="M5" s="3" t="s">
        <v>10</v>
      </c>
      <c r="N5" s="3" t="s">
        <v>10</v>
      </c>
      <c r="O5" s="3" t="s">
        <v>10</v>
      </c>
      <c r="P5" s="4"/>
      <c r="R5" s="3" t="s">
        <v>7</v>
      </c>
      <c r="S5" s="3" t="s">
        <v>7</v>
      </c>
      <c r="T5" s="3" t="s">
        <v>7</v>
      </c>
      <c r="U5" s="3" t="s">
        <v>8</v>
      </c>
      <c r="V5" s="3" t="s">
        <v>8</v>
      </c>
      <c r="W5" s="3" t="s">
        <v>8</v>
      </c>
      <c r="X5" s="3" t="s">
        <v>9</v>
      </c>
      <c r="Y5" s="3" t="s">
        <v>9</v>
      </c>
      <c r="Z5" s="3" t="s">
        <v>9</v>
      </c>
      <c r="AA5" s="3" t="s">
        <v>10</v>
      </c>
      <c r="AB5" s="3" t="s">
        <v>10</v>
      </c>
      <c r="AC5" s="3" t="s">
        <v>10</v>
      </c>
      <c r="AD5" s="4"/>
      <c r="AF5" s="3" t="s">
        <v>7</v>
      </c>
      <c r="AG5" s="3" t="s">
        <v>7</v>
      </c>
      <c r="AH5" s="3" t="s">
        <v>7</v>
      </c>
      <c r="AI5" s="3" t="s">
        <v>8</v>
      </c>
      <c r="AJ5" s="3" t="s">
        <v>8</v>
      </c>
      <c r="AK5" s="3" t="s">
        <v>8</v>
      </c>
      <c r="AL5" s="3" t="s">
        <v>9</v>
      </c>
      <c r="AM5" s="3" t="s">
        <v>9</v>
      </c>
      <c r="AN5" s="3" t="s">
        <v>9</v>
      </c>
      <c r="AO5" s="3" t="s">
        <v>10</v>
      </c>
      <c r="AP5" s="3" t="s">
        <v>10</v>
      </c>
      <c r="AQ5" s="3" t="s">
        <v>10</v>
      </c>
      <c r="AR5" s="4"/>
      <c r="AT5" s="3" t="s">
        <v>7</v>
      </c>
      <c r="AU5" s="3" t="s">
        <v>7</v>
      </c>
      <c r="AV5" s="3" t="s">
        <v>7</v>
      </c>
      <c r="AW5" s="3" t="s">
        <v>8</v>
      </c>
      <c r="AX5" s="3" t="s">
        <v>8</v>
      </c>
      <c r="AY5" s="3" t="s">
        <v>8</v>
      </c>
      <c r="AZ5" s="3" t="s">
        <v>9</v>
      </c>
      <c r="BA5" s="3" t="s">
        <v>9</v>
      </c>
      <c r="BB5" s="3" t="s">
        <v>9</v>
      </c>
      <c r="BC5" s="3" t="s">
        <v>10</v>
      </c>
      <c r="BD5" s="3" t="s">
        <v>10</v>
      </c>
      <c r="BE5" s="3" t="s">
        <v>10</v>
      </c>
      <c r="BF5" s="4"/>
      <c r="BH5" s="3" t="s">
        <v>7</v>
      </c>
      <c r="BI5" s="3" t="s">
        <v>7</v>
      </c>
      <c r="BJ5" s="3" t="s">
        <v>7</v>
      </c>
      <c r="BK5" s="3" t="s">
        <v>8</v>
      </c>
      <c r="BL5" s="3" t="s">
        <v>8</v>
      </c>
      <c r="BM5" s="3" t="s">
        <v>8</v>
      </c>
      <c r="BN5" s="3" t="s">
        <v>9</v>
      </c>
      <c r="BO5" s="3" t="s">
        <v>9</v>
      </c>
      <c r="BP5" s="3" t="s">
        <v>9</v>
      </c>
      <c r="BQ5" s="3" t="s">
        <v>10</v>
      </c>
      <c r="BR5" s="3" t="s">
        <v>10</v>
      </c>
      <c r="BS5" s="3" t="s">
        <v>10</v>
      </c>
      <c r="BT5" s="4"/>
      <c r="BV5" s="3" t="s">
        <v>7</v>
      </c>
      <c r="BW5" s="3" t="s">
        <v>7</v>
      </c>
      <c r="BX5" s="3" t="s">
        <v>7</v>
      </c>
      <c r="BY5" s="3" t="s">
        <v>8</v>
      </c>
      <c r="BZ5" s="3" t="s">
        <v>8</v>
      </c>
      <c r="CA5" s="3" t="s">
        <v>8</v>
      </c>
      <c r="CB5" s="3" t="s">
        <v>9</v>
      </c>
      <c r="CC5" s="3" t="s">
        <v>9</v>
      </c>
      <c r="CD5" s="3" t="s">
        <v>9</v>
      </c>
      <c r="CE5" s="3" t="s">
        <v>10</v>
      </c>
      <c r="CF5" s="3" t="s">
        <v>10</v>
      </c>
      <c r="CG5" s="3" t="s">
        <v>10</v>
      </c>
      <c r="CH5" s="4"/>
    </row>
    <row r="6" ht="20.25" customHeight="1">
      <c r="B6" s="2" t="s">
        <v>11</v>
      </c>
      <c r="C6" s="2"/>
      <c r="D6" s="3">
        <f>+IF(D4&lt;=MONTH,1,0)</f>
        <v>1</v>
      </c>
      <c r="E6" s="3">
        <f>+IF(E4&lt;=MONTH,1,0)</f>
        <v>1</v>
      </c>
      <c r="F6" s="3">
        <f>+IF(F4&lt;=MONTH,1,0)</f>
        <v>1</v>
      </c>
      <c r="G6" s="3">
        <f>+IF(G4&lt;=MONTH,1,0)</f>
        <v>1</v>
      </c>
      <c r="H6" s="3">
        <f>+IF(H4&lt;=MONTH,1,0)</f>
        <v>1</v>
      </c>
      <c r="I6" s="3">
        <f>+IF(I4&lt;=MONTH,1,0)</f>
        <v>1</v>
      </c>
      <c r="J6" s="3">
        <f>+IF(J4&lt;=MONTH,1,0)</f>
        <v>1</v>
      </c>
      <c r="K6" s="3">
        <f>+IF(K4&lt;=MONTH,1,0)</f>
        <v>1</v>
      </c>
      <c r="L6" s="3">
        <f>+IF(L4&lt;=MONTH,1,0)</f>
        <v>1</v>
      </c>
      <c r="M6" s="3">
        <f>+IF(M4&lt;=MONTH,1,0)</f>
        <v>1</v>
      </c>
      <c r="N6" s="3">
        <f>+IF(N4&lt;=MONTH,1,0)</f>
        <v>1</v>
      </c>
      <c r="O6" s="3">
        <f>+IF(O4&lt;=MONTH,1,0)</f>
        <v>1</v>
      </c>
      <c r="P6" s="4"/>
      <c r="R6" s="3">
        <f>+IF(R4&lt;=MONTH,1,0)</f>
        <v>1</v>
      </c>
      <c r="S6" s="3">
        <f>+IF(S4&lt;=MONTH,1,0)</f>
        <v>1</v>
      </c>
      <c r="T6" s="3">
        <f>+IF(T4&lt;=MONTH,1,0)</f>
        <v>1</v>
      </c>
      <c r="U6" s="3">
        <f>+IF(U4&lt;=MONTH,1,0)</f>
        <v>1</v>
      </c>
      <c r="V6" s="3">
        <f>+IF(V4&lt;=MONTH,1,0)</f>
        <v>1</v>
      </c>
      <c r="W6" s="3">
        <f>+IF(W4&lt;=MONTH,1,0)</f>
        <v>1</v>
      </c>
      <c r="X6" s="3">
        <f>+IF(X4&lt;=MONTH,1,0)</f>
        <v>1</v>
      </c>
      <c r="Y6" s="3">
        <f>+IF(Y4&lt;=MONTH,1,0)</f>
        <v>1</v>
      </c>
      <c r="Z6" s="3">
        <f>+IF(Z4&lt;=MONTH,1,0)</f>
        <v>1</v>
      </c>
      <c r="AA6" s="3">
        <f>+IF(AA4&lt;=MONTH,1,0)</f>
        <v>1</v>
      </c>
      <c r="AB6" s="3">
        <f>+IF(AB4&lt;=MONTH,1,0)</f>
        <v>1</v>
      </c>
      <c r="AC6" s="3">
        <f>+IF(AC4&lt;=MONTH,1,0)</f>
        <v>1</v>
      </c>
      <c r="AD6" s="4"/>
      <c r="AF6" s="3">
        <f>+IF(AF4&lt;=MONTH,1,0)</f>
        <v>1</v>
      </c>
      <c r="AG6" s="3">
        <f>+IF(AG4&lt;=MONTH,1,0)</f>
        <v>1</v>
      </c>
      <c r="AH6" s="3">
        <f>+IF(AH4&lt;=MONTH,1,0)</f>
        <v>1</v>
      </c>
      <c r="AI6" s="3">
        <f>+IF(AI4&lt;=MONTH,1,0)</f>
        <v>1</v>
      </c>
      <c r="AJ6" s="3">
        <f>+IF(AJ4&lt;=MONTH,1,0)</f>
        <v>1</v>
      </c>
      <c r="AK6" s="3">
        <f>+IF(AK4&lt;=MONTH,1,0)</f>
        <v>1</v>
      </c>
      <c r="AL6" s="3">
        <f>+IF(AL4&lt;=MONTH,1,0)</f>
        <v>1</v>
      </c>
      <c r="AM6" s="3">
        <f>+IF(AM4&lt;=MONTH,1,0)</f>
        <v>1</v>
      </c>
      <c r="AN6" s="3">
        <f>+IF(AN4&lt;=MONTH,1,0)</f>
        <v>1</v>
      </c>
      <c r="AO6" s="3">
        <f>+IF(AO4&lt;=MONTH,1,0)</f>
        <v>1</v>
      </c>
      <c r="AP6" s="3">
        <f>+IF(AP4&lt;=MONTH,1,0)</f>
        <v>1</v>
      </c>
      <c r="AQ6" s="3">
        <f>+IF(AQ4&lt;=MONTH,1,0)</f>
        <v>1</v>
      </c>
      <c r="AR6" s="4"/>
      <c r="AT6" s="3">
        <f>+IF(AT4&lt;=MONTH,1,0)</f>
        <v>1</v>
      </c>
      <c r="AU6" s="3">
        <f>+IF(AU4&lt;=MONTH,1,0)</f>
        <v>1</v>
      </c>
      <c r="AV6" s="3">
        <f>+IF(AV4&lt;=MONTH,1,0)</f>
        <v>1</v>
      </c>
      <c r="AW6" s="3">
        <f>+IF(AW4&lt;=MONTH,1,0)</f>
        <v>1</v>
      </c>
      <c r="AX6" s="3">
        <f>+IF(AX4&lt;=MONTH,1,0)</f>
        <v>1</v>
      </c>
      <c r="AY6" s="3">
        <f>+IF(AY4&lt;=MONTH,1,0)</f>
        <v>1</v>
      </c>
      <c r="AZ6" s="3">
        <f>+IF(AZ4&lt;=MONTH,1,0)</f>
        <v>1</v>
      </c>
      <c r="BA6" s="3">
        <f>+IF(BA4&lt;=MONTH,1,0)</f>
        <v>1</v>
      </c>
      <c r="BB6" s="3">
        <f>+IF(BB4&lt;=MONTH,1,0)</f>
        <v>1</v>
      </c>
      <c r="BC6" s="3">
        <f>+IF(BC4&lt;=MONTH,1,0)</f>
        <v>1</v>
      </c>
      <c r="BD6" s="3">
        <f>+IF(BD4&lt;=MONTH,1,0)</f>
        <v>1</v>
      </c>
      <c r="BE6" s="3">
        <f>+IF(BE4&lt;=MONTH,1,0)</f>
        <v>1</v>
      </c>
      <c r="BF6" s="4"/>
      <c r="BH6" s="3">
        <f>+IF(BH4&lt;=MONTH,1,0)</f>
        <v>1</v>
      </c>
      <c r="BI6" s="3">
        <f>+IF(BI4&lt;=MONTH,1,0)</f>
        <v>1</v>
      </c>
      <c r="BJ6" s="3">
        <f>+IF(BJ4&lt;=MONTH,1,0)</f>
        <v>1</v>
      </c>
      <c r="BK6" s="3">
        <f>+IF(BK4&lt;=MONTH,1,0)</f>
        <v>1</v>
      </c>
      <c r="BL6" s="3">
        <f>+IF(BL4&lt;=MONTH,1,0)</f>
        <v>1</v>
      </c>
      <c r="BM6" s="3">
        <f>+IF(BM4&lt;=MONTH,1,0)</f>
        <v>1</v>
      </c>
      <c r="BN6" s="3">
        <f>+IF(BN4&lt;=MONTH,1,0)</f>
        <v>1</v>
      </c>
      <c r="BO6" s="3">
        <f>+IF(BO4&lt;=MONTH,1,0)</f>
        <v>1</v>
      </c>
      <c r="BP6" s="3">
        <f>+IF(BP4&lt;=MONTH,1,0)</f>
        <v>1</v>
      </c>
      <c r="BQ6" s="3">
        <f>+IF(BQ4&lt;=MONTH,1,0)</f>
        <v>1</v>
      </c>
      <c r="BR6" s="3">
        <f>+IF(BR4&lt;=MONTH,1,0)</f>
        <v>1</v>
      </c>
      <c r="BS6" s="3">
        <f>+IF(BS4&lt;=MONTH,1,0)</f>
        <v>1</v>
      </c>
      <c r="BT6" s="4"/>
      <c r="BV6" s="3">
        <f>+IF(BV4&lt;=MONTH,1,0)</f>
        <v>1</v>
      </c>
      <c r="BW6" s="3">
        <f>+IF(BW4&lt;=MONTH,1,0)</f>
        <v>1</v>
      </c>
      <c r="BX6" s="3">
        <f>+IF(BX4&lt;=MONTH,1,0)</f>
        <v>1</v>
      </c>
      <c r="BY6" s="3">
        <f>+IF(BY4&lt;=MONTH,1,0)</f>
        <v>1</v>
      </c>
      <c r="BZ6" s="3">
        <f>+IF(BZ4&lt;=MONTH,1,0)</f>
        <v>1</v>
      </c>
      <c r="CA6" s="3">
        <f>+IF(CA4&lt;=MONTH,1,0)</f>
        <v>1</v>
      </c>
      <c r="CB6" s="3">
        <f>+IF(CB4&lt;=MONTH,1,0)</f>
        <v>1</v>
      </c>
      <c r="CC6" s="3">
        <f>+IF(CC4&lt;=MONTH,1,0)</f>
        <v>1</v>
      </c>
      <c r="CD6" s="3">
        <f>+IF(CD4&lt;=MONTH,1,0)</f>
        <v>1</v>
      </c>
      <c r="CE6" s="3">
        <f>+IF(CE4&lt;=MONTH,1,0)</f>
        <v>1</v>
      </c>
      <c r="CF6" s="3">
        <f>+IF(CF4&lt;=MONTH,1,0)</f>
        <v>1</v>
      </c>
      <c r="CG6" s="3">
        <f>+IF(CG4&lt;=MONTH,1,0)</f>
        <v>1</v>
      </c>
      <c r="CH6" s="4"/>
    </row>
    <row r="7" ht="31.5" customHeight="1">
      <c r="P7" s="6"/>
      <c r="R7" s="65">
        <f>IND_YEAR_1</f>
        <v>0.056</v>
      </c>
      <c r="S7" s="65" t="s">
        <v>65</v>
      </c>
      <c r="AD7" s="6"/>
      <c r="AF7" s="65">
        <f>IND_YEAR_2</f>
        <v>0.051</v>
      </c>
      <c r="AG7" s="65" t="s">
        <v>65</v>
      </c>
      <c r="AR7" s="6"/>
      <c r="AT7" s="65">
        <f>IND_YEAR_3</f>
        <v>0.036</v>
      </c>
      <c r="AU7" s="65" t="s">
        <v>65</v>
      </c>
      <c r="BF7" s="6"/>
      <c r="BH7" s="65">
        <f>IND_YEAR_4</f>
        <v>0.035</v>
      </c>
      <c r="BI7" s="65" t="s">
        <v>65</v>
      </c>
      <c r="BT7" s="6"/>
      <c r="BV7" s="65">
        <f>IND_YEAR_4</f>
        <v>0.035</v>
      </c>
      <c r="BW7" s="65" t="s">
        <v>65</v>
      </c>
      <c r="CH7" s="6"/>
    </row>
    <row r="8" ht="13.5" customHeight="1">
      <c r="A8" s="62"/>
      <c r="B8" s="20" t="s">
        <v>66</v>
      </c>
      <c r="C8" s="20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9"/>
      <c r="Q8" s="66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9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9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9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9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9"/>
      <c r="CI8" s="62"/>
    </row>
    <row r="9" ht="13.5" customHeight="1">
      <c r="P9" s="6"/>
      <c r="AD9" s="6"/>
      <c r="AR9" s="6"/>
      <c r="BF9" s="6"/>
      <c r="BT9" s="6"/>
      <c r="CH9" s="6"/>
    </row>
    <row r="10" ht="21.75" customHeight="1">
      <c r="A10" s="68"/>
      <c r="B10" s="68"/>
      <c r="C10" s="68"/>
      <c r="D10" s="22">
        <f t="shared" ref="D10:P10" si="7">+D2</f>
        <v>2025</v>
      </c>
      <c r="E10" s="22">
        <f t="shared" si="7"/>
        <v>2025</v>
      </c>
      <c r="F10" s="22">
        <f t="shared" si="7"/>
        <v>2025</v>
      </c>
      <c r="G10" s="22">
        <f t="shared" si="7"/>
        <v>2025</v>
      </c>
      <c r="H10" s="22">
        <f t="shared" si="7"/>
        <v>2025</v>
      </c>
      <c r="I10" s="22">
        <f t="shared" si="7"/>
        <v>2025</v>
      </c>
      <c r="J10" s="22">
        <f t="shared" si="7"/>
        <v>2025</v>
      </c>
      <c r="K10" s="22">
        <f t="shared" si="7"/>
        <v>2025</v>
      </c>
      <c r="L10" s="22">
        <f t="shared" si="7"/>
        <v>2025</v>
      </c>
      <c r="M10" s="22">
        <f t="shared" si="7"/>
        <v>2025</v>
      </c>
      <c r="N10" s="22">
        <f t="shared" si="7"/>
        <v>2025</v>
      </c>
      <c r="O10" s="22">
        <f t="shared" si="7"/>
        <v>2025</v>
      </c>
      <c r="P10" s="21">
        <f t="shared" si="7"/>
        <v>2025</v>
      </c>
      <c r="Q10" s="68"/>
      <c r="R10" s="22">
        <f t="shared" ref="R10:AD10" si="8">+R2</f>
        <v>2026</v>
      </c>
      <c r="S10" s="22">
        <f t="shared" si="8"/>
        <v>2026</v>
      </c>
      <c r="T10" s="22">
        <f t="shared" si="8"/>
        <v>2026</v>
      </c>
      <c r="U10" s="22">
        <f t="shared" si="8"/>
        <v>2026</v>
      </c>
      <c r="V10" s="22">
        <f t="shared" si="8"/>
        <v>2026</v>
      </c>
      <c r="W10" s="22">
        <f t="shared" si="8"/>
        <v>2026</v>
      </c>
      <c r="X10" s="22">
        <f t="shared" si="8"/>
        <v>2026</v>
      </c>
      <c r="Y10" s="22">
        <f t="shared" si="8"/>
        <v>2026</v>
      </c>
      <c r="Z10" s="22">
        <f t="shared" si="8"/>
        <v>2026</v>
      </c>
      <c r="AA10" s="22">
        <f t="shared" si="8"/>
        <v>2026</v>
      </c>
      <c r="AB10" s="22">
        <f t="shared" si="8"/>
        <v>2026</v>
      </c>
      <c r="AC10" s="22">
        <f t="shared" si="8"/>
        <v>2026</v>
      </c>
      <c r="AD10" s="21">
        <f t="shared" si="8"/>
        <v>2026</v>
      </c>
      <c r="AE10" s="68"/>
      <c r="AF10" s="22">
        <f t="shared" ref="AF10:AR10" si="9">+AF2</f>
        <v>2027</v>
      </c>
      <c r="AG10" s="22">
        <f t="shared" si="9"/>
        <v>2027</v>
      </c>
      <c r="AH10" s="22">
        <f t="shared" si="9"/>
        <v>2027</v>
      </c>
      <c r="AI10" s="22">
        <f t="shared" si="9"/>
        <v>2027</v>
      </c>
      <c r="AJ10" s="22">
        <f t="shared" si="9"/>
        <v>2027</v>
      </c>
      <c r="AK10" s="22">
        <f t="shared" si="9"/>
        <v>2027</v>
      </c>
      <c r="AL10" s="22">
        <f t="shared" si="9"/>
        <v>2027</v>
      </c>
      <c r="AM10" s="22">
        <f t="shared" si="9"/>
        <v>2027</v>
      </c>
      <c r="AN10" s="22">
        <f t="shared" si="9"/>
        <v>2027</v>
      </c>
      <c r="AO10" s="22">
        <f t="shared" si="9"/>
        <v>2027</v>
      </c>
      <c r="AP10" s="22">
        <f t="shared" si="9"/>
        <v>2027</v>
      </c>
      <c r="AQ10" s="22">
        <f t="shared" si="9"/>
        <v>2027</v>
      </c>
      <c r="AR10" s="21">
        <f t="shared" si="9"/>
        <v>2027</v>
      </c>
      <c r="AS10" s="68"/>
      <c r="AT10" s="22">
        <f t="shared" ref="AT10:BF10" si="10">+AT2</f>
        <v>2028</v>
      </c>
      <c r="AU10" s="22">
        <f t="shared" si="10"/>
        <v>2028</v>
      </c>
      <c r="AV10" s="22">
        <f t="shared" si="10"/>
        <v>2028</v>
      </c>
      <c r="AW10" s="22">
        <f t="shared" si="10"/>
        <v>2028</v>
      </c>
      <c r="AX10" s="22">
        <f t="shared" si="10"/>
        <v>2028</v>
      </c>
      <c r="AY10" s="22">
        <f t="shared" si="10"/>
        <v>2028</v>
      </c>
      <c r="AZ10" s="22">
        <f t="shared" si="10"/>
        <v>2028</v>
      </c>
      <c r="BA10" s="22">
        <f t="shared" si="10"/>
        <v>2028</v>
      </c>
      <c r="BB10" s="22">
        <f t="shared" si="10"/>
        <v>2028</v>
      </c>
      <c r="BC10" s="22">
        <f t="shared" si="10"/>
        <v>2028</v>
      </c>
      <c r="BD10" s="22">
        <f t="shared" si="10"/>
        <v>2028</v>
      </c>
      <c r="BE10" s="22">
        <f t="shared" si="10"/>
        <v>2028</v>
      </c>
      <c r="BF10" s="21">
        <f t="shared" si="10"/>
        <v>2028</v>
      </c>
      <c r="BG10" s="68"/>
      <c r="BH10" s="22">
        <f t="shared" ref="BH10:BT10" si="11">+BH2</f>
        <v>2029</v>
      </c>
      <c r="BI10" s="22">
        <f t="shared" si="11"/>
        <v>2029</v>
      </c>
      <c r="BJ10" s="22">
        <f t="shared" si="11"/>
        <v>2029</v>
      </c>
      <c r="BK10" s="22">
        <f t="shared" si="11"/>
        <v>2029</v>
      </c>
      <c r="BL10" s="22">
        <f t="shared" si="11"/>
        <v>2029</v>
      </c>
      <c r="BM10" s="22">
        <f t="shared" si="11"/>
        <v>2029</v>
      </c>
      <c r="BN10" s="22">
        <f t="shared" si="11"/>
        <v>2029</v>
      </c>
      <c r="BO10" s="22">
        <f t="shared" si="11"/>
        <v>2029</v>
      </c>
      <c r="BP10" s="22">
        <f t="shared" si="11"/>
        <v>2029</v>
      </c>
      <c r="BQ10" s="22">
        <f t="shared" si="11"/>
        <v>2029</v>
      </c>
      <c r="BR10" s="22">
        <f t="shared" si="11"/>
        <v>2029</v>
      </c>
      <c r="BS10" s="22">
        <f t="shared" si="11"/>
        <v>2029</v>
      </c>
      <c r="BT10" s="21">
        <f t="shared" si="11"/>
        <v>2029</v>
      </c>
      <c r="BU10" s="68"/>
      <c r="BV10" s="22">
        <f t="shared" ref="BV10:CH10" si="12">+BV2</f>
        <v>2030</v>
      </c>
      <c r="BW10" s="22">
        <f t="shared" si="12"/>
        <v>2030</v>
      </c>
      <c r="BX10" s="22">
        <f t="shared" si="12"/>
        <v>2030</v>
      </c>
      <c r="BY10" s="22">
        <f t="shared" si="12"/>
        <v>2030</v>
      </c>
      <c r="BZ10" s="22">
        <f t="shared" si="12"/>
        <v>2030</v>
      </c>
      <c r="CA10" s="22">
        <f t="shared" si="12"/>
        <v>2030</v>
      </c>
      <c r="CB10" s="22">
        <f t="shared" si="12"/>
        <v>2030</v>
      </c>
      <c r="CC10" s="22">
        <f t="shared" si="12"/>
        <v>2030</v>
      </c>
      <c r="CD10" s="22">
        <f t="shared" si="12"/>
        <v>2030</v>
      </c>
      <c r="CE10" s="22">
        <f t="shared" si="12"/>
        <v>2030</v>
      </c>
      <c r="CF10" s="22">
        <f t="shared" si="12"/>
        <v>2030</v>
      </c>
      <c r="CG10" s="22">
        <f t="shared" si="12"/>
        <v>2030</v>
      </c>
      <c r="CH10" s="21">
        <f t="shared" si="12"/>
        <v>2030</v>
      </c>
      <c r="CI10" s="68"/>
    </row>
    <row r="11" ht="21.75" customHeight="1">
      <c r="A11" s="68"/>
      <c r="B11" s="68"/>
      <c r="C11" s="68"/>
      <c r="D11" s="22" t="s">
        <v>14</v>
      </c>
      <c r="E11" s="22" t="s">
        <v>15</v>
      </c>
      <c r="F11" s="22" t="s">
        <v>16</v>
      </c>
      <c r="G11" s="22" t="s">
        <v>17</v>
      </c>
      <c r="H11" s="22" t="s">
        <v>18</v>
      </c>
      <c r="I11" s="22" t="s">
        <v>19</v>
      </c>
      <c r="J11" s="22" t="s">
        <v>20</v>
      </c>
      <c r="K11" s="22" t="s">
        <v>21</v>
      </c>
      <c r="L11" s="22" t="s">
        <v>22</v>
      </c>
      <c r="M11" s="22" t="s">
        <v>23</v>
      </c>
      <c r="N11" s="22" t="s">
        <v>24</v>
      </c>
      <c r="O11" s="22" t="s">
        <v>25</v>
      </c>
      <c r="P11" s="21" t="s">
        <v>5</v>
      </c>
      <c r="Q11" s="68"/>
      <c r="R11" s="22" t="s">
        <v>14</v>
      </c>
      <c r="S11" s="22" t="s">
        <v>15</v>
      </c>
      <c r="T11" s="22" t="s">
        <v>16</v>
      </c>
      <c r="U11" s="22" t="s">
        <v>17</v>
      </c>
      <c r="V11" s="22" t="s">
        <v>18</v>
      </c>
      <c r="W11" s="22" t="s">
        <v>19</v>
      </c>
      <c r="X11" s="22" t="s">
        <v>20</v>
      </c>
      <c r="Y11" s="22" t="s">
        <v>21</v>
      </c>
      <c r="Z11" s="22" t="s">
        <v>22</v>
      </c>
      <c r="AA11" s="22" t="s">
        <v>23</v>
      </c>
      <c r="AB11" s="22" t="s">
        <v>24</v>
      </c>
      <c r="AC11" s="22" t="s">
        <v>25</v>
      </c>
      <c r="AD11" s="21" t="s">
        <v>5</v>
      </c>
      <c r="AE11" s="68"/>
      <c r="AF11" s="22" t="s">
        <v>14</v>
      </c>
      <c r="AG11" s="22" t="s">
        <v>15</v>
      </c>
      <c r="AH11" s="22" t="s">
        <v>16</v>
      </c>
      <c r="AI11" s="22" t="s">
        <v>17</v>
      </c>
      <c r="AJ11" s="22" t="s">
        <v>18</v>
      </c>
      <c r="AK11" s="22" t="s">
        <v>19</v>
      </c>
      <c r="AL11" s="22" t="s">
        <v>20</v>
      </c>
      <c r="AM11" s="22" t="s">
        <v>21</v>
      </c>
      <c r="AN11" s="22" t="s">
        <v>22</v>
      </c>
      <c r="AO11" s="22" t="s">
        <v>23</v>
      </c>
      <c r="AP11" s="22" t="s">
        <v>24</v>
      </c>
      <c r="AQ11" s="22" t="s">
        <v>25</v>
      </c>
      <c r="AR11" s="21" t="s">
        <v>5</v>
      </c>
      <c r="AS11" s="68"/>
      <c r="AT11" s="22" t="s">
        <v>14</v>
      </c>
      <c r="AU11" s="22" t="s">
        <v>15</v>
      </c>
      <c r="AV11" s="22" t="s">
        <v>16</v>
      </c>
      <c r="AW11" s="22" t="s">
        <v>17</v>
      </c>
      <c r="AX11" s="22" t="s">
        <v>18</v>
      </c>
      <c r="AY11" s="22" t="s">
        <v>19</v>
      </c>
      <c r="AZ11" s="22" t="s">
        <v>20</v>
      </c>
      <c r="BA11" s="22" t="s">
        <v>21</v>
      </c>
      <c r="BB11" s="22" t="s">
        <v>22</v>
      </c>
      <c r="BC11" s="22" t="s">
        <v>23</v>
      </c>
      <c r="BD11" s="22" t="s">
        <v>24</v>
      </c>
      <c r="BE11" s="22" t="s">
        <v>25</v>
      </c>
      <c r="BF11" s="21" t="s">
        <v>5</v>
      </c>
      <c r="BG11" s="68"/>
      <c r="BH11" s="22" t="s">
        <v>14</v>
      </c>
      <c r="BI11" s="22" t="s">
        <v>15</v>
      </c>
      <c r="BJ11" s="22" t="s">
        <v>16</v>
      </c>
      <c r="BK11" s="22" t="s">
        <v>17</v>
      </c>
      <c r="BL11" s="22" t="s">
        <v>18</v>
      </c>
      <c r="BM11" s="22" t="s">
        <v>19</v>
      </c>
      <c r="BN11" s="22" t="s">
        <v>20</v>
      </c>
      <c r="BO11" s="22" t="s">
        <v>21</v>
      </c>
      <c r="BP11" s="22" t="s">
        <v>22</v>
      </c>
      <c r="BQ11" s="22" t="s">
        <v>23</v>
      </c>
      <c r="BR11" s="22" t="s">
        <v>24</v>
      </c>
      <c r="BS11" s="22" t="s">
        <v>25</v>
      </c>
      <c r="BT11" s="21" t="s">
        <v>5</v>
      </c>
      <c r="BU11" s="68"/>
      <c r="BV11" s="22" t="s">
        <v>14</v>
      </c>
      <c r="BW11" s="22" t="s">
        <v>15</v>
      </c>
      <c r="BX11" s="22" t="s">
        <v>16</v>
      </c>
      <c r="BY11" s="22" t="s">
        <v>17</v>
      </c>
      <c r="BZ11" s="22" t="s">
        <v>18</v>
      </c>
      <c r="CA11" s="22" t="s">
        <v>19</v>
      </c>
      <c r="CB11" s="22" t="s">
        <v>20</v>
      </c>
      <c r="CC11" s="22" t="s">
        <v>21</v>
      </c>
      <c r="CD11" s="22" t="s">
        <v>22</v>
      </c>
      <c r="CE11" s="22" t="s">
        <v>23</v>
      </c>
      <c r="CF11" s="22" t="s">
        <v>24</v>
      </c>
      <c r="CG11" s="22" t="s">
        <v>25</v>
      </c>
      <c r="CH11" s="21" t="s">
        <v>5</v>
      </c>
      <c r="CI11" s="68"/>
    </row>
    <row r="12" ht="19.5" customHeight="1">
      <c r="A12" s="68"/>
      <c r="B12" s="69" t="s">
        <v>131</v>
      </c>
      <c r="C12" s="69" t="s">
        <v>132</v>
      </c>
      <c r="D12" s="72">
        <v>0.0</v>
      </c>
      <c r="E12" s="72">
        <v>0.0</v>
      </c>
      <c r="F12" s="72">
        <v>0.0</v>
      </c>
      <c r="G12" s="72">
        <v>0.0</v>
      </c>
      <c r="H12" s="72">
        <v>-1500.0</v>
      </c>
      <c r="I12" s="72">
        <v>-1500.0</v>
      </c>
      <c r="J12" s="72">
        <v>-1500.0</v>
      </c>
      <c r="K12" s="72">
        <v>-1500.0</v>
      </c>
      <c r="L12" s="72">
        <v>-1500.0</v>
      </c>
      <c r="M12" s="72">
        <v>-1500.0</v>
      </c>
      <c r="N12" s="72">
        <v>-1500.0</v>
      </c>
      <c r="O12" s="72">
        <v>-1500.0</v>
      </c>
      <c r="P12" s="71">
        <f t="shared" ref="P12:P20" si="17">SUM(D12:O12)</f>
        <v>-12000</v>
      </c>
      <c r="Q12" s="68"/>
      <c r="R12" s="72">
        <v>-1500.0</v>
      </c>
      <c r="S12" s="72">
        <v>-1500.0</v>
      </c>
      <c r="T12" s="72">
        <v>-1500.0</v>
      </c>
      <c r="U12" s="72">
        <v>-1500.0</v>
      </c>
      <c r="V12" s="72">
        <v>-1000.0</v>
      </c>
      <c r="W12" s="72">
        <v>-1000.0</v>
      </c>
      <c r="X12" s="72">
        <v>-1000.0</v>
      </c>
      <c r="Y12" s="72">
        <v>-1000.0</v>
      </c>
      <c r="Z12" s="72">
        <v>-1000.0</v>
      </c>
      <c r="AA12" s="72">
        <v>-1000.0</v>
      </c>
      <c r="AB12" s="72">
        <v>-1000.0</v>
      </c>
      <c r="AC12" s="72">
        <v>-1000.0</v>
      </c>
      <c r="AD12" s="71">
        <f t="shared" ref="AD12:AD20" si="19">SUM(R12:AC12)</f>
        <v>-14000</v>
      </c>
      <c r="AE12" s="68"/>
      <c r="AF12" s="72">
        <f>V12*(1+$AF$7)</f>
        <v>-1051</v>
      </c>
      <c r="AG12" s="72">
        <f>V12*(1+$AF$7)</f>
        <v>-1051</v>
      </c>
      <c r="AH12" s="72">
        <f>V12*(1+$AF$7)</f>
        <v>-1051</v>
      </c>
      <c r="AI12" s="72">
        <f>V12*(1+$AF$7)</f>
        <v>-1051</v>
      </c>
      <c r="AJ12" s="72">
        <f t="shared" ref="AJ12:AQ12" si="13">V12*(1+$AF$7)</f>
        <v>-1051</v>
      </c>
      <c r="AK12" s="72">
        <f t="shared" si="13"/>
        <v>-1051</v>
      </c>
      <c r="AL12" s="72">
        <f t="shared" si="13"/>
        <v>-1051</v>
      </c>
      <c r="AM12" s="72">
        <f t="shared" si="13"/>
        <v>-1051</v>
      </c>
      <c r="AN12" s="72">
        <f t="shared" si="13"/>
        <v>-1051</v>
      </c>
      <c r="AO12" s="72">
        <f t="shared" si="13"/>
        <v>-1051</v>
      </c>
      <c r="AP12" s="72">
        <f t="shared" si="13"/>
        <v>-1051</v>
      </c>
      <c r="AQ12" s="72">
        <f t="shared" si="13"/>
        <v>-1051</v>
      </c>
      <c r="AR12" s="71">
        <f t="shared" ref="AR12:AR20" si="21">SUM(AF12:AQ12)</f>
        <v>-12612</v>
      </c>
      <c r="AS12" s="73"/>
      <c r="AT12" s="72">
        <f t="shared" ref="AT12:BE12" si="14">AF12*(1+$AF$7)</f>
        <v>-1104.601</v>
      </c>
      <c r="AU12" s="72">
        <f t="shared" si="14"/>
        <v>-1104.601</v>
      </c>
      <c r="AV12" s="72">
        <f t="shared" si="14"/>
        <v>-1104.601</v>
      </c>
      <c r="AW12" s="72">
        <f t="shared" si="14"/>
        <v>-1104.601</v>
      </c>
      <c r="AX12" s="72">
        <f t="shared" si="14"/>
        <v>-1104.601</v>
      </c>
      <c r="AY12" s="72">
        <f t="shared" si="14"/>
        <v>-1104.601</v>
      </c>
      <c r="AZ12" s="72">
        <f t="shared" si="14"/>
        <v>-1104.601</v>
      </c>
      <c r="BA12" s="72">
        <f t="shared" si="14"/>
        <v>-1104.601</v>
      </c>
      <c r="BB12" s="72">
        <f t="shared" si="14"/>
        <v>-1104.601</v>
      </c>
      <c r="BC12" s="72">
        <f t="shared" si="14"/>
        <v>-1104.601</v>
      </c>
      <c r="BD12" s="72">
        <f t="shared" si="14"/>
        <v>-1104.601</v>
      </c>
      <c r="BE12" s="72">
        <f t="shared" si="14"/>
        <v>-1104.601</v>
      </c>
      <c r="BF12" s="71">
        <f t="shared" ref="BF12:BF20" si="23">SUM(AT12:BE12)</f>
        <v>-13255.212</v>
      </c>
      <c r="BG12" s="73"/>
      <c r="BH12" s="72">
        <f t="shared" ref="BH12:BS12" si="15">AT12*(1+$AF$7)</f>
        <v>-1160.935651</v>
      </c>
      <c r="BI12" s="72">
        <f t="shared" si="15"/>
        <v>-1160.935651</v>
      </c>
      <c r="BJ12" s="72">
        <f t="shared" si="15"/>
        <v>-1160.935651</v>
      </c>
      <c r="BK12" s="72">
        <f t="shared" si="15"/>
        <v>-1160.935651</v>
      </c>
      <c r="BL12" s="72">
        <f t="shared" si="15"/>
        <v>-1160.935651</v>
      </c>
      <c r="BM12" s="72">
        <f t="shared" si="15"/>
        <v>-1160.935651</v>
      </c>
      <c r="BN12" s="72">
        <f t="shared" si="15"/>
        <v>-1160.935651</v>
      </c>
      <c r="BO12" s="72">
        <f t="shared" si="15"/>
        <v>-1160.935651</v>
      </c>
      <c r="BP12" s="72">
        <f t="shared" si="15"/>
        <v>-1160.935651</v>
      </c>
      <c r="BQ12" s="72">
        <f t="shared" si="15"/>
        <v>-1160.935651</v>
      </c>
      <c r="BR12" s="72">
        <f t="shared" si="15"/>
        <v>-1160.935651</v>
      </c>
      <c r="BS12" s="72">
        <f t="shared" si="15"/>
        <v>-1160.935651</v>
      </c>
      <c r="BT12" s="71">
        <f t="shared" ref="BT12:BT20" si="25">SUM(BH12:BS12)</f>
        <v>-13931.22781</v>
      </c>
      <c r="BU12" s="73"/>
      <c r="BV12" s="72">
        <f t="shared" ref="BV12:CG12" si="16">BH12*(1+$AF$7)</f>
        <v>-1220.143369</v>
      </c>
      <c r="BW12" s="72">
        <f t="shared" si="16"/>
        <v>-1220.143369</v>
      </c>
      <c r="BX12" s="72">
        <f t="shared" si="16"/>
        <v>-1220.143369</v>
      </c>
      <c r="BY12" s="72">
        <f t="shared" si="16"/>
        <v>-1220.143369</v>
      </c>
      <c r="BZ12" s="72">
        <f t="shared" si="16"/>
        <v>-1220.143369</v>
      </c>
      <c r="CA12" s="72">
        <f t="shared" si="16"/>
        <v>-1220.143369</v>
      </c>
      <c r="CB12" s="72">
        <f t="shared" si="16"/>
        <v>-1220.143369</v>
      </c>
      <c r="CC12" s="72">
        <f t="shared" si="16"/>
        <v>-1220.143369</v>
      </c>
      <c r="CD12" s="72">
        <f t="shared" si="16"/>
        <v>-1220.143369</v>
      </c>
      <c r="CE12" s="72">
        <f t="shared" si="16"/>
        <v>-1220.143369</v>
      </c>
      <c r="CF12" s="72">
        <f t="shared" si="16"/>
        <v>-1220.143369</v>
      </c>
      <c r="CG12" s="72">
        <f t="shared" si="16"/>
        <v>-1220.143369</v>
      </c>
      <c r="CH12" s="71">
        <f t="shared" ref="CH12:CH20" si="27">SUM(BV12:CG12)</f>
        <v>-14641.72043</v>
      </c>
      <c r="CI12" s="73"/>
    </row>
    <row r="13" ht="19.5" customHeight="1">
      <c r="A13" s="68"/>
      <c r="B13" s="69" t="s">
        <v>133</v>
      </c>
      <c r="C13" s="69" t="s">
        <v>134</v>
      </c>
      <c r="D13" s="72">
        <v>0.0</v>
      </c>
      <c r="E13" s="72">
        <v>0.0</v>
      </c>
      <c r="F13" s="75">
        <v>-20000.0</v>
      </c>
      <c r="G13" s="72">
        <v>0.0</v>
      </c>
      <c r="H13" s="72">
        <v>0.0</v>
      </c>
      <c r="I13" s="72">
        <v>0.0</v>
      </c>
      <c r="J13" s="72">
        <v>0.0</v>
      </c>
      <c r="K13" s="72">
        <v>0.0</v>
      </c>
      <c r="L13" s="75">
        <v>-10000.0</v>
      </c>
      <c r="M13" s="72">
        <v>0.0</v>
      </c>
      <c r="N13" s="72">
        <v>0.0</v>
      </c>
      <c r="O13" s="72">
        <v>0.0</v>
      </c>
      <c r="P13" s="71">
        <f t="shared" si="17"/>
        <v>-30000</v>
      </c>
      <c r="Q13" s="68"/>
      <c r="R13" s="72">
        <f t="shared" ref="R13:AC13" si="18">D13*(1+$R$7)</f>
        <v>0</v>
      </c>
      <c r="S13" s="72">
        <f t="shared" si="18"/>
        <v>0</v>
      </c>
      <c r="T13" s="72">
        <f t="shared" si="18"/>
        <v>-21120</v>
      </c>
      <c r="U13" s="72">
        <f t="shared" si="18"/>
        <v>0</v>
      </c>
      <c r="V13" s="72">
        <f t="shared" si="18"/>
        <v>0</v>
      </c>
      <c r="W13" s="72">
        <f t="shared" si="18"/>
        <v>0</v>
      </c>
      <c r="X13" s="72">
        <f t="shared" si="18"/>
        <v>0</v>
      </c>
      <c r="Y13" s="72">
        <f t="shared" si="18"/>
        <v>0</v>
      </c>
      <c r="Z13" s="72">
        <f t="shared" si="18"/>
        <v>-10560</v>
      </c>
      <c r="AA13" s="72">
        <f t="shared" si="18"/>
        <v>0</v>
      </c>
      <c r="AB13" s="72">
        <f t="shared" si="18"/>
        <v>0</v>
      </c>
      <c r="AC13" s="72">
        <f t="shared" si="18"/>
        <v>0</v>
      </c>
      <c r="AD13" s="71">
        <f t="shared" si="19"/>
        <v>-31680</v>
      </c>
      <c r="AE13" s="68"/>
      <c r="AF13" s="72">
        <f t="shared" ref="AF13:AQ13" si="20">R13*(1+$AF$7)</f>
        <v>0</v>
      </c>
      <c r="AG13" s="72">
        <f t="shared" si="20"/>
        <v>0</v>
      </c>
      <c r="AH13" s="72">
        <f t="shared" si="20"/>
        <v>-22197.12</v>
      </c>
      <c r="AI13" s="72">
        <f t="shared" si="20"/>
        <v>0</v>
      </c>
      <c r="AJ13" s="72">
        <f t="shared" si="20"/>
        <v>0</v>
      </c>
      <c r="AK13" s="72">
        <f t="shared" si="20"/>
        <v>0</v>
      </c>
      <c r="AL13" s="72">
        <f t="shared" si="20"/>
        <v>0</v>
      </c>
      <c r="AM13" s="72">
        <f t="shared" si="20"/>
        <v>0</v>
      </c>
      <c r="AN13" s="72">
        <f t="shared" si="20"/>
        <v>-11098.56</v>
      </c>
      <c r="AO13" s="72">
        <f t="shared" si="20"/>
        <v>0</v>
      </c>
      <c r="AP13" s="72">
        <f t="shared" si="20"/>
        <v>0</v>
      </c>
      <c r="AQ13" s="72">
        <f t="shared" si="20"/>
        <v>0</v>
      </c>
      <c r="AR13" s="71">
        <f t="shared" si="21"/>
        <v>-33295.68</v>
      </c>
      <c r="AS13" s="73"/>
      <c r="AT13" s="72">
        <f t="shared" ref="AT13:BE13" si="22">AF13*(1+$AF$7)</f>
        <v>0</v>
      </c>
      <c r="AU13" s="72">
        <f t="shared" si="22"/>
        <v>0</v>
      </c>
      <c r="AV13" s="72">
        <f t="shared" si="22"/>
        <v>-23329.17312</v>
      </c>
      <c r="AW13" s="72">
        <f t="shared" si="22"/>
        <v>0</v>
      </c>
      <c r="AX13" s="72">
        <f t="shared" si="22"/>
        <v>0</v>
      </c>
      <c r="AY13" s="72">
        <f t="shared" si="22"/>
        <v>0</v>
      </c>
      <c r="AZ13" s="72">
        <f t="shared" si="22"/>
        <v>0</v>
      </c>
      <c r="BA13" s="72">
        <f t="shared" si="22"/>
        <v>0</v>
      </c>
      <c r="BB13" s="72">
        <f t="shared" si="22"/>
        <v>-11664.58656</v>
      </c>
      <c r="BC13" s="72">
        <f t="shared" si="22"/>
        <v>0</v>
      </c>
      <c r="BD13" s="72">
        <f t="shared" si="22"/>
        <v>0</v>
      </c>
      <c r="BE13" s="72">
        <f t="shared" si="22"/>
        <v>0</v>
      </c>
      <c r="BF13" s="71">
        <f t="shared" si="23"/>
        <v>-34993.75968</v>
      </c>
      <c r="BG13" s="73"/>
      <c r="BH13" s="72">
        <f t="shared" ref="BH13:BS13" si="24">AT13*(1+$AF$7)</f>
        <v>0</v>
      </c>
      <c r="BI13" s="72">
        <f t="shared" si="24"/>
        <v>0</v>
      </c>
      <c r="BJ13" s="72">
        <f t="shared" si="24"/>
        <v>-24518.96095</v>
      </c>
      <c r="BK13" s="72">
        <f t="shared" si="24"/>
        <v>0</v>
      </c>
      <c r="BL13" s="72">
        <f t="shared" si="24"/>
        <v>0</v>
      </c>
      <c r="BM13" s="72">
        <f t="shared" si="24"/>
        <v>0</v>
      </c>
      <c r="BN13" s="72">
        <f t="shared" si="24"/>
        <v>0</v>
      </c>
      <c r="BO13" s="72">
        <f t="shared" si="24"/>
        <v>0</v>
      </c>
      <c r="BP13" s="72">
        <f t="shared" si="24"/>
        <v>-12259.48047</v>
      </c>
      <c r="BQ13" s="72">
        <f t="shared" si="24"/>
        <v>0</v>
      </c>
      <c r="BR13" s="72">
        <f t="shared" si="24"/>
        <v>0</v>
      </c>
      <c r="BS13" s="72">
        <f t="shared" si="24"/>
        <v>0</v>
      </c>
      <c r="BT13" s="71">
        <f t="shared" si="25"/>
        <v>-36778.44142</v>
      </c>
      <c r="BU13" s="73"/>
      <c r="BV13" s="72">
        <f t="shared" ref="BV13:CG13" si="26">BH13*(1+$AF$7)</f>
        <v>0</v>
      </c>
      <c r="BW13" s="72">
        <f t="shared" si="26"/>
        <v>0</v>
      </c>
      <c r="BX13" s="72">
        <f t="shared" si="26"/>
        <v>-25769.42796</v>
      </c>
      <c r="BY13" s="72">
        <f t="shared" si="26"/>
        <v>0</v>
      </c>
      <c r="BZ13" s="72">
        <f t="shared" si="26"/>
        <v>0</v>
      </c>
      <c r="CA13" s="72">
        <f t="shared" si="26"/>
        <v>0</v>
      </c>
      <c r="CB13" s="72">
        <f t="shared" si="26"/>
        <v>0</v>
      </c>
      <c r="CC13" s="72">
        <f t="shared" si="26"/>
        <v>0</v>
      </c>
      <c r="CD13" s="72">
        <f t="shared" si="26"/>
        <v>-12884.71398</v>
      </c>
      <c r="CE13" s="72">
        <f t="shared" si="26"/>
        <v>0</v>
      </c>
      <c r="CF13" s="72">
        <f t="shared" si="26"/>
        <v>0</v>
      </c>
      <c r="CG13" s="72">
        <f t="shared" si="26"/>
        <v>0</v>
      </c>
      <c r="CH13" s="71">
        <f t="shared" si="27"/>
        <v>-38654.14194</v>
      </c>
      <c r="CI13" s="73"/>
    </row>
    <row r="14" ht="19.5" customHeight="1">
      <c r="A14" s="68"/>
      <c r="B14" s="69" t="s">
        <v>135</v>
      </c>
      <c r="C14" s="69" t="s">
        <v>136</v>
      </c>
      <c r="D14" s="75">
        <v>-128.0</v>
      </c>
      <c r="E14" s="75">
        <v>-128.0</v>
      </c>
      <c r="F14" s="75">
        <v>-128.0</v>
      </c>
      <c r="G14" s="75">
        <v>-128.0</v>
      </c>
      <c r="H14" s="75">
        <v>-128.0</v>
      </c>
      <c r="I14" s="75">
        <v>-128.0</v>
      </c>
      <c r="J14" s="75">
        <v>-200.0</v>
      </c>
      <c r="K14" s="75">
        <v>-200.0</v>
      </c>
      <c r="L14" s="75">
        <v>-200.0</v>
      </c>
      <c r="M14" s="75">
        <v>-200.0</v>
      </c>
      <c r="N14" s="75">
        <v>-200.0</v>
      </c>
      <c r="O14" s="75">
        <v>-200.0</v>
      </c>
      <c r="P14" s="71">
        <f t="shared" si="17"/>
        <v>-1968</v>
      </c>
      <c r="Q14" s="68"/>
      <c r="R14" s="72">
        <f>O14*(1+R7)</f>
        <v>-211.2</v>
      </c>
      <c r="S14" s="72">
        <f t="shared" ref="S14:U14" si="28">R14</f>
        <v>-211.2</v>
      </c>
      <c r="T14" s="72">
        <f t="shared" si="28"/>
        <v>-211.2</v>
      </c>
      <c r="U14" s="72">
        <f t="shared" si="28"/>
        <v>-211.2</v>
      </c>
      <c r="V14" s="72">
        <f t="shared" ref="V14:AC14" si="29">H14*(1+$R$7)</f>
        <v>-135.168</v>
      </c>
      <c r="W14" s="72">
        <f t="shared" si="29"/>
        <v>-135.168</v>
      </c>
      <c r="X14" s="72">
        <f t="shared" si="29"/>
        <v>-211.2</v>
      </c>
      <c r="Y14" s="72">
        <f t="shared" si="29"/>
        <v>-211.2</v>
      </c>
      <c r="Z14" s="72">
        <f t="shared" si="29"/>
        <v>-211.2</v>
      </c>
      <c r="AA14" s="72">
        <f t="shared" si="29"/>
        <v>-211.2</v>
      </c>
      <c r="AB14" s="72">
        <f t="shared" si="29"/>
        <v>-211.2</v>
      </c>
      <c r="AC14" s="72">
        <f t="shared" si="29"/>
        <v>-211.2</v>
      </c>
      <c r="AD14" s="71">
        <f t="shared" si="19"/>
        <v>-2382.336</v>
      </c>
      <c r="AE14" s="68"/>
      <c r="AF14" s="72">
        <f t="shared" ref="AF14:AQ14" si="30">R14*(1+$AF$7)</f>
        <v>-221.9712</v>
      </c>
      <c r="AG14" s="72">
        <f t="shared" si="30"/>
        <v>-221.9712</v>
      </c>
      <c r="AH14" s="72">
        <f t="shared" si="30"/>
        <v>-221.9712</v>
      </c>
      <c r="AI14" s="72">
        <f t="shared" si="30"/>
        <v>-221.9712</v>
      </c>
      <c r="AJ14" s="72">
        <f t="shared" si="30"/>
        <v>-142.061568</v>
      </c>
      <c r="AK14" s="72">
        <f t="shared" si="30"/>
        <v>-142.061568</v>
      </c>
      <c r="AL14" s="72">
        <f t="shared" si="30"/>
        <v>-221.9712</v>
      </c>
      <c r="AM14" s="72">
        <f t="shared" si="30"/>
        <v>-221.9712</v>
      </c>
      <c r="AN14" s="72">
        <f t="shared" si="30"/>
        <v>-221.9712</v>
      </c>
      <c r="AO14" s="72">
        <f t="shared" si="30"/>
        <v>-221.9712</v>
      </c>
      <c r="AP14" s="72">
        <f t="shared" si="30"/>
        <v>-221.9712</v>
      </c>
      <c r="AQ14" s="72">
        <f t="shared" si="30"/>
        <v>-221.9712</v>
      </c>
      <c r="AR14" s="71">
        <f t="shared" si="21"/>
        <v>-2503.835136</v>
      </c>
      <c r="AS14" s="73"/>
      <c r="AT14" s="72">
        <f t="shared" ref="AT14:BE14" si="31">AF14*(1+$AF$7)</f>
        <v>-233.2917312</v>
      </c>
      <c r="AU14" s="72">
        <f t="shared" si="31"/>
        <v>-233.2917312</v>
      </c>
      <c r="AV14" s="72">
        <f t="shared" si="31"/>
        <v>-233.2917312</v>
      </c>
      <c r="AW14" s="72">
        <f t="shared" si="31"/>
        <v>-233.2917312</v>
      </c>
      <c r="AX14" s="72">
        <f t="shared" si="31"/>
        <v>-149.306708</v>
      </c>
      <c r="AY14" s="72">
        <f t="shared" si="31"/>
        <v>-149.306708</v>
      </c>
      <c r="AZ14" s="72">
        <f t="shared" si="31"/>
        <v>-233.2917312</v>
      </c>
      <c r="BA14" s="72">
        <f t="shared" si="31"/>
        <v>-233.2917312</v>
      </c>
      <c r="BB14" s="72">
        <f t="shared" si="31"/>
        <v>-233.2917312</v>
      </c>
      <c r="BC14" s="72">
        <f t="shared" si="31"/>
        <v>-233.2917312</v>
      </c>
      <c r="BD14" s="72">
        <f t="shared" si="31"/>
        <v>-233.2917312</v>
      </c>
      <c r="BE14" s="72">
        <f t="shared" si="31"/>
        <v>-233.2917312</v>
      </c>
      <c r="BF14" s="71">
        <f t="shared" si="23"/>
        <v>-2631.530728</v>
      </c>
      <c r="BG14" s="73"/>
      <c r="BH14" s="72">
        <f t="shared" ref="BH14:BS14" si="32">AT14*(1+$AF$7)</f>
        <v>-245.1896095</v>
      </c>
      <c r="BI14" s="72">
        <f t="shared" si="32"/>
        <v>-245.1896095</v>
      </c>
      <c r="BJ14" s="72">
        <f t="shared" si="32"/>
        <v>-245.1896095</v>
      </c>
      <c r="BK14" s="72">
        <f t="shared" si="32"/>
        <v>-245.1896095</v>
      </c>
      <c r="BL14" s="72">
        <f t="shared" si="32"/>
        <v>-156.9213501</v>
      </c>
      <c r="BM14" s="72">
        <f t="shared" si="32"/>
        <v>-156.9213501</v>
      </c>
      <c r="BN14" s="72">
        <f t="shared" si="32"/>
        <v>-245.1896095</v>
      </c>
      <c r="BO14" s="72">
        <f t="shared" si="32"/>
        <v>-245.1896095</v>
      </c>
      <c r="BP14" s="72">
        <f t="shared" si="32"/>
        <v>-245.1896095</v>
      </c>
      <c r="BQ14" s="72">
        <f t="shared" si="32"/>
        <v>-245.1896095</v>
      </c>
      <c r="BR14" s="72">
        <f t="shared" si="32"/>
        <v>-245.1896095</v>
      </c>
      <c r="BS14" s="72">
        <f t="shared" si="32"/>
        <v>-245.1896095</v>
      </c>
      <c r="BT14" s="71">
        <f t="shared" si="25"/>
        <v>-2765.738795</v>
      </c>
      <c r="BU14" s="73"/>
      <c r="BV14" s="72">
        <f t="shared" ref="BV14:CG14" si="33">BH14*(1+$AF$7)</f>
        <v>-257.6942796</v>
      </c>
      <c r="BW14" s="72">
        <f t="shared" si="33"/>
        <v>-257.6942796</v>
      </c>
      <c r="BX14" s="72">
        <f t="shared" si="33"/>
        <v>-257.6942796</v>
      </c>
      <c r="BY14" s="72">
        <f t="shared" si="33"/>
        <v>-257.6942796</v>
      </c>
      <c r="BZ14" s="72">
        <f t="shared" si="33"/>
        <v>-164.9243389</v>
      </c>
      <c r="CA14" s="72">
        <f t="shared" si="33"/>
        <v>-164.9243389</v>
      </c>
      <c r="CB14" s="72">
        <f t="shared" si="33"/>
        <v>-257.6942796</v>
      </c>
      <c r="CC14" s="72">
        <f t="shared" si="33"/>
        <v>-257.6942796</v>
      </c>
      <c r="CD14" s="72">
        <f t="shared" si="33"/>
        <v>-257.6942796</v>
      </c>
      <c r="CE14" s="72">
        <f t="shared" si="33"/>
        <v>-257.6942796</v>
      </c>
      <c r="CF14" s="72">
        <f t="shared" si="33"/>
        <v>-257.6942796</v>
      </c>
      <c r="CG14" s="72">
        <f t="shared" si="33"/>
        <v>-257.6942796</v>
      </c>
      <c r="CH14" s="71">
        <f t="shared" si="27"/>
        <v>-2906.791474</v>
      </c>
      <c r="CI14" s="73"/>
    </row>
    <row r="15" ht="19.5" customHeight="1">
      <c r="A15" s="68"/>
      <c r="B15" s="69" t="s">
        <v>137</v>
      </c>
      <c r="C15" s="69" t="s">
        <v>138</v>
      </c>
      <c r="D15" s="72">
        <v>0.0</v>
      </c>
      <c r="E15" s="72">
        <v>0.0</v>
      </c>
      <c r="F15" s="72">
        <v>0.0</v>
      </c>
      <c r="G15" s="72">
        <v>0.0</v>
      </c>
      <c r="H15" s="72">
        <v>0.0</v>
      </c>
      <c r="I15" s="72">
        <v>0.0</v>
      </c>
      <c r="J15" s="72">
        <v>0.0</v>
      </c>
      <c r="K15" s="72">
        <v>0.0</v>
      </c>
      <c r="L15" s="75">
        <v>-3000.0</v>
      </c>
      <c r="M15" s="72">
        <v>0.0</v>
      </c>
      <c r="N15" s="72">
        <v>0.0</v>
      </c>
      <c r="O15" s="75">
        <v>-3000.0</v>
      </c>
      <c r="P15" s="71">
        <f t="shared" si="17"/>
        <v>-6000</v>
      </c>
      <c r="Q15" s="68"/>
      <c r="R15" s="72">
        <f t="shared" ref="R15:AC15" si="34">D15*(1+$R$7)</f>
        <v>0</v>
      </c>
      <c r="S15" s="72">
        <f t="shared" si="34"/>
        <v>0</v>
      </c>
      <c r="T15" s="72">
        <f t="shared" si="34"/>
        <v>0</v>
      </c>
      <c r="U15" s="72">
        <f t="shared" si="34"/>
        <v>0</v>
      </c>
      <c r="V15" s="72">
        <f t="shared" si="34"/>
        <v>0</v>
      </c>
      <c r="W15" s="72">
        <f t="shared" si="34"/>
        <v>0</v>
      </c>
      <c r="X15" s="72">
        <f t="shared" si="34"/>
        <v>0</v>
      </c>
      <c r="Y15" s="72">
        <f t="shared" si="34"/>
        <v>0</v>
      </c>
      <c r="Z15" s="72">
        <f t="shared" si="34"/>
        <v>-3168</v>
      </c>
      <c r="AA15" s="72">
        <f t="shared" si="34"/>
        <v>0</v>
      </c>
      <c r="AB15" s="72">
        <f t="shared" si="34"/>
        <v>0</v>
      </c>
      <c r="AC15" s="72">
        <f t="shared" si="34"/>
        <v>-3168</v>
      </c>
      <c r="AD15" s="71">
        <f t="shared" si="19"/>
        <v>-6336</v>
      </c>
      <c r="AE15" s="68"/>
      <c r="AF15" s="72">
        <f t="shared" ref="AF15:AQ15" si="35">R15*(1+$AF$7)</f>
        <v>0</v>
      </c>
      <c r="AG15" s="72">
        <f t="shared" si="35"/>
        <v>0</v>
      </c>
      <c r="AH15" s="72">
        <f t="shared" si="35"/>
        <v>0</v>
      </c>
      <c r="AI15" s="72">
        <f t="shared" si="35"/>
        <v>0</v>
      </c>
      <c r="AJ15" s="72">
        <f t="shared" si="35"/>
        <v>0</v>
      </c>
      <c r="AK15" s="72">
        <f t="shared" si="35"/>
        <v>0</v>
      </c>
      <c r="AL15" s="72">
        <f t="shared" si="35"/>
        <v>0</v>
      </c>
      <c r="AM15" s="72">
        <f t="shared" si="35"/>
        <v>0</v>
      </c>
      <c r="AN15" s="72">
        <f t="shared" si="35"/>
        <v>-3329.568</v>
      </c>
      <c r="AO15" s="72">
        <f t="shared" si="35"/>
        <v>0</v>
      </c>
      <c r="AP15" s="72">
        <f t="shared" si="35"/>
        <v>0</v>
      </c>
      <c r="AQ15" s="72">
        <f t="shared" si="35"/>
        <v>-3329.568</v>
      </c>
      <c r="AR15" s="71">
        <f t="shared" si="21"/>
        <v>-6659.136</v>
      </c>
      <c r="AS15" s="73"/>
      <c r="AT15" s="72">
        <f t="shared" ref="AT15:BE15" si="36">AF15*(1+$AF$7)</f>
        <v>0</v>
      </c>
      <c r="AU15" s="72">
        <f t="shared" si="36"/>
        <v>0</v>
      </c>
      <c r="AV15" s="72">
        <f t="shared" si="36"/>
        <v>0</v>
      </c>
      <c r="AW15" s="72">
        <f t="shared" si="36"/>
        <v>0</v>
      </c>
      <c r="AX15" s="72">
        <f t="shared" si="36"/>
        <v>0</v>
      </c>
      <c r="AY15" s="72">
        <f t="shared" si="36"/>
        <v>0</v>
      </c>
      <c r="AZ15" s="72">
        <f t="shared" si="36"/>
        <v>0</v>
      </c>
      <c r="BA15" s="72">
        <f t="shared" si="36"/>
        <v>0</v>
      </c>
      <c r="BB15" s="72">
        <f t="shared" si="36"/>
        <v>-3499.375968</v>
      </c>
      <c r="BC15" s="72">
        <f t="shared" si="36"/>
        <v>0</v>
      </c>
      <c r="BD15" s="72">
        <f t="shared" si="36"/>
        <v>0</v>
      </c>
      <c r="BE15" s="72">
        <f t="shared" si="36"/>
        <v>-3499.375968</v>
      </c>
      <c r="BF15" s="71">
        <f t="shared" si="23"/>
        <v>-6998.751936</v>
      </c>
      <c r="BG15" s="73"/>
      <c r="BH15" s="72">
        <f t="shared" ref="BH15:BS15" si="37">AT15*(1+$AF$7)</f>
        <v>0</v>
      </c>
      <c r="BI15" s="72">
        <f t="shared" si="37"/>
        <v>0</v>
      </c>
      <c r="BJ15" s="72">
        <f t="shared" si="37"/>
        <v>0</v>
      </c>
      <c r="BK15" s="72">
        <f t="shared" si="37"/>
        <v>0</v>
      </c>
      <c r="BL15" s="72">
        <f t="shared" si="37"/>
        <v>0</v>
      </c>
      <c r="BM15" s="72">
        <f t="shared" si="37"/>
        <v>0</v>
      </c>
      <c r="BN15" s="72">
        <f t="shared" si="37"/>
        <v>0</v>
      </c>
      <c r="BO15" s="72">
        <f t="shared" si="37"/>
        <v>0</v>
      </c>
      <c r="BP15" s="72">
        <f t="shared" si="37"/>
        <v>-3677.844142</v>
      </c>
      <c r="BQ15" s="72">
        <f t="shared" si="37"/>
        <v>0</v>
      </c>
      <c r="BR15" s="72">
        <f t="shared" si="37"/>
        <v>0</v>
      </c>
      <c r="BS15" s="72">
        <f t="shared" si="37"/>
        <v>-3677.844142</v>
      </c>
      <c r="BT15" s="71">
        <f t="shared" si="25"/>
        <v>-7355.688285</v>
      </c>
      <c r="BU15" s="73"/>
      <c r="BV15" s="72">
        <f t="shared" ref="BV15:CG15" si="38">BH15*(1+$AF$7)</f>
        <v>0</v>
      </c>
      <c r="BW15" s="72">
        <f t="shared" si="38"/>
        <v>0</v>
      </c>
      <c r="BX15" s="72">
        <f t="shared" si="38"/>
        <v>0</v>
      </c>
      <c r="BY15" s="72">
        <f t="shared" si="38"/>
        <v>0</v>
      </c>
      <c r="BZ15" s="72">
        <f t="shared" si="38"/>
        <v>0</v>
      </c>
      <c r="CA15" s="72">
        <f t="shared" si="38"/>
        <v>0</v>
      </c>
      <c r="CB15" s="72">
        <f t="shared" si="38"/>
        <v>0</v>
      </c>
      <c r="CC15" s="72">
        <f t="shared" si="38"/>
        <v>0</v>
      </c>
      <c r="CD15" s="72">
        <f t="shared" si="38"/>
        <v>-3865.414194</v>
      </c>
      <c r="CE15" s="72">
        <f t="shared" si="38"/>
        <v>0</v>
      </c>
      <c r="CF15" s="72">
        <f t="shared" si="38"/>
        <v>0</v>
      </c>
      <c r="CG15" s="72">
        <f t="shared" si="38"/>
        <v>-3865.414194</v>
      </c>
      <c r="CH15" s="71">
        <f t="shared" si="27"/>
        <v>-7730.828387</v>
      </c>
      <c r="CI15" s="73"/>
    </row>
    <row r="16" ht="19.5" customHeight="1">
      <c r="A16" s="68"/>
      <c r="B16" s="69" t="s">
        <v>139</v>
      </c>
      <c r="C16" s="69" t="s">
        <v>140</v>
      </c>
      <c r="D16" s="72">
        <v>0.0</v>
      </c>
      <c r="E16" s="72">
        <v>0.0</v>
      </c>
      <c r="F16" s="72">
        <v>0.0</v>
      </c>
      <c r="G16" s="72">
        <v>0.0</v>
      </c>
      <c r="H16" s="72">
        <v>0.0</v>
      </c>
      <c r="I16" s="75">
        <v>-500.0</v>
      </c>
      <c r="J16" s="75">
        <v>-500.0</v>
      </c>
      <c r="K16" s="75">
        <v>-635.0</v>
      </c>
      <c r="L16" s="75">
        <v>-635.0</v>
      </c>
      <c r="M16" s="75">
        <v>-635.0</v>
      </c>
      <c r="N16" s="75">
        <v>-635.0</v>
      </c>
      <c r="O16" s="75">
        <v>-635.0</v>
      </c>
      <c r="P16" s="71">
        <f t="shared" si="17"/>
        <v>-4175</v>
      </c>
      <c r="Q16" s="68"/>
      <c r="R16" s="72">
        <f t="shared" ref="R16:AC16" si="39">D16*(1+$R$7)</f>
        <v>0</v>
      </c>
      <c r="S16" s="72">
        <f t="shared" si="39"/>
        <v>0</v>
      </c>
      <c r="T16" s="72">
        <f t="shared" si="39"/>
        <v>0</v>
      </c>
      <c r="U16" s="72">
        <f t="shared" si="39"/>
        <v>0</v>
      </c>
      <c r="V16" s="72">
        <f t="shared" si="39"/>
        <v>0</v>
      </c>
      <c r="W16" s="72">
        <f t="shared" si="39"/>
        <v>-528</v>
      </c>
      <c r="X16" s="72">
        <f t="shared" si="39"/>
        <v>-528</v>
      </c>
      <c r="Y16" s="72">
        <f t="shared" si="39"/>
        <v>-670.56</v>
      </c>
      <c r="Z16" s="72">
        <f t="shared" si="39"/>
        <v>-670.56</v>
      </c>
      <c r="AA16" s="72">
        <f t="shared" si="39"/>
        <v>-670.56</v>
      </c>
      <c r="AB16" s="72">
        <f t="shared" si="39"/>
        <v>-670.56</v>
      </c>
      <c r="AC16" s="72">
        <f t="shared" si="39"/>
        <v>-670.56</v>
      </c>
      <c r="AD16" s="71">
        <f t="shared" si="19"/>
        <v>-4408.8</v>
      </c>
      <c r="AE16" s="68"/>
      <c r="AF16" s="72">
        <f t="shared" ref="AF16:AQ16" si="40">R16*(1+$AF$7)</f>
        <v>0</v>
      </c>
      <c r="AG16" s="72">
        <f t="shared" si="40"/>
        <v>0</v>
      </c>
      <c r="AH16" s="72">
        <f t="shared" si="40"/>
        <v>0</v>
      </c>
      <c r="AI16" s="72">
        <f t="shared" si="40"/>
        <v>0</v>
      </c>
      <c r="AJ16" s="72">
        <f t="shared" si="40"/>
        <v>0</v>
      </c>
      <c r="AK16" s="72">
        <f t="shared" si="40"/>
        <v>-554.928</v>
      </c>
      <c r="AL16" s="72">
        <f t="shared" si="40"/>
        <v>-554.928</v>
      </c>
      <c r="AM16" s="72">
        <f t="shared" si="40"/>
        <v>-704.75856</v>
      </c>
      <c r="AN16" s="72">
        <f t="shared" si="40"/>
        <v>-704.75856</v>
      </c>
      <c r="AO16" s="72">
        <f t="shared" si="40"/>
        <v>-704.75856</v>
      </c>
      <c r="AP16" s="72">
        <f t="shared" si="40"/>
        <v>-704.75856</v>
      </c>
      <c r="AQ16" s="72">
        <f t="shared" si="40"/>
        <v>-704.75856</v>
      </c>
      <c r="AR16" s="71">
        <f t="shared" si="21"/>
        <v>-4633.6488</v>
      </c>
      <c r="AS16" s="73"/>
      <c r="AT16" s="72">
        <f t="shared" ref="AT16:BE16" si="41">AF16*(1+$AF$7)</f>
        <v>0</v>
      </c>
      <c r="AU16" s="72">
        <f t="shared" si="41"/>
        <v>0</v>
      </c>
      <c r="AV16" s="72">
        <f t="shared" si="41"/>
        <v>0</v>
      </c>
      <c r="AW16" s="72">
        <f t="shared" si="41"/>
        <v>0</v>
      </c>
      <c r="AX16" s="72">
        <f t="shared" si="41"/>
        <v>0</v>
      </c>
      <c r="AY16" s="72">
        <f t="shared" si="41"/>
        <v>-583.229328</v>
      </c>
      <c r="AZ16" s="72">
        <f t="shared" si="41"/>
        <v>-583.229328</v>
      </c>
      <c r="BA16" s="72">
        <f t="shared" si="41"/>
        <v>-740.7012466</v>
      </c>
      <c r="BB16" s="72">
        <f t="shared" si="41"/>
        <v>-740.7012466</v>
      </c>
      <c r="BC16" s="72">
        <f t="shared" si="41"/>
        <v>-740.7012466</v>
      </c>
      <c r="BD16" s="72">
        <f t="shared" si="41"/>
        <v>-740.7012466</v>
      </c>
      <c r="BE16" s="72">
        <f t="shared" si="41"/>
        <v>-740.7012466</v>
      </c>
      <c r="BF16" s="71">
        <f t="shared" si="23"/>
        <v>-4869.964889</v>
      </c>
      <c r="BG16" s="73"/>
      <c r="BH16" s="72">
        <f t="shared" ref="BH16:BS16" si="42">AT16*(1+$AF$7)</f>
        <v>0</v>
      </c>
      <c r="BI16" s="72">
        <f t="shared" si="42"/>
        <v>0</v>
      </c>
      <c r="BJ16" s="72">
        <f t="shared" si="42"/>
        <v>0</v>
      </c>
      <c r="BK16" s="72">
        <f t="shared" si="42"/>
        <v>0</v>
      </c>
      <c r="BL16" s="72">
        <f t="shared" si="42"/>
        <v>0</v>
      </c>
      <c r="BM16" s="72">
        <f t="shared" si="42"/>
        <v>-612.9740237</v>
      </c>
      <c r="BN16" s="72">
        <f t="shared" si="42"/>
        <v>-612.9740237</v>
      </c>
      <c r="BO16" s="72">
        <f t="shared" si="42"/>
        <v>-778.4770101</v>
      </c>
      <c r="BP16" s="72">
        <f t="shared" si="42"/>
        <v>-778.4770101</v>
      </c>
      <c r="BQ16" s="72">
        <f t="shared" si="42"/>
        <v>-778.4770101</v>
      </c>
      <c r="BR16" s="72">
        <f t="shared" si="42"/>
        <v>-778.4770101</v>
      </c>
      <c r="BS16" s="72">
        <f t="shared" si="42"/>
        <v>-778.4770101</v>
      </c>
      <c r="BT16" s="71">
        <f t="shared" si="25"/>
        <v>-5118.333098</v>
      </c>
      <c r="BU16" s="73"/>
      <c r="BV16" s="72">
        <f t="shared" ref="BV16:CG16" si="43">BH16*(1+$AF$7)</f>
        <v>0</v>
      </c>
      <c r="BW16" s="72">
        <f t="shared" si="43"/>
        <v>0</v>
      </c>
      <c r="BX16" s="72">
        <f t="shared" si="43"/>
        <v>0</v>
      </c>
      <c r="BY16" s="72">
        <f t="shared" si="43"/>
        <v>0</v>
      </c>
      <c r="BZ16" s="72">
        <f t="shared" si="43"/>
        <v>0</v>
      </c>
      <c r="CA16" s="72">
        <f t="shared" si="43"/>
        <v>-644.2356989</v>
      </c>
      <c r="CB16" s="72">
        <f t="shared" si="43"/>
        <v>-644.2356989</v>
      </c>
      <c r="CC16" s="72">
        <f t="shared" si="43"/>
        <v>-818.1793377</v>
      </c>
      <c r="CD16" s="72">
        <f t="shared" si="43"/>
        <v>-818.1793377</v>
      </c>
      <c r="CE16" s="72">
        <f t="shared" si="43"/>
        <v>-818.1793377</v>
      </c>
      <c r="CF16" s="72">
        <f t="shared" si="43"/>
        <v>-818.1793377</v>
      </c>
      <c r="CG16" s="72">
        <f t="shared" si="43"/>
        <v>-818.1793377</v>
      </c>
      <c r="CH16" s="71">
        <f t="shared" si="27"/>
        <v>-5379.368086</v>
      </c>
      <c r="CI16" s="73"/>
    </row>
    <row r="17" ht="19.5" customHeight="1">
      <c r="A17" s="68"/>
      <c r="B17" s="76" t="s">
        <v>141</v>
      </c>
      <c r="C17" s="69" t="s">
        <v>142</v>
      </c>
      <c r="D17" s="72">
        <v>0.0</v>
      </c>
      <c r="E17" s="72">
        <v>0.0</v>
      </c>
      <c r="F17" s="72">
        <v>0.0</v>
      </c>
      <c r="G17" s="72">
        <v>0.0</v>
      </c>
      <c r="H17" s="72">
        <v>0.0</v>
      </c>
      <c r="I17" s="75">
        <v>-2100.0</v>
      </c>
      <c r="J17" s="75">
        <v>-2100.0</v>
      </c>
      <c r="K17" s="75">
        <v>-2100.0</v>
      </c>
      <c r="L17" s="75">
        <v>0.0</v>
      </c>
      <c r="M17" s="72">
        <v>0.0</v>
      </c>
      <c r="N17" s="72">
        <v>0.0</v>
      </c>
      <c r="O17" s="75">
        <v>0.0</v>
      </c>
      <c r="P17" s="71">
        <f t="shared" si="17"/>
        <v>-6300</v>
      </c>
      <c r="Q17" s="68"/>
      <c r="R17" s="72">
        <f t="shared" ref="R17:AC17" si="44">D17*(1+$R$7)</f>
        <v>0</v>
      </c>
      <c r="S17" s="72">
        <f t="shared" si="44"/>
        <v>0</v>
      </c>
      <c r="T17" s="72">
        <f t="shared" si="44"/>
        <v>0</v>
      </c>
      <c r="U17" s="72">
        <f t="shared" si="44"/>
        <v>0</v>
      </c>
      <c r="V17" s="72">
        <f t="shared" si="44"/>
        <v>0</v>
      </c>
      <c r="W17" s="72">
        <f t="shared" si="44"/>
        <v>-2217.6</v>
      </c>
      <c r="X17" s="72">
        <f t="shared" si="44"/>
        <v>-2217.6</v>
      </c>
      <c r="Y17" s="72">
        <f t="shared" si="44"/>
        <v>-2217.6</v>
      </c>
      <c r="Z17" s="72">
        <f t="shared" si="44"/>
        <v>0</v>
      </c>
      <c r="AA17" s="72">
        <f t="shared" si="44"/>
        <v>0</v>
      </c>
      <c r="AB17" s="72">
        <f t="shared" si="44"/>
        <v>0</v>
      </c>
      <c r="AC17" s="72">
        <f t="shared" si="44"/>
        <v>0</v>
      </c>
      <c r="AD17" s="71">
        <f t="shared" si="19"/>
        <v>-6652.8</v>
      </c>
      <c r="AE17" s="68"/>
      <c r="AF17" s="72">
        <f t="shared" ref="AF17:AQ17" si="45">R17*(1+$AF$7)</f>
        <v>0</v>
      </c>
      <c r="AG17" s="72">
        <f t="shared" si="45"/>
        <v>0</v>
      </c>
      <c r="AH17" s="72">
        <f t="shared" si="45"/>
        <v>0</v>
      </c>
      <c r="AI17" s="72">
        <f t="shared" si="45"/>
        <v>0</v>
      </c>
      <c r="AJ17" s="72">
        <f t="shared" si="45"/>
        <v>0</v>
      </c>
      <c r="AK17" s="72">
        <f t="shared" si="45"/>
        <v>-2330.6976</v>
      </c>
      <c r="AL17" s="72">
        <f t="shared" si="45"/>
        <v>-2330.6976</v>
      </c>
      <c r="AM17" s="72">
        <f t="shared" si="45"/>
        <v>-2330.6976</v>
      </c>
      <c r="AN17" s="72">
        <f t="shared" si="45"/>
        <v>0</v>
      </c>
      <c r="AO17" s="72">
        <f t="shared" si="45"/>
        <v>0</v>
      </c>
      <c r="AP17" s="72">
        <f t="shared" si="45"/>
        <v>0</v>
      </c>
      <c r="AQ17" s="72">
        <f t="shared" si="45"/>
        <v>0</v>
      </c>
      <c r="AR17" s="71">
        <f t="shared" si="21"/>
        <v>-6992.0928</v>
      </c>
      <c r="AS17" s="73"/>
      <c r="AT17" s="72">
        <f t="shared" ref="AT17:BE17" si="46">AF17*(1+$AF$7)</f>
        <v>0</v>
      </c>
      <c r="AU17" s="72">
        <f t="shared" si="46"/>
        <v>0</v>
      </c>
      <c r="AV17" s="72">
        <f t="shared" si="46"/>
        <v>0</v>
      </c>
      <c r="AW17" s="72">
        <f t="shared" si="46"/>
        <v>0</v>
      </c>
      <c r="AX17" s="72">
        <f t="shared" si="46"/>
        <v>0</v>
      </c>
      <c r="AY17" s="72">
        <f t="shared" si="46"/>
        <v>-2449.563178</v>
      </c>
      <c r="AZ17" s="72">
        <f t="shared" si="46"/>
        <v>-2449.563178</v>
      </c>
      <c r="BA17" s="72">
        <f t="shared" si="46"/>
        <v>-2449.563178</v>
      </c>
      <c r="BB17" s="72">
        <f t="shared" si="46"/>
        <v>0</v>
      </c>
      <c r="BC17" s="72">
        <f t="shared" si="46"/>
        <v>0</v>
      </c>
      <c r="BD17" s="72">
        <f t="shared" si="46"/>
        <v>0</v>
      </c>
      <c r="BE17" s="72">
        <f t="shared" si="46"/>
        <v>0</v>
      </c>
      <c r="BF17" s="71">
        <f t="shared" si="23"/>
        <v>-7348.689533</v>
      </c>
      <c r="BG17" s="73">
        <f t="shared" ref="BG17:BG20" si="52">SUM(AT17:BE17)</f>
        <v>-7348.689533</v>
      </c>
      <c r="BH17" s="72">
        <f t="shared" ref="BH17:BS17" si="47">AT17*(1+$AF$7)</f>
        <v>0</v>
      </c>
      <c r="BI17" s="72">
        <f t="shared" si="47"/>
        <v>0</v>
      </c>
      <c r="BJ17" s="72">
        <f t="shared" si="47"/>
        <v>0</v>
      </c>
      <c r="BK17" s="72">
        <f t="shared" si="47"/>
        <v>0</v>
      </c>
      <c r="BL17" s="72">
        <f t="shared" si="47"/>
        <v>0</v>
      </c>
      <c r="BM17" s="72">
        <f t="shared" si="47"/>
        <v>-2574.4909</v>
      </c>
      <c r="BN17" s="72">
        <f t="shared" si="47"/>
        <v>-2574.4909</v>
      </c>
      <c r="BO17" s="72">
        <f t="shared" si="47"/>
        <v>-2574.4909</v>
      </c>
      <c r="BP17" s="72">
        <f t="shared" si="47"/>
        <v>0</v>
      </c>
      <c r="BQ17" s="72">
        <f t="shared" si="47"/>
        <v>0</v>
      </c>
      <c r="BR17" s="72">
        <f t="shared" si="47"/>
        <v>0</v>
      </c>
      <c r="BS17" s="72">
        <f t="shared" si="47"/>
        <v>0</v>
      </c>
      <c r="BT17" s="71">
        <f t="shared" si="25"/>
        <v>-7723.472699</v>
      </c>
      <c r="BU17" s="73"/>
      <c r="BV17" s="72">
        <f t="shared" ref="BV17:CG17" si="48">BH17*(1+$AF$7)</f>
        <v>0</v>
      </c>
      <c r="BW17" s="72">
        <f t="shared" si="48"/>
        <v>0</v>
      </c>
      <c r="BX17" s="72">
        <f t="shared" si="48"/>
        <v>0</v>
      </c>
      <c r="BY17" s="72">
        <f t="shared" si="48"/>
        <v>0</v>
      </c>
      <c r="BZ17" s="72">
        <f t="shared" si="48"/>
        <v>0</v>
      </c>
      <c r="CA17" s="72">
        <f t="shared" si="48"/>
        <v>-2705.789936</v>
      </c>
      <c r="CB17" s="72">
        <f t="shared" si="48"/>
        <v>-2705.789936</v>
      </c>
      <c r="CC17" s="72">
        <f t="shared" si="48"/>
        <v>-2705.789936</v>
      </c>
      <c r="CD17" s="72">
        <f t="shared" si="48"/>
        <v>0</v>
      </c>
      <c r="CE17" s="72">
        <f t="shared" si="48"/>
        <v>0</v>
      </c>
      <c r="CF17" s="72">
        <f t="shared" si="48"/>
        <v>0</v>
      </c>
      <c r="CG17" s="72">
        <f t="shared" si="48"/>
        <v>0</v>
      </c>
      <c r="CH17" s="71">
        <f t="shared" si="27"/>
        <v>-8117.369807</v>
      </c>
      <c r="CI17" s="73"/>
    </row>
    <row r="18" ht="19.5" customHeight="1">
      <c r="B18" s="76" t="s">
        <v>143</v>
      </c>
      <c r="C18" s="69" t="s">
        <v>144</v>
      </c>
      <c r="D18" s="72">
        <v>0.0</v>
      </c>
      <c r="E18" s="72">
        <v>0.0</v>
      </c>
      <c r="F18" s="72">
        <v>0.0</v>
      </c>
      <c r="G18" s="72">
        <v>0.0</v>
      </c>
      <c r="H18" s="72">
        <v>0.0</v>
      </c>
      <c r="I18" s="72">
        <v>0.0</v>
      </c>
      <c r="J18" s="75">
        <v>-7000.0</v>
      </c>
      <c r="K18" s="75">
        <v>-7000.0</v>
      </c>
      <c r="L18" s="75">
        <v>-7000.0</v>
      </c>
      <c r="M18" s="72">
        <v>0.0</v>
      </c>
      <c r="N18" s="72">
        <v>0.0</v>
      </c>
      <c r="O18" s="72">
        <v>0.0</v>
      </c>
      <c r="P18" s="71">
        <f t="shared" si="17"/>
        <v>-21000</v>
      </c>
      <c r="R18" s="72">
        <f t="shared" ref="R18:AC18" si="49">D18*(1+$R$7)</f>
        <v>0</v>
      </c>
      <c r="S18" s="72">
        <f t="shared" si="49"/>
        <v>0</v>
      </c>
      <c r="T18" s="72">
        <f t="shared" si="49"/>
        <v>0</v>
      </c>
      <c r="U18" s="72">
        <f t="shared" si="49"/>
        <v>0</v>
      </c>
      <c r="V18" s="72">
        <f t="shared" si="49"/>
        <v>0</v>
      </c>
      <c r="W18" s="72">
        <f t="shared" si="49"/>
        <v>0</v>
      </c>
      <c r="X18" s="72">
        <f t="shared" si="49"/>
        <v>-7392</v>
      </c>
      <c r="Y18" s="72">
        <f t="shared" si="49"/>
        <v>-7392</v>
      </c>
      <c r="Z18" s="72">
        <f t="shared" si="49"/>
        <v>-7392</v>
      </c>
      <c r="AA18" s="72">
        <f t="shared" si="49"/>
        <v>0</v>
      </c>
      <c r="AB18" s="72">
        <f t="shared" si="49"/>
        <v>0</v>
      </c>
      <c r="AC18" s="72">
        <f t="shared" si="49"/>
        <v>0</v>
      </c>
      <c r="AD18" s="71">
        <f t="shared" si="19"/>
        <v>-22176</v>
      </c>
      <c r="AF18" s="72">
        <f t="shared" ref="AF18:AQ18" si="50">R18*(1+$AF$7)</f>
        <v>0</v>
      </c>
      <c r="AG18" s="72">
        <f t="shared" si="50"/>
        <v>0</v>
      </c>
      <c r="AH18" s="72">
        <f t="shared" si="50"/>
        <v>0</v>
      </c>
      <c r="AI18" s="72">
        <f t="shared" si="50"/>
        <v>0</v>
      </c>
      <c r="AJ18" s="72">
        <f t="shared" si="50"/>
        <v>0</v>
      </c>
      <c r="AK18" s="72">
        <f t="shared" si="50"/>
        <v>0</v>
      </c>
      <c r="AL18" s="72">
        <f t="shared" si="50"/>
        <v>-7768.992</v>
      </c>
      <c r="AM18" s="72">
        <f t="shared" si="50"/>
        <v>-7768.992</v>
      </c>
      <c r="AN18" s="72">
        <f t="shared" si="50"/>
        <v>-7768.992</v>
      </c>
      <c r="AO18" s="72">
        <f t="shared" si="50"/>
        <v>0</v>
      </c>
      <c r="AP18" s="72">
        <f t="shared" si="50"/>
        <v>0</v>
      </c>
      <c r="AQ18" s="72">
        <f t="shared" si="50"/>
        <v>0</v>
      </c>
      <c r="AR18" s="71">
        <f t="shared" si="21"/>
        <v>-23306.976</v>
      </c>
      <c r="AS18" s="73"/>
      <c r="AT18" s="72">
        <f t="shared" ref="AT18:BE18" si="51">AF18*(1+$AF$7)</f>
        <v>0</v>
      </c>
      <c r="AU18" s="72">
        <f t="shared" si="51"/>
        <v>0</v>
      </c>
      <c r="AV18" s="72">
        <f t="shared" si="51"/>
        <v>0</v>
      </c>
      <c r="AW18" s="72">
        <f t="shared" si="51"/>
        <v>0</v>
      </c>
      <c r="AX18" s="72">
        <f t="shared" si="51"/>
        <v>0</v>
      </c>
      <c r="AY18" s="72">
        <f t="shared" si="51"/>
        <v>0</v>
      </c>
      <c r="AZ18" s="72">
        <f t="shared" si="51"/>
        <v>-8165.210592</v>
      </c>
      <c r="BA18" s="72">
        <f t="shared" si="51"/>
        <v>-8165.210592</v>
      </c>
      <c r="BB18" s="72">
        <f t="shared" si="51"/>
        <v>-8165.210592</v>
      </c>
      <c r="BC18" s="72">
        <f t="shared" si="51"/>
        <v>0</v>
      </c>
      <c r="BD18" s="72">
        <f t="shared" si="51"/>
        <v>0</v>
      </c>
      <c r="BE18" s="72">
        <f t="shared" si="51"/>
        <v>0</v>
      </c>
      <c r="BF18" s="71">
        <f t="shared" si="23"/>
        <v>-24495.63178</v>
      </c>
      <c r="BG18" s="73">
        <f t="shared" si="52"/>
        <v>-24495.63178</v>
      </c>
      <c r="BH18" s="72">
        <f t="shared" ref="BH18:BS18" si="53">AT18*(1+$AF$7)</f>
        <v>0</v>
      </c>
      <c r="BI18" s="72">
        <f t="shared" si="53"/>
        <v>0</v>
      </c>
      <c r="BJ18" s="72">
        <f t="shared" si="53"/>
        <v>0</v>
      </c>
      <c r="BK18" s="72">
        <f t="shared" si="53"/>
        <v>0</v>
      </c>
      <c r="BL18" s="72">
        <f t="shared" si="53"/>
        <v>0</v>
      </c>
      <c r="BM18" s="72">
        <f t="shared" si="53"/>
        <v>0</v>
      </c>
      <c r="BN18" s="72">
        <f t="shared" si="53"/>
        <v>-8581.636332</v>
      </c>
      <c r="BO18" s="72">
        <f t="shared" si="53"/>
        <v>-8581.636332</v>
      </c>
      <c r="BP18" s="72">
        <f t="shared" si="53"/>
        <v>-8581.636332</v>
      </c>
      <c r="BQ18" s="72">
        <f t="shared" si="53"/>
        <v>0</v>
      </c>
      <c r="BR18" s="72">
        <f t="shared" si="53"/>
        <v>0</v>
      </c>
      <c r="BS18" s="72">
        <f t="shared" si="53"/>
        <v>0</v>
      </c>
      <c r="BT18" s="71">
        <f t="shared" si="25"/>
        <v>-25744.909</v>
      </c>
      <c r="BU18" s="73"/>
      <c r="BV18" s="72">
        <f t="shared" ref="BV18:CG18" si="54">BH18*(1+$AF$7)</f>
        <v>0</v>
      </c>
      <c r="BW18" s="72">
        <f t="shared" si="54"/>
        <v>0</v>
      </c>
      <c r="BX18" s="72">
        <f t="shared" si="54"/>
        <v>0</v>
      </c>
      <c r="BY18" s="72">
        <f t="shared" si="54"/>
        <v>0</v>
      </c>
      <c r="BZ18" s="72">
        <f t="shared" si="54"/>
        <v>0</v>
      </c>
      <c r="CA18" s="72">
        <f t="shared" si="54"/>
        <v>0</v>
      </c>
      <c r="CB18" s="72">
        <f t="shared" si="54"/>
        <v>-9019.299785</v>
      </c>
      <c r="CC18" s="72">
        <f t="shared" si="54"/>
        <v>-9019.299785</v>
      </c>
      <c r="CD18" s="72">
        <f t="shared" si="54"/>
        <v>-9019.299785</v>
      </c>
      <c r="CE18" s="72">
        <f t="shared" si="54"/>
        <v>0</v>
      </c>
      <c r="CF18" s="72">
        <f t="shared" si="54"/>
        <v>0</v>
      </c>
      <c r="CG18" s="72">
        <f t="shared" si="54"/>
        <v>0</v>
      </c>
      <c r="CH18" s="71">
        <f t="shared" si="27"/>
        <v>-27057.89936</v>
      </c>
    </row>
    <row r="19" ht="19.5" customHeight="1">
      <c r="B19" s="141" t="s">
        <v>145</v>
      </c>
      <c r="C19" s="69" t="s">
        <v>146</v>
      </c>
      <c r="D19" s="72">
        <v>0.0</v>
      </c>
      <c r="E19" s="72">
        <v>0.0</v>
      </c>
      <c r="F19" s="72">
        <v>0.0</v>
      </c>
      <c r="G19" s="72">
        <v>0.0</v>
      </c>
      <c r="H19" s="72">
        <v>0.0</v>
      </c>
      <c r="I19" s="72">
        <v>0.0</v>
      </c>
      <c r="J19" s="72">
        <v>0.0</v>
      </c>
      <c r="K19" s="142">
        <v>-635.0</v>
      </c>
      <c r="L19" s="142">
        <v>-635.0</v>
      </c>
      <c r="M19" s="142">
        <v>-635.0</v>
      </c>
      <c r="N19" s="142">
        <v>-635.0</v>
      </c>
      <c r="O19" s="142">
        <v>-635.0</v>
      </c>
      <c r="P19" s="71">
        <f t="shared" si="17"/>
        <v>-3175</v>
      </c>
      <c r="R19" s="142">
        <v>-670.56</v>
      </c>
      <c r="S19" s="142">
        <v>-670.56</v>
      </c>
      <c r="T19" s="142">
        <v>-670.56</v>
      </c>
      <c r="U19" s="142">
        <v>-670.56</v>
      </c>
      <c r="V19" s="142">
        <v>-670.56</v>
      </c>
      <c r="W19" s="142">
        <v>-670.56</v>
      </c>
      <c r="X19" s="142">
        <v>-670.56</v>
      </c>
      <c r="Y19" s="72">
        <f t="shared" ref="Y19:AC19" si="55">K19*(1+$R$7)</f>
        <v>-670.56</v>
      </c>
      <c r="Z19" s="72">
        <f t="shared" si="55"/>
        <v>-670.56</v>
      </c>
      <c r="AA19" s="72">
        <f t="shared" si="55"/>
        <v>-670.56</v>
      </c>
      <c r="AB19" s="72">
        <f t="shared" si="55"/>
        <v>-670.56</v>
      </c>
      <c r="AC19" s="72">
        <f t="shared" si="55"/>
        <v>-670.56</v>
      </c>
      <c r="AD19" s="71">
        <f t="shared" si="19"/>
        <v>-8046.72</v>
      </c>
      <c r="AF19" s="72">
        <f t="shared" ref="AF19:AQ19" si="56">R19*(1+$AF$7)</f>
        <v>-704.75856</v>
      </c>
      <c r="AG19" s="72">
        <f t="shared" si="56"/>
        <v>-704.75856</v>
      </c>
      <c r="AH19" s="72">
        <f t="shared" si="56"/>
        <v>-704.75856</v>
      </c>
      <c r="AI19" s="72">
        <f t="shared" si="56"/>
        <v>-704.75856</v>
      </c>
      <c r="AJ19" s="72">
        <f t="shared" si="56"/>
        <v>-704.75856</v>
      </c>
      <c r="AK19" s="72">
        <f t="shared" si="56"/>
        <v>-704.75856</v>
      </c>
      <c r="AL19" s="72">
        <f t="shared" si="56"/>
        <v>-704.75856</v>
      </c>
      <c r="AM19" s="72">
        <f t="shared" si="56"/>
        <v>-704.75856</v>
      </c>
      <c r="AN19" s="72">
        <f t="shared" si="56"/>
        <v>-704.75856</v>
      </c>
      <c r="AO19" s="72">
        <f t="shared" si="56"/>
        <v>-704.75856</v>
      </c>
      <c r="AP19" s="72">
        <f t="shared" si="56"/>
        <v>-704.75856</v>
      </c>
      <c r="AQ19" s="72">
        <f t="shared" si="56"/>
        <v>-704.75856</v>
      </c>
      <c r="AR19" s="71">
        <f t="shared" si="21"/>
        <v>-8457.10272</v>
      </c>
      <c r="AS19" s="73"/>
      <c r="AT19" s="72">
        <f t="shared" ref="AT19:BE19" si="57">AF19*(1+$AF$7)</f>
        <v>-740.7012466</v>
      </c>
      <c r="AU19" s="72">
        <f t="shared" si="57"/>
        <v>-740.7012466</v>
      </c>
      <c r="AV19" s="72">
        <f t="shared" si="57"/>
        <v>-740.7012466</v>
      </c>
      <c r="AW19" s="72">
        <f t="shared" si="57"/>
        <v>-740.7012466</v>
      </c>
      <c r="AX19" s="72">
        <f t="shared" si="57"/>
        <v>-740.7012466</v>
      </c>
      <c r="AY19" s="72">
        <f t="shared" si="57"/>
        <v>-740.7012466</v>
      </c>
      <c r="AZ19" s="72">
        <f t="shared" si="57"/>
        <v>-740.7012466</v>
      </c>
      <c r="BA19" s="72">
        <f t="shared" si="57"/>
        <v>-740.7012466</v>
      </c>
      <c r="BB19" s="72">
        <f t="shared" si="57"/>
        <v>-740.7012466</v>
      </c>
      <c r="BC19" s="72">
        <f t="shared" si="57"/>
        <v>-740.7012466</v>
      </c>
      <c r="BD19" s="72">
        <f t="shared" si="57"/>
        <v>-740.7012466</v>
      </c>
      <c r="BE19" s="72">
        <f t="shared" si="57"/>
        <v>-740.7012466</v>
      </c>
      <c r="BF19" s="71">
        <f t="shared" si="23"/>
        <v>-8888.414959</v>
      </c>
      <c r="BG19" s="73">
        <f t="shared" si="52"/>
        <v>-8888.414959</v>
      </c>
      <c r="BH19" s="72">
        <f t="shared" ref="BH19:BS19" si="58">AT19*(1+$AF$7)</f>
        <v>-778.4770101</v>
      </c>
      <c r="BI19" s="72">
        <f t="shared" si="58"/>
        <v>-778.4770101</v>
      </c>
      <c r="BJ19" s="72">
        <f t="shared" si="58"/>
        <v>-778.4770101</v>
      </c>
      <c r="BK19" s="72">
        <f t="shared" si="58"/>
        <v>-778.4770101</v>
      </c>
      <c r="BL19" s="72">
        <f t="shared" si="58"/>
        <v>-778.4770101</v>
      </c>
      <c r="BM19" s="72">
        <f t="shared" si="58"/>
        <v>-778.4770101</v>
      </c>
      <c r="BN19" s="72">
        <f t="shared" si="58"/>
        <v>-778.4770101</v>
      </c>
      <c r="BO19" s="72">
        <f t="shared" si="58"/>
        <v>-778.4770101</v>
      </c>
      <c r="BP19" s="72">
        <f t="shared" si="58"/>
        <v>-778.4770101</v>
      </c>
      <c r="BQ19" s="72">
        <f t="shared" si="58"/>
        <v>-778.4770101</v>
      </c>
      <c r="BR19" s="72">
        <f t="shared" si="58"/>
        <v>-778.4770101</v>
      </c>
      <c r="BS19" s="72">
        <f t="shared" si="58"/>
        <v>-778.4770101</v>
      </c>
      <c r="BT19" s="71">
        <f t="shared" si="25"/>
        <v>-9341.724122</v>
      </c>
      <c r="BU19" s="73"/>
      <c r="BV19" s="72">
        <f t="shared" ref="BV19:CG19" si="59">BH19*(1+$AF$7)</f>
        <v>-818.1793377</v>
      </c>
      <c r="BW19" s="72">
        <f t="shared" si="59"/>
        <v>-818.1793377</v>
      </c>
      <c r="BX19" s="72">
        <f t="shared" si="59"/>
        <v>-818.1793377</v>
      </c>
      <c r="BY19" s="72">
        <f t="shared" si="59"/>
        <v>-818.1793377</v>
      </c>
      <c r="BZ19" s="72">
        <f t="shared" si="59"/>
        <v>-818.1793377</v>
      </c>
      <c r="CA19" s="72">
        <f t="shared" si="59"/>
        <v>-818.1793377</v>
      </c>
      <c r="CB19" s="72">
        <f t="shared" si="59"/>
        <v>-818.1793377</v>
      </c>
      <c r="CC19" s="72">
        <f t="shared" si="59"/>
        <v>-818.1793377</v>
      </c>
      <c r="CD19" s="72">
        <f t="shared" si="59"/>
        <v>-818.1793377</v>
      </c>
      <c r="CE19" s="72">
        <f t="shared" si="59"/>
        <v>-818.1793377</v>
      </c>
      <c r="CF19" s="72">
        <f t="shared" si="59"/>
        <v>-818.1793377</v>
      </c>
      <c r="CG19" s="72">
        <f t="shared" si="59"/>
        <v>-818.1793377</v>
      </c>
      <c r="CH19" s="71">
        <f t="shared" si="27"/>
        <v>-9818.152052</v>
      </c>
    </row>
    <row r="20" ht="19.5" customHeight="1">
      <c r="B20" s="69" t="s">
        <v>71</v>
      </c>
      <c r="C20" s="69" t="s">
        <v>147</v>
      </c>
      <c r="D20" s="72">
        <v>0.0</v>
      </c>
      <c r="E20" s="72">
        <v>0.0</v>
      </c>
      <c r="F20" s="72">
        <v>0.0</v>
      </c>
      <c r="G20" s="72">
        <v>0.0</v>
      </c>
      <c r="H20" s="72">
        <v>0.0</v>
      </c>
      <c r="I20" s="72">
        <v>0.0</v>
      </c>
      <c r="J20" s="72">
        <v>0.0</v>
      </c>
      <c r="K20" s="72">
        <v>0.0</v>
      </c>
      <c r="L20" s="72">
        <v>0.0</v>
      </c>
      <c r="M20" s="72">
        <v>0.0</v>
      </c>
      <c r="N20" s="72">
        <v>0.0</v>
      </c>
      <c r="O20" s="72">
        <v>0.0</v>
      </c>
      <c r="P20" s="71">
        <f t="shared" si="17"/>
        <v>0</v>
      </c>
      <c r="R20" s="72">
        <f t="shared" ref="R20:AC20" si="60">D20*(1+$R$7)</f>
        <v>0</v>
      </c>
      <c r="S20" s="72">
        <f t="shared" si="60"/>
        <v>0</v>
      </c>
      <c r="T20" s="72">
        <f t="shared" si="60"/>
        <v>0</v>
      </c>
      <c r="U20" s="72">
        <f t="shared" si="60"/>
        <v>0</v>
      </c>
      <c r="V20" s="72">
        <f t="shared" si="60"/>
        <v>0</v>
      </c>
      <c r="W20" s="72">
        <f t="shared" si="60"/>
        <v>0</v>
      </c>
      <c r="X20" s="72">
        <f t="shared" si="60"/>
        <v>0</v>
      </c>
      <c r="Y20" s="72">
        <f t="shared" si="60"/>
        <v>0</v>
      </c>
      <c r="Z20" s="72">
        <f t="shared" si="60"/>
        <v>0</v>
      </c>
      <c r="AA20" s="72">
        <f t="shared" si="60"/>
        <v>0</v>
      </c>
      <c r="AB20" s="72">
        <f t="shared" si="60"/>
        <v>0</v>
      </c>
      <c r="AC20" s="72">
        <f t="shared" si="60"/>
        <v>0</v>
      </c>
      <c r="AD20" s="71">
        <f t="shared" si="19"/>
        <v>0</v>
      </c>
      <c r="AF20" s="72">
        <f t="shared" ref="AF20:AQ20" si="61">R20*(1+$AF$7)</f>
        <v>0</v>
      </c>
      <c r="AG20" s="72">
        <f t="shared" si="61"/>
        <v>0</v>
      </c>
      <c r="AH20" s="72">
        <f t="shared" si="61"/>
        <v>0</v>
      </c>
      <c r="AI20" s="72">
        <f t="shared" si="61"/>
        <v>0</v>
      </c>
      <c r="AJ20" s="72">
        <f t="shared" si="61"/>
        <v>0</v>
      </c>
      <c r="AK20" s="72">
        <f t="shared" si="61"/>
        <v>0</v>
      </c>
      <c r="AL20" s="72">
        <f t="shared" si="61"/>
        <v>0</v>
      </c>
      <c r="AM20" s="72">
        <f t="shared" si="61"/>
        <v>0</v>
      </c>
      <c r="AN20" s="72">
        <f t="shared" si="61"/>
        <v>0</v>
      </c>
      <c r="AO20" s="72">
        <f t="shared" si="61"/>
        <v>0</v>
      </c>
      <c r="AP20" s="72">
        <f t="shared" si="61"/>
        <v>0</v>
      </c>
      <c r="AQ20" s="72">
        <f t="shared" si="61"/>
        <v>0</v>
      </c>
      <c r="AR20" s="71">
        <f t="shared" si="21"/>
        <v>0</v>
      </c>
      <c r="AS20" s="73"/>
      <c r="AT20" s="72">
        <f t="shared" ref="AT20:BE20" si="62">AF20*(1+$AF$7)</f>
        <v>0</v>
      </c>
      <c r="AU20" s="72">
        <f t="shared" si="62"/>
        <v>0</v>
      </c>
      <c r="AV20" s="72">
        <f t="shared" si="62"/>
        <v>0</v>
      </c>
      <c r="AW20" s="72">
        <f t="shared" si="62"/>
        <v>0</v>
      </c>
      <c r="AX20" s="72">
        <f t="shared" si="62"/>
        <v>0</v>
      </c>
      <c r="AY20" s="72">
        <f t="shared" si="62"/>
        <v>0</v>
      </c>
      <c r="AZ20" s="72">
        <f t="shared" si="62"/>
        <v>0</v>
      </c>
      <c r="BA20" s="72">
        <f t="shared" si="62"/>
        <v>0</v>
      </c>
      <c r="BB20" s="72">
        <f t="shared" si="62"/>
        <v>0</v>
      </c>
      <c r="BC20" s="72">
        <f t="shared" si="62"/>
        <v>0</v>
      </c>
      <c r="BD20" s="72">
        <f t="shared" si="62"/>
        <v>0</v>
      </c>
      <c r="BE20" s="72">
        <f t="shared" si="62"/>
        <v>0</v>
      </c>
      <c r="BF20" s="71">
        <f t="shared" si="23"/>
        <v>0</v>
      </c>
      <c r="BG20" s="73">
        <f t="shared" si="52"/>
        <v>0</v>
      </c>
      <c r="BH20" s="72">
        <f t="shared" ref="BH20:BS20" si="63">AT20*(1+$AF$7)</f>
        <v>0</v>
      </c>
      <c r="BI20" s="72">
        <f t="shared" si="63"/>
        <v>0</v>
      </c>
      <c r="BJ20" s="72">
        <f t="shared" si="63"/>
        <v>0</v>
      </c>
      <c r="BK20" s="72">
        <f t="shared" si="63"/>
        <v>0</v>
      </c>
      <c r="BL20" s="72">
        <f t="shared" si="63"/>
        <v>0</v>
      </c>
      <c r="BM20" s="72">
        <f t="shared" si="63"/>
        <v>0</v>
      </c>
      <c r="BN20" s="72">
        <f t="shared" si="63"/>
        <v>0</v>
      </c>
      <c r="BO20" s="72">
        <f t="shared" si="63"/>
        <v>0</v>
      </c>
      <c r="BP20" s="72">
        <f t="shared" si="63"/>
        <v>0</v>
      </c>
      <c r="BQ20" s="72">
        <f t="shared" si="63"/>
        <v>0</v>
      </c>
      <c r="BR20" s="72">
        <f t="shared" si="63"/>
        <v>0</v>
      </c>
      <c r="BS20" s="72">
        <f t="shared" si="63"/>
        <v>0</v>
      </c>
      <c r="BT20" s="71">
        <f t="shared" si="25"/>
        <v>0</v>
      </c>
      <c r="BU20" s="73"/>
      <c r="BV20" s="72">
        <f t="shared" ref="BV20:CG20" si="64">BH20*(1+$AF$7)</f>
        <v>0</v>
      </c>
      <c r="BW20" s="72">
        <f t="shared" si="64"/>
        <v>0</v>
      </c>
      <c r="BX20" s="72">
        <f t="shared" si="64"/>
        <v>0</v>
      </c>
      <c r="BY20" s="72">
        <f t="shared" si="64"/>
        <v>0</v>
      </c>
      <c r="BZ20" s="72">
        <f t="shared" si="64"/>
        <v>0</v>
      </c>
      <c r="CA20" s="72">
        <f t="shared" si="64"/>
        <v>0</v>
      </c>
      <c r="CB20" s="72">
        <f t="shared" si="64"/>
        <v>0</v>
      </c>
      <c r="CC20" s="72">
        <f t="shared" si="64"/>
        <v>0</v>
      </c>
      <c r="CD20" s="72">
        <f t="shared" si="64"/>
        <v>0</v>
      </c>
      <c r="CE20" s="72">
        <f t="shared" si="64"/>
        <v>0</v>
      </c>
      <c r="CF20" s="72">
        <f t="shared" si="64"/>
        <v>0</v>
      </c>
      <c r="CG20" s="72">
        <f t="shared" si="64"/>
        <v>0</v>
      </c>
      <c r="CH20" s="71">
        <f t="shared" si="27"/>
        <v>0</v>
      </c>
    </row>
    <row r="21" ht="19.5" customHeight="1">
      <c r="P21" s="6"/>
      <c r="AD21" s="6"/>
      <c r="AR21" s="6"/>
      <c r="BF21" s="6"/>
      <c r="BT21" s="6"/>
      <c r="CH21" s="6"/>
    </row>
    <row r="22" ht="19.5" customHeight="1">
      <c r="P22" s="6"/>
      <c r="AD22" s="6"/>
      <c r="AR22" s="6"/>
      <c r="BF22" s="6"/>
      <c r="BT22" s="6"/>
      <c r="CH22" s="6"/>
    </row>
    <row r="23" ht="19.5" customHeight="1">
      <c r="P23" s="6"/>
      <c r="AD23" s="6"/>
      <c r="AR23" s="6"/>
      <c r="BF23" s="6"/>
      <c r="BT23" s="6"/>
      <c r="CH23" s="6"/>
    </row>
    <row r="24" ht="19.5" customHeight="1">
      <c r="P24" s="6"/>
      <c r="AD24" s="6"/>
      <c r="AR24" s="6"/>
      <c r="BF24" s="6"/>
      <c r="BT24" s="6"/>
      <c r="CH24" s="6"/>
    </row>
    <row r="25" ht="19.5" customHeight="1">
      <c r="P25" s="6"/>
      <c r="AD25" s="6"/>
      <c r="AR25" s="6"/>
      <c r="BF25" s="6"/>
      <c r="BT25" s="6"/>
      <c r="CH25" s="6"/>
    </row>
    <row r="26" ht="19.5" customHeight="1">
      <c r="P26" s="6"/>
      <c r="AD26" s="6"/>
      <c r="AR26" s="6"/>
      <c r="BF26" s="6"/>
      <c r="BT26" s="6"/>
      <c r="CH26" s="6"/>
    </row>
    <row r="27" ht="19.5" customHeight="1">
      <c r="P27" s="6"/>
      <c r="AD27" s="6"/>
      <c r="AR27" s="6"/>
      <c r="BF27" s="6"/>
      <c r="BT27" s="6"/>
      <c r="CH27" s="6"/>
    </row>
    <row r="28" ht="19.5" customHeight="1">
      <c r="P28" s="6"/>
      <c r="AD28" s="6"/>
      <c r="AR28" s="6"/>
      <c r="BF28" s="6"/>
      <c r="BT28" s="6"/>
      <c r="CH28" s="6"/>
    </row>
    <row r="29" ht="19.5" customHeight="1">
      <c r="P29" s="6"/>
      <c r="AD29" s="6"/>
      <c r="AR29" s="6"/>
      <c r="BF29" s="6"/>
      <c r="BT29" s="6"/>
      <c r="CH29" s="6"/>
    </row>
    <row r="30" ht="19.5" customHeight="1">
      <c r="P30" s="6"/>
      <c r="AD30" s="6"/>
      <c r="AR30" s="6"/>
      <c r="BF30" s="6"/>
      <c r="BT30" s="6"/>
      <c r="CH30" s="6"/>
    </row>
    <row r="31" ht="19.5" customHeight="1">
      <c r="P31" s="6"/>
      <c r="AD31" s="6"/>
      <c r="AR31" s="6"/>
      <c r="BF31" s="6"/>
      <c r="BT31" s="6"/>
      <c r="CH31" s="6"/>
    </row>
    <row r="32" ht="19.5" customHeight="1">
      <c r="P32" s="6"/>
      <c r="AD32" s="6"/>
      <c r="AR32" s="6"/>
      <c r="BF32" s="6"/>
      <c r="BT32" s="6"/>
      <c r="CH32" s="6"/>
    </row>
    <row r="33" ht="19.5" customHeight="1">
      <c r="P33" s="6"/>
      <c r="AD33" s="6"/>
      <c r="AR33" s="6"/>
      <c r="BF33" s="6"/>
      <c r="BT33" s="6"/>
      <c r="CH33" s="6"/>
    </row>
    <row r="34" ht="19.5" customHeight="1">
      <c r="P34" s="6"/>
      <c r="AD34" s="6"/>
      <c r="AR34" s="6"/>
      <c r="BF34" s="6"/>
      <c r="BT34" s="6"/>
      <c r="CH34" s="6"/>
    </row>
    <row r="35" ht="19.5" customHeight="1">
      <c r="P35" s="6"/>
      <c r="AD35" s="6"/>
      <c r="AR35" s="6"/>
      <c r="BF35" s="6"/>
      <c r="BT35" s="6"/>
      <c r="CH35" s="6"/>
    </row>
    <row r="36" ht="19.5" customHeight="1">
      <c r="P36" s="6"/>
      <c r="AD36" s="6"/>
      <c r="AR36" s="6"/>
      <c r="BF36" s="6"/>
      <c r="BT36" s="6"/>
      <c r="CH36" s="6"/>
    </row>
    <row r="37" ht="19.5" customHeight="1">
      <c r="P37" s="6"/>
      <c r="AD37" s="6"/>
      <c r="AR37" s="6"/>
      <c r="BF37" s="6"/>
      <c r="BT37" s="6"/>
      <c r="CH37" s="6"/>
    </row>
    <row r="38" ht="19.5" customHeight="1">
      <c r="P38" s="6"/>
      <c r="AD38" s="6"/>
      <c r="AR38" s="6"/>
      <c r="BF38" s="6"/>
      <c r="BT38" s="6"/>
      <c r="CH38" s="6"/>
    </row>
    <row r="39" ht="19.5" customHeight="1">
      <c r="P39" s="6"/>
      <c r="AD39" s="6"/>
      <c r="AR39" s="6"/>
      <c r="BF39" s="6"/>
      <c r="BT39" s="6"/>
      <c r="CH39" s="6"/>
    </row>
    <row r="40" ht="19.5" customHeight="1">
      <c r="P40" s="6"/>
      <c r="AD40" s="6"/>
      <c r="AR40" s="6"/>
      <c r="BF40" s="6"/>
      <c r="BT40" s="6"/>
      <c r="CH40" s="6"/>
    </row>
    <row r="41" ht="19.5" customHeight="1">
      <c r="P41" s="6"/>
      <c r="AD41" s="6"/>
      <c r="AR41" s="6"/>
      <c r="BF41" s="6"/>
      <c r="BT41" s="6"/>
      <c r="CH41" s="6"/>
    </row>
    <row r="42" ht="19.5" customHeight="1">
      <c r="P42" s="6"/>
      <c r="AD42" s="6"/>
      <c r="AR42" s="6"/>
      <c r="BF42" s="6"/>
      <c r="BT42" s="6"/>
      <c r="CH42" s="6"/>
    </row>
    <row r="43" ht="19.5" customHeight="1">
      <c r="P43" s="6"/>
      <c r="AD43" s="6"/>
      <c r="AR43" s="6"/>
      <c r="BF43" s="6"/>
      <c r="BT43" s="6"/>
      <c r="CH43" s="6"/>
    </row>
    <row r="44" ht="19.5" customHeight="1">
      <c r="P44" s="6"/>
      <c r="AD44" s="6"/>
      <c r="AR44" s="6"/>
      <c r="BF44" s="6"/>
      <c r="BT44" s="6"/>
      <c r="CH44" s="6"/>
    </row>
    <row r="45" ht="19.5" customHeight="1">
      <c r="P45" s="6"/>
      <c r="AD45" s="6"/>
      <c r="AR45" s="6"/>
      <c r="BF45" s="6"/>
      <c r="BT45" s="6"/>
      <c r="CH45" s="6"/>
    </row>
    <row r="46" ht="19.5" customHeight="1">
      <c r="P46" s="6"/>
      <c r="AD46" s="6"/>
      <c r="AR46" s="6"/>
      <c r="BF46" s="6"/>
      <c r="BT46" s="6"/>
      <c r="CH46" s="6"/>
    </row>
    <row r="47" ht="19.5" customHeight="1">
      <c r="P47" s="6"/>
      <c r="AD47" s="6"/>
      <c r="AR47" s="6"/>
      <c r="BF47" s="6"/>
      <c r="BT47" s="6"/>
      <c r="CH47" s="6"/>
    </row>
    <row r="48" ht="19.5" customHeight="1">
      <c r="P48" s="6"/>
      <c r="AD48" s="6"/>
      <c r="AR48" s="6"/>
      <c r="BF48" s="6"/>
      <c r="BT48" s="6"/>
      <c r="CH48" s="6"/>
    </row>
    <row r="49" ht="19.5" customHeight="1">
      <c r="P49" s="6"/>
      <c r="AD49" s="6"/>
      <c r="AR49" s="6"/>
      <c r="BF49" s="6"/>
      <c r="BT49" s="6"/>
      <c r="CH49" s="6"/>
    </row>
    <row r="50" ht="19.5" customHeight="1">
      <c r="P50" s="6"/>
      <c r="AD50" s="6"/>
      <c r="AR50" s="6"/>
      <c r="BF50" s="6"/>
      <c r="BT50" s="6"/>
      <c r="CH50" s="6"/>
    </row>
    <row r="51" ht="19.5" customHeight="1">
      <c r="P51" s="6"/>
      <c r="AD51" s="6"/>
      <c r="AR51" s="6"/>
      <c r="BF51" s="6"/>
      <c r="BT51" s="6"/>
      <c r="CH51" s="6"/>
    </row>
    <row r="52" ht="19.5" customHeight="1">
      <c r="P52" s="6"/>
      <c r="AD52" s="6"/>
      <c r="AR52" s="6"/>
      <c r="BF52" s="6"/>
      <c r="BT52" s="6"/>
      <c r="CH52" s="6"/>
    </row>
    <row r="53" ht="19.5" customHeight="1">
      <c r="P53" s="6"/>
      <c r="AD53" s="6"/>
      <c r="AR53" s="6"/>
      <c r="BF53" s="6"/>
      <c r="BT53" s="6"/>
      <c r="CH53" s="6"/>
    </row>
    <row r="54" ht="19.5" customHeight="1">
      <c r="P54" s="6"/>
      <c r="AD54" s="6"/>
      <c r="AR54" s="6"/>
      <c r="BF54" s="6"/>
      <c r="BT54" s="6"/>
      <c r="CH54" s="6"/>
    </row>
    <row r="55" ht="19.5" customHeight="1">
      <c r="P55" s="6"/>
      <c r="AD55" s="6"/>
      <c r="AR55" s="6"/>
      <c r="BF55" s="6"/>
      <c r="BT55" s="6"/>
      <c r="CH55" s="6"/>
    </row>
    <row r="56" ht="19.5" customHeight="1">
      <c r="P56" s="6"/>
      <c r="AD56" s="6"/>
      <c r="AR56" s="6"/>
      <c r="BF56" s="6"/>
      <c r="BT56" s="6"/>
      <c r="CH56" s="6"/>
    </row>
    <row r="57" ht="19.5" customHeight="1">
      <c r="P57" s="6"/>
      <c r="AD57" s="6"/>
      <c r="AR57" s="6"/>
      <c r="BF57" s="6"/>
      <c r="BT57" s="6"/>
      <c r="CH57" s="6"/>
    </row>
    <row r="58" ht="19.5" customHeight="1">
      <c r="P58" s="6"/>
      <c r="AD58" s="6"/>
      <c r="AR58" s="6"/>
      <c r="BF58" s="6"/>
      <c r="BT58" s="6"/>
      <c r="CH58" s="6"/>
    </row>
    <row r="59" ht="19.5" customHeight="1">
      <c r="P59" s="6"/>
      <c r="AD59" s="6"/>
      <c r="AR59" s="6"/>
      <c r="BF59" s="6"/>
      <c r="BT59" s="6"/>
      <c r="CH59" s="6"/>
    </row>
    <row r="60" ht="19.5" customHeight="1">
      <c r="P60" s="6"/>
      <c r="AD60" s="6"/>
      <c r="AR60" s="6"/>
      <c r="BF60" s="6"/>
      <c r="BT60" s="6"/>
      <c r="CH60" s="6"/>
    </row>
    <row r="61" ht="19.5" customHeight="1">
      <c r="P61" s="6"/>
      <c r="AD61" s="6"/>
      <c r="AR61" s="6"/>
      <c r="BF61" s="6"/>
      <c r="BT61" s="6"/>
      <c r="CH61" s="6"/>
    </row>
    <row r="62" ht="19.5" customHeight="1">
      <c r="P62" s="6"/>
      <c r="AD62" s="6"/>
      <c r="AR62" s="6"/>
      <c r="BF62" s="6"/>
      <c r="BT62" s="6"/>
      <c r="CH62" s="6"/>
    </row>
    <row r="63" ht="19.5" customHeight="1">
      <c r="P63" s="6"/>
      <c r="AD63" s="6"/>
      <c r="AR63" s="6"/>
      <c r="BF63" s="6"/>
      <c r="BT63" s="6"/>
      <c r="CH63" s="6"/>
    </row>
    <row r="64" ht="19.5" customHeight="1">
      <c r="P64" s="6"/>
      <c r="AD64" s="6"/>
      <c r="AR64" s="6"/>
      <c r="BF64" s="6"/>
      <c r="BT64" s="6"/>
      <c r="CH64" s="6"/>
    </row>
    <row r="65" ht="19.5" customHeight="1">
      <c r="P65" s="6"/>
      <c r="AD65" s="6"/>
      <c r="AR65" s="6"/>
      <c r="BF65" s="6"/>
      <c r="BT65" s="6"/>
      <c r="CH65" s="6"/>
    </row>
    <row r="66" ht="19.5" customHeight="1">
      <c r="P66" s="6"/>
      <c r="AD66" s="6"/>
      <c r="AR66" s="6"/>
      <c r="BF66" s="6"/>
      <c r="BT66" s="6"/>
      <c r="CH66" s="6"/>
    </row>
    <row r="67" ht="19.5" customHeight="1">
      <c r="P67" s="6"/>
      <c r="AD67" s="6"/>
      <c r="AR67" s="6"/>
      <c r="BF67" s="6"/>
      <c r="BT67" s="6"/>
      <c r="CH67" s="6"/>
    </row>
    <row r="68" ht="13.5" customHeight="1">
      <c r="P68" s="6"/>
      <c r="AD68" s="6"/>
      <c r="AR68" s="6"/>
      <c r="BF68" s="6"/>
      <c r="BT68" s="6"/>
      <c r="CH68" s="6"/>
    </row>
    <row r="69" ht="13.5" customHeight="1">
      <c r="P69" s="6"/>
      <c r="AD69" s="6"/>
      <c r="AR69" s="6"/>
      <c r="BF69" s="6"/>
      <c r="BT69" s="6"/>
      <c r="CH69" s="6"/>
    </row>
    <row r="70" ht="13.5" customHeight="1">
      <c r="P70" s="6"/>
      <c r="AD70" s="6"/>
      <c r="AR70" s="6"/>
      <c r="BF70" s="6"/>
      <c r="BT70" s="6"/>
      <c r="CH70" s="6"/>
    </row>
    <row r="71" ht="13.5" customHeight="1">
      <c r="P71" s="6"/>
      <c r="AD71" s="6"/>
      <c r="AR71" s="6"/>
      <c r="BF71" s="6"/>
      <c r="BT71" s="6"/>
      <c r="CH71" s="6"/>
    </row>
    <row r="72" ht="13.5" customHeight="1">
      <c r="P72" s="6"/>
      <c r="AD72" s="6"/>
      <c r="AR72" s="6"/>
      <c r="BF72" s="6"/>
      <c r="BT72" s="6"/>
      <c r="CH72" s="6"/>
    </row>
    <row r="73" ht="13.5" customHeight="1">
      <c r="P73" s="6"/>
      <c r="AD73" s="6"/>
      <c r="AR73" s="6"/>
      <c r="BF73" s="6"/>
      <c r="BT73" s="6"/>
      <c r="CH73" s="6"/>
    </row>
    <row r="74" ht="13.5" customHeight="1">
      <c r="P74" s="6"/>
      <c r="AD74" s="6"/>
      <c r="AR74" s="6"/>
      <c r="BF74" s="6"/>
      <c r="BT74" s="6"/>
      <c r="CH74" s="6"/>
    </row>
    <row r="75" ht="13.5" customHeight="1">
      <c r="P75" s="6"/>
      <c r="AD75" s="6"/>
      <c r="AR75" s="6"/>
      <c r="BF75" s="6"/>
      <c r="BT75" s="6"/>
      <c r="CH75" s="6"/>
    </row>
    <row r="76" ht="13.5" customHeight="1">
      <c r="P76" s="6"/>
      <c r="AD76" s="6"/>
      <c r="AR76" s="6"/>
      <c r="BF76" s="6"/>
      <c r="BT76" s="6"/>
      <c r="CH76" s="6"/>
    </row>
    <row r="77" ht="13.5" customHeight="1">
      <c r="P77" s="6"/>
      <c r="AD77" s="6"/>
      <c r="AR77" s="6"/>
      <c r="BF77" s="6"/>
      <c r="BT77" s="6"/>
      <c r="CH77" s="6"/>
    </row>
    <row r="78" ht="13.5" customHeight="1">
      <c r="P78" s="6"/>
      <c r="AD78" s="6"/>
      <c r="AR78" s="6"/>
      <c r="BF78" s="6"/>
      <c r="BT78" s="6"/>
      <c r="CH78" s="6"/>
    </row>
    <row r="79" ht="13.5" customHeight="1">
      <c r="P79" s="6"/>
      <c r="AD79" s="6"/>
      <c r="AR79" s="6"/>
      <c r="BF79" s="6"/>
      <c r="BT79" s="6"/>
      <c r="CH79" s="6"/>
    </row>
    <row r="80" ht="13.5" customHeight="1">
      <c r="P80" s="6"/>
      <c r="AD80" s="6"/>
      <c r="AR80" s="6"/>
      <c r="BF80" s="6"/>
      <c r="BT80" s="6"/>
      <c r="CH80" s="6"/>
    </row>
    <row r="81" ht="13.5" customHeight="1">
      <c r="P81" s="6"/>
      <c r="AD81" s="6"/>
      <c r="AR81" s="6"/>
      <c r="BF81" s="6"/>
      <c r="BT81" s="6"/>
      <c r="CH81" s="6"/>
    </row>
    <row r="82" ht="13.5" customHeight="1">
      <c r="P82" s="6"/>
      <c r="AD82" s="6"/>
      <c r="AR82" s="6"/>
      <c r="BF82" s="6"/>
      <c r="BT82" s="6"/>
      <c r="CH82" s="6"/>
    </row>
    <row r="83" ht="13.5" customHeight="1">
      <c r="P83" s="6"/>
      <c r="AD83" s="6"/>
      <c r="AR83" s="6"/>
      <c r="BF83" s="6"/>
      <c r="BT83" s="6"/>
      <c r="CH83" s="6"/>
    </row>
    <row r="84" ht="13.5" customHeight="1">
      <c r="P84" s="6"/>
      <c r="AD84" s="6"/>
      <c r="AR84" s="6"/>
      <c r="BF84" s="6"/>
      <c r="BT84" s="6"/>
      <c r="CH84" s="6"/>
    </row>
    <row r="85" ht="13.5" customHeight="1">
      <c r="P85" s="6"/>
      <c r="AD85" s="6"/>
      <c r="AR85" s="6"/>
      <c r="BF85" s="6"/>
      <c r="BT85" s="6"/>
      <c r="CH85" s="6"/>
    </row>
    <row r="86" ht="13.5" customHeight="1">
      <c r="P86" s="6"/>
      <c r="AD86" s="6"/>
      <c r="AR86" s="6"/>
      <c r="BF86" s="6"/>
      <c r="BT86" s="6"/>
      <c r="CH86" s="6"/>
    </row>
    <row r="87" ht="13.5" customHeight="1">
      <c r="P87" s="6"/>
      <c r="AD87" s="6"/>
      <c r="AR87" s="6"/>
      <c r="BF87" s="6"/>
      <c r="BT87" s="6"/>
      <c r="CH87" s="6"/>
    </row>
    <row r="88" ht="13.5" customHeight="1">
      <c r="P88" s="6"/>
      <c r="AD88" s="6"/>
      <c r="AR88" s="6"/>
      <c r="BF88" s="6"/>
      <c r="BT88" s="6"/>
      <c r="CH88" s="6"/>
    </row>
    <row r="89" ht="13.5" customHeight="1">
      <c r="P89" s="6"/>
      <c r="AD89" s="6"/>
      <c r="AR89" s="6"/>
      <c r="BF89" s="6"/>
      <c r="BT89" s="6"/>
      <c r="CH89" s="6"/>
    </row>
    <row r="90" ht="13.5" customHeight="1">
      <c r="P90" s="6"/>
      <c r="AD90" s="6"/>
      <c r="AR90" s="6"/>
      <c r="BF90" s="6"/>
      <c r="BT90" s="6"/>
      <c r="CH90" s="6"/>
    </row>
    <row r="91" ht="13.5" customHeight="1">
      <c r="P91" s="6"/>
      <c r="AD91" s="6"/>
      <c r="AR91" s="6"/>
      <c r="BF91" s="6"/>
      <c r="BT91" s="6"/>
      <c r="CH91" s="6"/>
    </row>
    <row r="92" ht="13.5" customHeight="1">
      <c r="P92" s="6"/>
      <c r="AD92" s="6"/>
      <c r="AR92" s="6"/>
      <c r="BF92" s="6"/>
      <c r="BT92" s="6"/>
      <c r="CH92" s="6"/>
    </row>
    <row r="93" ht="13.5" customHeight="1">
      <c r="P93" s="6"/>
      <c r="AD93" s="6"/>
      <c r="AR93" s="6"/>
      <c r="BF93" s="6"/>
      <c r="BT93" s="6"/>
      <c r="CH93" s="6"/>
    </row>
    <row r="94" ht="13.5" customHeight="1">
      <c r="P94" s="6"/>
      <c r="AD94" s="6"/>
      <c r="AR94" s="6"/>
      <c r="BF94" s="6"/>
      <c r="BT94" s="6"/>
      <c r="CH94" s="6"/>
    </row>
    <row r="95" ht="13.5" customHeight="1">
      <c r="P95" s="6"/>
      <c r="AD95" s="6"/>
      <c r="AR95" s="6"/>
      <c r="BF95" s="6"/>
      <c r="BT95" s="6"/>
      <c r="CH95" s="6"/>
    </row>
    <row r="96" ht="13.5" customHeight="1">
      <c r="P96" s="6"/>
      <c r="AD96" s="6"/>
      <c r="AR96" s="6"/>
      <c r="BF96" s="6"/>
      <c r="BT96" s="6"/>
      <c r="CH96" s="6"/>
    </row>
    <row r="97" ht="13.5" customHeight="1">
      <c r="P97" s="6"/>
      <c r="AD97" s="6"/>
      <c r="AR97" s="6"/>
      <c r="BF97" s="6"/>
      <c r="BT97" s="6"/>
      <c r="CH97" s="6"/>
    </row>
    <row r="98" ht="13.5" customHeight="1">
      <c r="P98" s="6"/>
      <c r="AD98" s="6"/>
      <c r="AR98" s="6"/>
      <c r="BF98" s="6"/>
      <c r="BT98" s="6"/>
      <c r="CH98" s="6"/>
    </row>
    <row r="99" ht="13.5" customHeight="1">
      <c r="P99" s="6"/>
      <c r="AD99" s="6"/>
      <c r="AR99" s="6"/>
      <c r="BF99" s="6"/>
      <c r="BT99" s="6"/>
      <c r="CH99" s="6"/>
    </row>
    <row r="100" ht="13.5" customHeight="1">
      <c r="P100" s="6"/>
      <c r="AD100" s="6"/>
      <c r="AR100" s="6"/>
      <c r="BF100" s="6"/>
      <c r="BT100" s="6"/>
      <c r="CH100" s="6"/>
    </row>
    <row r="101" ht="13.5" customHeight="1">
      <c r="P101" s="6"/>
      <c r="AD101" s="6"/>
      <c r="AR101" s="6"/>
      <c r="BF101" s="6"/>
      <c r="BT101" s="6"/>
      <c r="CH101" s="6"/>
    </row>
    <row r="102" ht="13.5" customHeight="1">
      <c r="P102" s="6"/>
      <c r="AD102" s="6"/>
      <c r="AR102" s="6"/>
      <c r="BF102" s="6"/>
      <c r="BT102" s="6"/>
      <c r="CH102" s="6"/>
    </row>
    <row r="103" ht="13.5" customHeight="1">
      <c r="P103" s="6"/>
      <c r="AD103" s="6"/>
      <c r="AR103" s="6"/>
      <c r="BF103" s="6"/>
      <c r="BT103" s="6"/>
      <c r="CH103" s="6"/>
    </row>
    <row r="104" ht="13.5" customHeight="1">
      <c r="P104" s="6"/>
      <c r="AD104" s="6"/>
      <c r="AR104" s="6"/>
      <c r="BF104" s="6"/>
      <c r="BT104" s="6"/>
      <c r="CH104" s="6"/>
    </row>
    <row r="105" ht="13.5" customHeight="1">
      <c r="P105" s="6"/>
      <c r="AD105" s="6"/>
      <c r="AR105" s="6"/>
      <c r="BF105" s="6"/>
      <c r="BT105" s="6"/>
      <c r="CH105" s="6"/>
    </row>
    <row r="106" ht="13.5" customHeight="1">
      <c r="P106" s="6"/>
      <c r="AD106" s="6"/>
      <c r="AR106" s="6"/>
      <c r="BF106" s="6"/>
      <c r="BT106" s="6"/>
      <c r="CH106" s="6"/>
    </row>
    <row r="107" ht="13.5" customHeight="1">
      <c r="P107" s="6"/>
      <c r="AD107" s="6"/>
      <c r="AR107" s="6"/>
      <c r="BF107" s="6"/>
      <c r="BT107" s="6"/>
      <c r="CH107" s="6"/>
    </row>
    <row r="108" ht="13.5" customHeight="1">
      <c r="P108" s="6"/>
      <c r="AD108" s="6"/>
      <c r="AR108" s="6"/>
      <c r="BF108" s="6"/>
      <c r="BT108" s="6"/>
      <c r="CH108" s="6"/>
    </row>
    <row r="109" ht="13.5" customHeight="1">
      <c r="P109" s="6"/>
      <c r="AD109" s="6"/>
      <c r="AR109" s="6"/>
      <c r="BF109" s="6"/>
      <c r="BT109" s="6"/>
      <c r="CH109" s="6"/>
    </row>
    <row r="110" ht="13.5" customHeight="1">
      <c r="P110" s="6"/>
      <c r="AD110" s="6"/>
      <c r="AR110" s="6"/>
      <c r="BF110" s="6"/>
      <c r="BT110" s="6"/>
      <c r="CH110" s="6"/>
    </row>
    <row r="111" ht="13.5" customHeight="1">
      <c r="P111" s="6"/>
      <c r="AD111" s="6"/>
      <c r="AR111" s="6"/>
      <c r="BF111" s="6"/>
      <c r="BT111" s="6"/>
      <c r="CH111" s="6"/>
    </row>
    <row r="112" ht="13.5" customHeight="1">
      <c r="P112" s="6"/>
      <c r="AD112" s="6"/>
      <c r="AR112" s="6"/>
      <c r="BF112" s="6"/>
      <c r="BT112" s="6"/>
      <c r="CH112" s="6"/>
    </row>
    <row r="113" ht="13.5" customHeight="1">
      <c r="P113" s="6"/>
      <c r="AD113" s="6"/>
      <c r="AR113" s="6"/>
      <c r="BF113" s="6"/>
      <c r="BT113" s="6"/>
      <c r="CH113" s="6"/>
    </row>
    <row r="114" ht="13.5" customHeight="1">
      <c r="P114" s="6"/>
      <c r="AD114" s="6"/>
      <c r="AR114" s="6"/>
      <c r="BF114" s="6"/>
      <c r="BT114" s="6"/>
      <c r="CH114" s="6"/>
    </row>
    <row r="115" ht="13.5" customHeight="1">
      <c r="P115" s="6"/>
      <c r="AD115" s="6"/>
      <c r="AR115" s="6"/>
      <c r="BF115" s="6"/>
      <c r="BT115" s="6"/>
      <c r="CH115" s="6"/>
    </row>
    <row r="116" ht="13.5" customHeight="1">
      <c r="P116" s="6"/>
      <c r="AD116" s="6"/>
      <c r="AR116" s="6"/>
      <c r="BF116" s="6"/>
      <c r="BT116" s="6"/>
      <c r="CH116" s="6"/>
    </row>
    <row r="117" ht="13.5" customHeight="1">
      <c r="P117" s="6"/>
      <c r="AD117" s="6"/>
      <c r="AR117" s="6"/>
      <c r="BF117" s="6"/>
      <c r="BT117" s="6"/>
      <c r="CH117" s="6"/>
    </row>
    <row r="118" ht="13.5" customHeight="1">
      <c r="P118" s="6"/>
      <c r="AD118" s="6"/>
      <c r="AR118" s="6"/>
      <c r="BF118" s="6"/>
      <c r="BT118" s="6"/>
      <c r="CH118" s="6"/>
    </row>
    <row r="119" ht="13.5" customHeight="1">
      <c r="P119" s="6"/>
      <c r="AD119" s="6"/>
      <c r="AR119" s="6"/>
      <c r="BF119" s="6"/>
      <c r="BT119" s="6"/>
      <c r="CH119" s="6"/>
    </row>
    <row r="120" ht="13.5" customHeight="1">
      <c r="P120" s="6"/>
      <c r="AD120" s="6"/>
      <c r="AR120" s="6"/>
      <c r="BF120" s="6"/>
      <c r="BT120" s="6"/>
      <c r="CH120" s="6"/>
    </row>
    <row r="121" ht="13.5" customHeight="1">
      <c r="P121" s="6"/>
      <c r="AD121" s="6"/>
      <c r="AR121" s="6"/>
      <c r="BF121" s="6"/>
      <c r="BT121" s="6"/>
      <c r="CH121" s="6"/>
    </row>
    <row r="122" ht="13.5" customHeight="1">
      <c r="P122" s="6"/>
      <c r="AD122" s="6"/>
      <c r="AR122" s="6"/>
      <c r="BF122" s="6"/>
      <c r="BT122" s="6"/>
      <c r="CH122" s="6"/>
    </row>
    <row r="123" ht="13.5" customHeight="1">
      <c r="P123" s="6"/>
      <c r="AD123" s="6"/>
      <c r="AR123" s="6"/>
      <c r="BF123" s="6"/>
      <c r="BT123" s="6"/>
      <c r="CH123" s="6"/>
    </row>
    <row r="124" ht="13.5" customHeight="1">
      <c r="P124" s="6"/>
      <c r="AD124" s="6"/>
      <c r="AR124" s="6"/>
      <c r="BF124" s="6"/>
      <c r="BT124" s="6"/>
      <c r="CH124" s="6"/>
    </row>
    <row r="125" ht="13.5" customHeight="1">
      <c r="P125" s="6"/>
      <c r="AD125" s="6"/>
      <c r="AR125" s="6"/>
      <c r="BF125" s="6"/>
      <c r="BT125" s="6"/>
      <c r="CH125" s="6"/>
    </row>
    <row r="126" ht="13.5" customHeight="1">
      <c r="P126" s="6"/>
      <c r="AD126" s="6"/>
      <c r="AR126" s="6"/>
      <c r="BF126" s="6"/>
      <c r="BT126" s="6"/>
      <c r="CH126" s="6"/>
    </row>
    <row r="127" ht="13.5" customHeight="1">
      <c r="P127" s="6"/>
      <c r="AD127" s="6"/>
      <c r="AR127" s="6"/>
      <c r="BF127" s="6"/>
      <c r="BT127" s="6"/>
      <c r="CH127" s="6"/>
    </row>
    <row r="128" ht="13.5" customHeight="1">
      <c r="P128" s="6"/>
      <c r="AD128" s="6"/>
      <c r="AR128" s="6"/>
      <c r="BF128" s="6"/>
      <c r="BT128" s="6"/>
      <c r="CH128" s="6"/>
    </row>
    <row r="129" ht="13.5" customHeight="1">
      <c r="P129" s="6"/>
      <c r="AD129" s="6"/>
      <c r="AR129" s="6"/>
      <c r="BF129" s="6"/>
      <c r="BT129" s="6"/>
      <c r="CH129" s="6"/>
    </row>
    <row r="130" ht="13.5" customHeight="1">
      <c r="P130" s="6"/>
      <c r="AD130" s="6"/>
      <c r="AR130" s="6"/>
      <c r="BF130" s="6"/>
      <c r="BT130" s="6"/>
      <c r="CH130" s="6"/>
    </row>
    <row r="131" ht="13.5" customHeight="1">
      <c r="P131" s="6"/>
      <c r="AD131" s="6"/>
      <c r="AR131" s="6"/>
      <c r="BF131" s="6"/>
      <c r="BT131" s="6"/>
      <c r="CH131" s="6"/>
    </row>
    <row r="132" ht="13.5" customHeight="1">
      <c r="P132" s="6"/>
      <c r="AD132" s="6"/>
      <c r="AR132" s="6"/>
      <c r="BF132" s="6"/>
      <c r="BT132" s="6"/>
      <c r="CH132" s="6"/>
    </row>
    <row r="133" ht="13.5" customHeight="1">
      <c r="P133" s="6"/>
      <c r="AD133" s="6"/>
      <c r="AR133" s="6"/>
      <c r="BF133" s="6"/>
      <c r="BT133" s="6"/>
      <c r="CH133" s="6"/>
    </row>
    <row r="134" ht="13.5" customHeight="1">
      <c r="P134" s="6"/>
      <c r="AD134" s="6"/>
      <c r="AR134" s="6"/>
      <c r="BF134" s="6"/>
      <c r="BT134" s="6"/>
      <c r="CH134" s="6"/>
    </row>
    <row r="135" ht="13.5" customHeight="1">
      <c r="P135" s="6"/>
      <c r="AD135" s="6"/>
      <c r="AR135" s="6"/>
      <c r="BF135" s="6"/>
      <c r="BT135" s="6"/>
      <c r="CH135" s="6"/>
    </row>
    <row r="136" ht="13.5" customHeight="1">
      <c r="P136" s="6"/>
      <c r="AD136" s="6"/>
      <c r="AR136" s="6"/>
      <c r="BF136" s="6"/>
      <c r="BT136" s="6"/>
      <c r="CH136" s="6"/>
    </row>
    <row r="137" ht="13.5" customHeight="1">
      <c r="P137" s="6"/>
      <c r="AD137" s="6"/>
      <c r="AR137" s="6"/>
      <c r="BF137" s="6"/>
      <c r="BT137" s="6"/>
      <c r="CH137" s="6"/>
    </row>
    <row r="138" ht="13.5" customHeight="1">
      <c r="P138" s="6"/>
      <c r="AD138" s="6"/>
      <c r="AR138" s="6"/>
      <c r="BF138" s="6"/>
      <c r="BT138" s="6"/>
      <c r="CH138" s="6"/>
    </row>
    <row r="139" ht="13.5" customHeight="1">
      <c r="P139" s="6"/>
      <c r="AD139" s="6"/>
      <c r="AR139" s="6"/>
      <c r="BF139" s="6"/>
      <c r="BT139" s="6"/>
      <c r="CH139" s="6"/>
    </row>
    <row r="140" ht="13.5" customHeight="1">
      <c r="P140" s="6"/>
      <c r="AD140" s="6"/>
      <c r="AR140" s="6"/>
      <c r="BF140" s="6"/>
      <c r="BT140" s="6"/>
      <c r="CH140" s="6"/>
    </row>
    <row r="141" ht="13.5" customHeight="1">
      <c r="P141" s="6"/>
      <c r="AD141" s="6"/>
      <c r="AR141" s="6"/>
      <c r="BF141" s="6"/>
      <c r="BT141" s="6"/>
      <c r="CH141" s="6"/>
    </row>
    <row r="142" ht="13.5" customHeight="1">
      <c r="P142" s="6"/>
      <c r="AD142" s="6"/>
      <c r="AR142" s="6"/>
      <c r="BF142" s="6"/>
      <c r="BT142" s="6"/>
      <c r="CH142" s="6"/>
    </row>
    <row r="143" ht="13.5" customHeight="1">
      <c r="P143" s="6"/>
      <c r="AD143" s="6"/>
      <c r="AR143" s="6"/>
      <c r="BF143" s="6"/>
      <c r="BT143" s="6"/>
      <c r="CH143" s="6"/>
    </row>
    <row r="144" ht="13.5" customHeight="1">
      <c r="P144" s="6"/>
      <c r="AD144" s="6"/>
      <c r="AR144" s="6"/>
      <c r="BF144" s="6"/>
      <c r="BT144" s="6"/>
      <c r="CH144" s="6"/>
    </row>
    <row r="145" ht="13.5" customHeight="1">
      <c r="P145" s="6"/>
      <c r="AD145" s="6"/>
      <c r="AR145" s="6"/>
      <c r="BF145" s="6"/>
      <c r="BT145" s="6"/>
      <c r="CH145" s="6"/>
    </row>
    <row r="146" ht="13.5" customHeight="1">
      <c r="P146" s="6"/>
      <c r="AD146" s="6"/>
      <c r="AR146" s="6"/>
      <c r="BF146" s="6"/>
      <c r="BT146" s="6"/>
      <c r="CH146" s="6"/>
    </row>
    <row r="147" ht="13.5" customHeight="1">
      <c r="P147" s="6"/>
      <c r="AD147" s="6"/>
      <c r="AR147" s="6"/>
      <c r="BF147" s="6"/>
      <c r="BT147" s="6"/>
      <c r="CH147" s="6"/>
    </row>
    <row r="148" ht="13.5" customHeight="1">
      <c r="P148" s="6"/>
      <c r="AD148" s="6"/>
      <c r="AR148" s="6"/>
      <c r="BF148" s="6"/>
      <c r="BT148" s="6"/>
      <c r="CH148" s="6"/>
    </row>
    <row r="149" ht="13.5" customHeight="1">
      <c r="P149" s="6"/>
      <c r="AD149" s="6"/>
      <c r="AR149" s="6"/>
      <c r="BF149" s="6"/>
      <c r="BT149" s="6"/>
      <c r="CH149" s="6"/>
    </row>
    <row r="150" ht="13.5" customHeight="1">
      <c r="P150" s="6"/>
      <c r="AD150" s="6"/>
      <c r="AR150" s="6"/>
      <c r="BF150" s="6"/>
      <c r="BT150" s="6"/>
      <c r="CH150" s="6"/>
    </row>
    <row r="151" ht="13.5" customHeight="1">
      <c r="P151" s="6"/>
      <c r="AD151" s="6"/>
      <c r="AR151" s="6"/>
      <c r="BF151" s="6"/>
      <c r="BT151" s="6"/>
      <c r="CH151" s="6"/>
    </row>
    <row r="152" ht="13.5" customHeight="1">
      <c r="P152" s="6"/>
      <c r="AD152" s="6"/>
      <c r="AR152" s="6"/>
      <c r="BF152" s="6"/>
      <c r="BT152" s="6"/>
      <c r="CH152" s="6"/>
    </row>
    <row r="153" ht="13.5" customHeight="1">
      <c r="P153" s="6"/>
      <c r="AD153" s="6"/>
      <c r="AR153" s="6"/>
      <c r="BF153" s="6"/>
      <c r="BT153" s="6"/>
      <c r="CH153" s="6"/>
    </row>
    <row r="154" ht="13.5" customHeight="1">
      <c r="P154" s="6"/>
      <c r="AD154" s="6"/>
      <c r="AR154" s="6"/>
      <c r="BF154" s="6"/>
      <c r="BT154" s="6"/>
      <c r="CH154" s="6"/>
    </row>
    <row r="155" ht="13.5" customHeight="1">
      <c r="P155" s="6"/>
      <c r="AD155" s="6"/>
      <c r="AR155" s="6"/>
      <c r="BF155" s="6"/>
      <c r="BT155" s="6"/>
      <c r="CH155" s="6"/>
    </row>
    <row r="156" ht="13.5" customHeight="1">
      <c r="P156" s="6"/>
      <c r="AD156" s="6"/>
      <c r="AR156" s="6"/>
      <c r="BF156" s="6"/>
      <c r="BT156" s="6"/>
      <c r="CH156" s="6"/>
    </row>
    <row r="157" ht="13.5" customHeight="1">
      <c r="P157" s="6"/>
      <c r="AD157" s="6"/>
      <c r="AR157" s="6"/>
      <c r="BF157" s="6"/>
      <c r="BT157" s="6"/>
      <c r="CH157" s="6"/>
    </row>
    <row r="158" ht="13.5" customHeight="1">
      <c r="P158" s="6"/>
      <c r="AD158" s="6"/>
      <c r="AR158" s="6"/>
      <c r="BF158" s="6"/>
      <c r="BT158" s="6"/>
      <c r="CH158" s="6"/>
    </row>
    <row r="159" ht="13.5" customHeight="1">
      <c r="P159" s="6"/>
      <c r="AD159" s="6"/>
      <c r="AR159" s="6"/>
      <c r="BF159" s="6"/>
      <c r="BT159" s="6"/>
      <c r="CH159" s="6"/>
    </row>
    <row r="160" ht="13.5" customHeight="1">
      <c r="P160" s="6"/>
      <c r="AD160" s="6"/>
      <c r="AR160" s="6"/>
      <c r="BF160" s="6"/>
      <c r="BT160" s="6"/>
      <c r="CH160" s="6"/>
    </row>
    <row r="161" ht="13.5" customHeight="1">
      <c r="P161" s="6"/>
      <c r="AD161" s="6"/>
      <c r="AR161" s="6"/>
      <c r="BF161" s="6"/>
      <c r="BT161" s="6"/>
      <c r="CH161" s="6"/>
    </row>
    <row r="162" ht="13.5" customHeight="1">
      <c r="P162" s="6"/>
      <c r="AD162" s="6"/>
      <c r="AR162" s="6"/>
      <c r="BF162" s="6"/>
      <c r="BT162" s="6"/>
      <c r="CH162" s="6"/>
    </row>
    <row r="163" ht="13.5" customHeight="1">
      <c r="P163" s="6"/>
      <c r="AD163" s="6"/>
      <c r="AR163" s="6"/>
      <c r="BF163" s="6"/>
      <c r="BT163" s="6"/>
      <c r="CH163" s="6"/>
    </row>
    <row r="164" ht="13.5" customHeight="1">
      <c r="P164" s="6"/>
      <c r="AD164" s="6"/>
      <c r="AR164" s="6"/>
      <c r="BF164" s="6"/>
      <c r="BT164" s="6"/>
      <c r="CH164" s="6"/>
    </row>
    <row r="165" ht="13.5" customHeight="1">
      <c r="P165" s="6"/>
      <c r="AD165" s="6"/>
      <c r="AR165" s="6"/>
      <c r="BF165" s="6"/>
      <c r="BT165" s="6"/>
      <c r="CH165" s="6"/>
    </row>
    <row r="166" ht="13.5" customHeight="1">
      <c r="P166" s="6"/>
      <c r="AD166" s="6"/>
      <c r="AR166" s="6"/>
      <c r="BF166" s="6"/>
      <c r="BT166" s="6"/>
      <c r="CH166" s="6"/>
    </row>
    <row r="167" ht="13.5" customHeight="1">
      <c r="P167" s="6"/>
      <c r="AD167" s="6"/>
      <c r="AR167" s="6"/>
      <c r="BF167" s="6"/>
      <c r="BT167" s="6"/>
      <c r="CH167" s="6"/>
    </row>
    <row r="168" ht="13.5" customHeight="1">
      <c r="P168" s="6"/>
      <c r="AD168" s="6"/>
      <c r="AR168" s="6"/>
      <c r="BF168" s="6"/>
      <c r="BT168" s="6"/>
      <c r="CH168" s="6"/>
    </row>
    <row r="169" ht="13.5" customHeight="1">
      <c r="P169" s="6"/>
      <c r="AD169" s="6"/>
      <c r="AR169" s="6"/>
      <c r="BF169" s="6"/>
      <c r="BT169" s="6"/>
      <c r="CH169" s="6"/>
    </row>
    <row r="170" ht="13.5" customHeight="1">
      <c r="P170" s="6"/>
      <c r="AD170" s="6"/>
      <c r="AR170" s="6"/>
      <c r="BF170" s="6"/>
      <c r="BT170" s="6"/>
      <c r="CH170" s="6"/>
    </row>
    <row r="171" ht="13.5" customHeight="1">
      <c r="P171" s="6"/>
      <c r="AD171" s="6"/>
      <c r="AR171" s="6"/>
      <c r="BF171" s="6"/>
      <c r="BT171" s="6"/>
      <c r="CH171" s="6"/>
    </row>
    <row r="172" ht="13.5" customHeight="1">
      <c r="P172" s="6"/>
      <c r="AD172" s="6"/>
      <c r="AR172" s="6"/>
      <c r="BF172" s="6"/>
      <c r="BT172" s="6"/>
      <c r="CH172" s="6"/>
    </row>
    <row r="173" ht="13.5" customHeight="1">
      <c r="P173" s="6"/>
      <c r="AD173" s="6"/>
      <c r="AR173" s="6"/>
      <c r="BF173" s="6"/>
      <c r="BT173" s="6"/>
      <c r="CH173" s="6"/>
    </row>
    <row r="174" ht="13.5" customHeight="1">
      <c r="P174" s="6"/>
      <c r="AD174" s="6"/>
      <c r="AR174" s="6"/>
      <c r="BF174" s="6"/>
      <c r="BT174" s="6"/>
      <c r="CH174" s="6"/>
    </row>
    <row r="175" ht="13.5" customHeight="1">
      <c r="P175" s="6"/>
      <c r="AD175" s="6"/>
      <c r="AR175" s="6"/>
      <c r="BF175" s="6"/>
      <c r="BT175" s="6"/>
      <c r="CH175" s="6"/>
    </row>
    <row r="176" ht="13.5" customHeight="1">
      <c r="P176" s="6"/>
      <c r="AD176" s="6"/>
      <c r="AR176" s="6"/>
      <c r="BF176" s="6"/>
      <c r="BT176" s="6"/>
      <c r="CH176" s="6"/>
    </row>
    <row r="177" ht="13.5" customHeight="1">
      <c r="P177" s="6"/>
      <c r="AD177" s="6"/>
      <c r="AR177" s="6"/>
      <c r="BF177" s="6"/>
      <c r="BT177" s="6"/>
      <c r="CH177" s="6"/>
    </row>
    <row r="178" ht="13.5" customHeight="1">
      <c r="P178" s="6"/>
      <c r="AD178" s="6"/>
      <c r="AR178" s="6"/>
      <c r="BF178" s="6"/>
      <c r="BT178" s="6"/>
      <c r="CH178" s="6"/>
    </row>
    <row r="179" ht="13.5" customHeight="1">
      <c r="P179" s="6"/>
      <c r="AD179" s="6"/>
      <c r="AR179" s="6"/>
      <c r="BF179" s="6"/>
      <c r="BT179" s="6"/>
      <c r="CH179" s="6"/>
    </row>
    <row r="180" ht="13.5" customHeight="1">
      <c r="P180" s="6"/>
      <c r="AD180" s="6"/>
      <c r="AR180" s="6"/>
      <c r="BF180" s="6"/>
      <c r="BT180" s="6"/>
      <c r="CH180" s="6"/>
    </row>
    <row r="181" ht="13.5" customHeight="1">
      <c r="P181" s="6"/>
      <c r="AD181" s="6"/>
      <c r="AR181" s="6"/>
      <c r="BF181" s="6"/>
      <c r="BT181" s="6"/>
      <c r="CH181" s="6"/>
    </row>
    <row r="182" ht="13.5" customHeight="1">
      <c r="P182" s="6"/>
      <c r="AD182" s="6"/>
      <c r="AR182" s="6"/>
      <c r="BF182" s="6"/>
      <c r="BT182" s="6"/>
      <c r="CH182" s="6"/>
    </row>
    <row r="183" ht="13.5" customHeight="1">
      <c r="P183" s="6"/>
      <c r="AD183" s="6"/>
      <c r="AR183" s="6"/>
      <c r="BF183" s="6"/>
      <c r="BT183" s="6"/>
      <c r="CH183" s="6"/>
    </row>
    <row r="184" ht="13.5" customHeight="1">
      <c r="P184" s="6"/>
      <c r="AD184" s="6"/>
      <c r="AR184" s="6"/>
      <c r="BF184" s="6"/>
      <c r="BT184" s="6"/>
      <c r="CH184" s="6"/>
    </row>
    <row r="185" ht="13.5" customHeight="1">
      <c r="P185" s="6"/>
      <c r="AD185" s="6"/>
      <c r="AR185" s="6"/>
      <c r="BF185" s="6"/>
      <c r="BT185" s="6"/>
      <c r="CH185" s="6"/>
    </row>
    <row r="186" ht="13.5" customHeight="1">
      <c r="P186" s="6"/>
      <c r="AD186" s="6"/>
      <c r="AR186" s="6"/>
      <c r="BF186" s="6"/>
      <c r="BT186" s="6"/>
      <c r="CH186" s="6"/>
    </row>
    <row r="187" ht="13.5" customHeight="1">
      <c r="P187" s="6"/>
      <c r="AD187" s="6"/>
      <c r="AR187" s="6"/>
      <c r="BF187" s="6"/>
      <c r="BT187" s="6"/>
      <c r="CH187" s="6"/>
    </row>
    <row r="188" ht="13.5" customHeight="1">
      <c r="P188" s="6"/>
      <c r="AD188" s="6"/>
      <c r="AR188" s="6"/>
      <c r="BF188" s="6"/>
      <c r="BT188" s="6"/>
      <c r="CH188" s="6"/>
    </row>
    <row r="189" ht="13.5" customHeight="1">
      <c r="P189" s="6"/>
      <c r="AD189" s="6"/>
      <c r="AR189" s="6"/>
      <c r="BF189" s="6"/>
      <c r="BT189" s="6"/>
      <c r="CH189" s="6"/>
    </row>
    <row r="190" ht="13.5" customHeight="1">
      <c r="P190" s="6"/>
      <c r="AD190" s="6"/>
      <c r="AR190" s="6"/>
      <c r="BF190" s="6"/>
      <c r="BT190" s="6"/>
      <c r="CH190" s="6"/>
    </row>
    <row r="191" ht="13.5" customHeight="1">
      <c r="P191" s="6"/>
      <c r="AD191" s="6"/>
      <c r="AR191" s="6"/>
      <c r="BF191" s="6"/>
      <c r="BT191" s="6"/>
      <c r="CH191" s="6"/>
    </row>
    <row r="192" ht="13.5" customHeight="1">
      <c r="P192" s="6"/>
      <c r="AD192" s="6"/>
      <c r="AR192" s="6"/>
      <c r="BF192" s="6"/>
      <c r="BT192" s="6"/>
      <c r="CH192" s="6"/>
    </row>
    <row r="193" ht="13.5" customHeight="1">
      <c r="P193" s="6"/>
      <c r="AD193" s="6"/>
      <c r="AR193" s="6"/>
      <c r="BF193" s="6"/>
      <c r="BT193" s="6"/>
      <c r="CH193" s="6"/>
    </row>
    <row r="194" ht="13.5" customHeight="1">
      <c r="P194" s="6"/>
      <c r="AD194" s="6"/>
      <c r="AR194" s="6"/>
      <c r="BF194" s="6"/>
      <c r="BT194" s="6"/>
      <c r="CH194" s="6"/>
    </row>
    <row r="195" ht="13.5" customHeight="1">
      <c r="P195" s="6"/>
      <c r="AD195" s="6"/>
      <c r="AR195" s="6"/>
      <c r="BF195" s="6"/>
      <c r="BT195" s="6"/>
      <c r="CH195" s="6"/>
    </row>
    <row r="196" ht="13.5" customHeight="1">
      <c r="P196" s="6"/>
      <c r="AD196" s="6"/>
      <c r="AR196" s="6"/>
      <c r="BF196" s="6"/>
      <c r="BT196" s="6"/>
      <c r="CH196" s="6"/>
    </row>
    <row r="197" ht="13.5" customHeight="1">
      <c r="P197" s="6"/>
      <c r="AD197" s="6"/>
      <c r="AR197" s="6"/>
      <c r="BF197" s="6"/>
      <c r="BT197" s="6"/>
      <c r="CH197" s="6"/>
    </row>
    <row r="198" ht="13.5" customHeight="1">
      <c r="P198" s="6"/>
      <c r="AD198" s="6"/>
      <c r="AR198" s="6"/>
      <c r="BF198" s="6"/>
      <c r="BT198" s="6"/>
      <c r="CH198" s="6"/>
    </row>
    <row r="199" ht="13.5" customHeight="1">
      <c r="P199" s="6"/>
      <c r="AD199" s="6"/>
      <c r="AR199" s="6"/>
      <c r="BF199" s="6"/>
      <c r="BT199" s="6"/>
      <c r="CH199" s="6"/>
    </row>
    <row r="200" ht="13.5" customHeight="1">
      <c r="P200" s="6"/>
      <c r="AD200" s="6"/>
      <c r="AR200" s="6"/>
      <c r="BF200" s="6"/>
      <c r="BT200" s="6"/>
      <c r="CH200" s="6"/>
    </row>
    <row r="201" ht="13.5" customHeight="1">
      <c r="P201" s="6"/>
      <c r="AD201" s="6"/>
      <c r="AR201" s="6"/>
      <c r="BF201" s="6"/>
      <c r="BT201" s="6"/>
      <c r="CH201" s="6"/>
    </row>
    <row r="202" ht="13.5" customHeight="1">
      <c r="P202" s="6"/>
      <c r="AD202" s="6"/>
      <c r="AR202" s="6"/>
      <c r="BF202" s="6"/>
      <c r="BT202" s="6"/>
      <c r="CH202" s="6"/>
    </row>
    <row r="203" ht="13.5" customHeight="1">
      <c r="P203" s="6"/>
      <c r="AD203" s="6"/>
      <c r="AR203" s="6"/>
      <c r="BF203" s="6"/>
      <c r="BT203" s="6"/>
      <c r="CH203" s="6"/>
    </row>
    <row r="204" ht="13.5" customHeight="1">
      <c r="P204" s="6"/>
      <c r="AD204" s="6"/>
      <c r="AR204" s="6"/>
      <c r="BF204" s="6"/>
      <c r="BT204" s="6"/>
      <c r="CH204" s="6"/>
    </row>
    <row r="205" ht="13.5" customHeight="1">
      <c r="P205" s="6"/>
      <c r="AD205" s="6"/>
      <c r="AR205" s="6"/>
      <c r="BF205" s="6"/>
      <c r="BT205" s="6"/>
      <c r="CH205" s="6"/>
    </row>
    <row r="206" ht="13.5" customHeight="1">
      <c r="P206" s="6"/>
      <c r="AD206" s="6"/>
      <c r="AR206" s="6"/>
      <c r="BF206" s="6"/>
      <c r="BT206" s="6"/>
      <c r="CH206" s="6"/>
    </row>
    <row r="207" ht="13.5" customHeight="1">
      <c r="P207" s="6"/>
      <c r="AD207" s="6"/>
      <c r="AR207" s="6"/>
      <c r="BF207" s="6"/>
      <c r="BT207" s="6"/>
      <c r="CH207" s="6"/>
    </row>
    <row r="208" ht="13.5" customHeight="1">
      <c r="P208" s="6"/>
      <c r="AD208" s="6"/>
      <c r="AR208" s="6"/>
      <c r="BF208" s="6"/>
      <c r="BT208" s="6"/>
      <c r="CH208" s="6"/>
    </row>
    <row r="209" ht="13.5" customHeight="1">
      <c r="P209" s="6"/>
      <c r="AD209" s="6"/>
      <c r="AR209" s="6"/>
      <c r="BF209" s="6"/>
      <c r="BT209" s="6"/>
      <c r="CH209" s="6"/>
    </row>
    <row r="210" ht="13.5" customHeight="1">
      <c r="P210" s="6"/>
      <c r="AD210" s="6"/>
      <c r="AR210" s="6"/>
      <c r="BF210" s="6"/>
      <c r="BT210" s="6"/>
      <c r="CH210" s="6"/>
    </row>
    <row r="211" ht="13.5" customHeight="1">
      <c r="P211" s="6"/>
      <c r="AD211" s="6"/>
      <c r="AR211" s="6"/>
      <c r="BF211" s="6"/>
      <c r="BT211" s="6"/>
      <c r="CH211" s="6"/>
    </row>
    <row r="212" ht="13.5" customHeight="1">
      <c r="P212" s="6"/>
      <c r="AD212" s="6"/>
      <c r="AR212" s="6"/>
      <c r="BF212" s="6"/>
      <c r="BT212" s="6"/>
      <c r="CH212" s="6"/>
    </row>
    <row r="213" ht="13.5" customHeight="1">
      <c r="P213" s="6"/>
      <c r="AD213" s="6"/>
      <c r="AR213" s="6"/>
      <c r="BF213" s="6"/>
      <c r="BT213" s="6"/>
      <c r="CH213" s="6"/>
    </row>
    <row r="214" ht="13.5" customHeight="1">
      <c r="P214" s="6"/>
      <c r="AD214" s="6"/>
      <c r="AR214" s="6"/>
      <c r="BF214" s="6"/>
      <c r="BT214" s="6"/>
      <c r="CH214" s="6"/>
    </row>
    <row r="215" ht="13.5" customHeight="1">
      <c r="P215" s="6"/>
      <c r="AD215" s="6"/>
      <c r="AR215" s="6"/>
      <c r="BF215" s="6"/>
      <c r="BT215" s="6"/>
      <c r="CH215" s="6"/>
    </row>
    <row r="216" ht="13.5" customHeight="1">
      <c r="P216" s="6"/>
      <c r="AD216" s="6"/>
      <c r="AR216" s="6"/>
      <c r="BF216" s="6"/>
      <c r="BT216" s="6"/>
      <c r="CH216" s="6"/>
    </row>
    <row r="217" ht="13.5" customHeight="1">
      <c r="P217" s="6"/>
      <c r="AD217" s="6"/>
      <c r="AR217" s="6"/>
      <c r="BF217" s="6"/>
      <c r="BT217" s="6"/>
      <c r="CH217" s="6"/>
    </row>
    <row r="218" ht="13.5" customHeight="1">
      <c r="P218" s="6"/>
      <c r="AD218" s="6"/>
      <c r="AR218" s="6"/>
      <c r="BF218" s="6"/>
      <c r="BT218" s="6"/>
      <c r="CH218" s="6"/>
    </row>
    <row r="219" ht="13.5" customHeight="1">
      <c r="P219" s="6"/>
      <c r="AD219" s="6"/>
      <c r="AR219" s="6"/>
      <c r="BF219" s="6"/>
      <c r="BT219" s="6"/>
      <c r="CH219" s="6"/>
    </row>
    <row r="220" ht="13.5" customHeight="1">
      <c r="P220" s="6"/>
      <c r="AD220" s="6"/>
      <c r="AR220" s="6"/>
      <c r="BF220" s="6"/>
      <c r="BT220" s="6"/>
      <c r="CH220" s="6"/>
    </row>
    <row r="221" ht="13.5" customHeight="1">
      <c r="P221" s="6"/>
      <c r="AD221" s="6"/>
      <c r="AR221" s="6"/>
      <c r="BF221" s="6"/>
      <c r="BT221" s="6"/>
      <c r="CH221" s="6"/>
    </row>
    <row r="222" ht="13.5" customHeight="1">
      <c r="P222" s="6"/>
      <c r="AD222" s="6"/>
      <c r="AR222" s="6"/>
      <c r="BF222" s="6"/>
      <c r="BT222" s="6"/>
      <c r="CH222" s="6"/>
    </row>
    <row r="223" ht="13.5" customHeight="1">
      <c r="P223" s="6"/>
      <c r="AD223" s="6"/>
      <c r="AR223" s="6"/>
      <c r="BF223" s="6"/>
      <c r="BT223" s="6"/>
      <c r="CH223" s="6"/>
    </row>
    <row r="224" ht="13.5" customHeight="1">
      <c r="P224" s="6"/>
      <c r="AD224" s="6"/>
      <c r="AR224" s="6"/>
      <c r="BF224" s="6"/>
      <c r="BT224" s="6"/>
      <c r="CH224" s="6"/>
    </row>
    <row r="225" ht="13.5" customHeight="1">
      <c r="P225" s="6"/>
      <c r="AD225" s="6"/>
      <c r="AR225" s="6"/>
      <c r="BF225" s="6"/>
      <c r="BT225" s="6"/>
      <c r="CH225" s="6"/>
    </row>
    <row r="226" ht="13.5" customHeight="1">
      <c r="P226" s="6"/>
      <c r="AD226" s="6"/>
      <c r="AR226" s="6"/>
      <c r="BF226" s="6"/>
      <c r="BT226" s="6"/>
      <c r="CH226" s="6"/>
    </row>
    <row r="227" ht="13.5" customHeight="1">
      <c r="P227" s="6"/>
      <c r="AD227" s="6"/>
      <c r="AR227" s="6"/>
      <c r="BF227" s="6"/>
      <c r="BT227" s="6"/>
      <c r="CH227" s="6"/>
    </row>
    <row r="228" ht="13.5" customHeight="1">
      <c r="P228" s="6"/>
      <c r="AD228" s="6"/>
      <c r="AR228" s="6"/>
      <c r="BF228" s="6"/>
      <c r="BT228" s="6"/>
      <c r="CH228" s="6"/>
    </row>
    <row r="229" ht="13.5" customHeight="1">
      <c r="P229" s="6"/>
      <c r="AD229" s="6"/>
      <c r="AR229" s="6"/>
      <c r="BF229" s="6"/>
      <c r="BT229" s="6"/>
      <c r="CH229" s="6"/>
    </row>
    <row r="230" ht="13.5" customHeight="1">
      <c r="P230" s="6"/>
      <c r="AD230" s="6"/>
      <c r="AR230" s="6"/>
      <c r="BF230" s="6"/>
      <c r="BT230" s="6"/>
      <c r="CH230" s="6"/>
    </row>
    <row r="231" ht="13.5" customHeight="1">
      <c r="P231" s="6"/>
      <c r="AD231" s="6"/>
      <c r="AR231" s="6"/>
      <c r="BF231" s="6"/>
      <c r="BT231" s="6"/>
      <c r="CH231" s="6"/>
    </row>
    <row r="232" ht="13.5" customHeight="1">
      <c r="P232" s="6"/>
      <c r="AD232" s="6"/>
      <c r="AR232" s="6"/>
      <c r="BF232" s="6"/>
      <c r="BT232" s="6"/>
      <c r="CH232" s="6"/>
    </row>
    <row r="233" ht="13.5" customHeight="1">
      <c r="P233" s="6"/>
      <c r="AD233" s="6"/>
      <c r="AR233" s="6"/>
      <c r="BF233" s="6"/>
      <c r="BT233" s="6"/>
      <c r="CH233" s="6"/>
    </row>
    <row r="234" ht="13.5" customHeight="1">
      <c r="P234" s="6"/>
      <c r="AD234" s="6"/>
      <c r="AR234" s="6"/>
      <c r="BF234" s="6"/>
      <c r="BT234" s="6"/>
      <c r="CH234" s="6"/>
    </row>
    <row r="235" ht="13.5" customHeight="1">
      <c r="P235" s="6"/>
      <c r="AD235" s="6"/>
      <c r="AR235" s="6"/>
      <c r="BF235" s="6"/>
      <c r="BT235" s="6"/>
      <c r="CH235" s="6"/>
    </row>
    <row r="236" ht="13.5" customHeight="1">
      <c r="P236" s="6"/>
      <c r="AD236" s="6"/>
      <c r="AR236" s="6"/>
      <c r="BF236" s="6"/>
      <c r="BT236" s="6"/>
      <c r="CH236" s="6"/>
    </row>
    <row r="237" ht="13.5" customHeight="1">
      <c r="P237" s="6"/>
      <c r="AD237" s="6"/>
      <c r="AR237" s="6"/>
      <c r="BF237" s="6"/>
      <c r="BT237" s="6"/>
      <c r="CH237" s="6"/>
    </row>
    <row r="238" ht="13.5" customHeight="1">
      <c r="P238" s="6"/>
      <c r="AD238" s="6"/>
      <c r="AR238" s="6"/>
      <c r="BF238" s="6"/>
      <c r="BT238" s="6"/>
      <c r="CH238" s="6"/>
    </row>
    <row r="239" ht="13.5" customHeight="1">
      <c r="P239" s="6"/>
      <c r="AD239" s="6"/>
      <c r="AR239" s="6"/>
      <c r="BF239" s="6"/>
      <c r="BT239" s="6"/>
      <c r="CH239" s="6"/>
    </row>
    <row r="240" ht="13.5" customHeight="1">
      <c r="P240" s="6"/>
      <c r="AD240" s="6"/>
      <c r="AR240" s="6"/>
      <c r="BF240" s="6"/>
      <c r="BT240" s="6"/>
      <c r="CH240" s="6"/>
    </row>
    <row r="241" ht="13.5" customHeight="1">
      <c r="P241" s="6"/>
      <c r="AD241" s="6"/>
      <c r="AR241" s="6"/>
      <c r="BF241" s="6"/>
      <c r="BT241" s="6"/>
      <c r="CH241" s="6"/>
    </row>
    <row r="242" ht="13.5" customHeight="1">
      <c r="P242" s="6"/>
      <c r="AD242" s="6"/>
      <c r="AR242" s="6"/>
      <c r="BF242" s="6"/>
      <c r="BT242" s="6"/>
      <c r="CH242" s="6"/>
    </row>
    <row r="243" ht="13.5" customHeight="1">
      <c r="P243" s="6"/>
      <c r="AD243" s="6"/>
      <c r="AR243" s="6"/>
      <c r="BF243" s="6"/>
      <c r="BT243" s="6"/>
      <c r="CH243" s="6"/>
    </row>
    <row r="244" ht="13.5" customHeight="1">
      <c r="P244" s="6"/>
      <c r="AD244" s="6"/>
      <c r="AR244" s="6"/>
      <c r="BF244" s="6"/>
      <c r="BT244" s="6"/>
      <c r="CH244" s="6"/>
    </row>
    <row r="245" ht="13.5" customHeight="1">
      <c r="P245" s="6"/>
      <c r="AD245" s="6"/>
      <c r="AR245" s="6"/>
      <c r="BF245" s="6"/>
      <c r="BT245" s="6"/>
      <c r="CH245" s="6"/>
    </row>
    <row r="246" ht="13.5" customHeight="1">
      <c r="P246" s="6"/>
      <c r="AD246" s="6"/>
      <c r="AR246" s="6"/>
      <c r="BF246" s="6"/>
      <c r="BT246" s="6"/>
      <c r="CH246" s="6"/>
    </row>
    <row r="247" ht="13.5" customHeight="1">
      <c r="P247" s="6"/>
      <c r="AD247" s="6"/>
      <c r="AR247" s="6"/>
      <c r="BF247" s="6"/>
      <c r="BT247" s="6"/>
      <c r="CH247" s="6"/>
    </row>
    <row r="248" ht="13.5" customHeight="1">
      <c r="P248" s="6"/>
      <c r="AD248" s="6"/>
      <c r="AR248" s="6"/>
      <c r="BF248" s="6"/>
      <c r="BT248" s="6"/>
      <c r="CH248" s="6"/>
    </row>
    <row r="249" ht="13.5" customHeight="1">
      <c r="P249" s="6"/>
      <c r="AD249" s="6"/>
      <c r="AR249" s="6"/>
      <c r="BF249" s="6"/>
      <c r="BT249" s="6"/>
      <c r="CH249" s="6"/>
    </row>
    <row r="250" ht="13.5" customHeight="1">
      <c r="P250" s="6"/>
      <c r="AD250" s="6"/>
      <c r="AR250" s="6"/>
      <c r="BF250" s="6"/>
      <c r="BT250" s="6"/>
      <c r="CH250" s="6"/>
    </row>
    <row r="251" ht="13.5" customHeight="1">
      <c r="P251" s="6"/>
      <c r="AD251" s="6"/>
      <c r="AR251" s="6"/>
      <c r="BF251" s="6"/>
      <c r="BT251" s="6"/>
      <c r="CH251" s="6"/>
    </row>
    <row r="252" ht="13.5" customHeight="1">
      <c r="P252" s="6"/>
      <c r="AD252" s="6"/>
      <c r="AR252" s="6"/>
      <c r="BF252" s="6"/>
      <c r="BT252" s="6"/>
      <c r="CH252" s="6"/>
    </row>
    <row r="253" ht="13.5" customHeight="1">
      <c r="P253" s="6"/>
      <c r="AD253" s="6"/>
      <c r="AR253" s="6"/>
      <c r="BF253" s="6"/>
      <c r="BT253" s="6"/>
      <c r="CH253" s="6"/>
    </row>
    <row r="254" ht="13.5" customHeight="1">
      <c r="P254" s="6"/>
      <c r="AD254" s="6"/>
      <c r="AR254" s="6"/>
      <c r="BF254" s="6"/>
      <c r="BT254" s="6"/>
      <c r="CH254" s="6"/>
    </row>
    <row r="255" ht="13.5" customHeight="1">
      <c r="P255" s="6"/>
      <c r="AD255" s="6"/>
      <c r="AR255" s="6"/>
      <c r="BF255" s="6"/>
      <c r="BT255" s="6"/>
      <c r="CH255" s="6"/>
    </row>
    <row r="256" ht="13.5" customHeight="1">
      <c r="P256" s="6"/>
      <c r="AD256" s="6"/>
      <c r="AR256" s="6"/>
      <c r="BF256" s="6"/>
      <c r="BT256" s="6"/>
      <c r="CH256" s="6"/>
    </row>
    <row r="257" ht="13.5" customHeight="1">
      <c r="P257" s="6"/>
      <c r="AD257" s="6"/>
      <c r="AR257" s="6"/>
      <c r="BF257" s="6"/>
      <c r="BT257" s="6"/>
      <c r="CH257" s="6"/>
    </row>
    <row r="258" ht="13.5" customHeight="1">
      <c r="P258" s="6"/>
      <c r="AD258" s="6"/>
      <c r="AR258" s="6"/>
      <c r="BF258" s="6"/>
      <c r="BT258" s="6"/>
      <c r="CH258" s="6"/>
    </row>
    <row r="259" ht="13.5" customHeight="1">
      <c r="P259" s="6"/>
      <c r="AD259" s="6"/>
      <c r="AR259" s="6"/>
      <c r="BF259" s="6"/>
      <c r="BT259" s="6"/>
      <c r="CH259" s="6"/>
    </row>
    <row r="260" ht="13.5" customHeight="1">
      <c r="P260" s="6"/>
      <c r="AD260" s="6"/>
      <c r="AR260" s="6"/>
      <c r="BF260" s="6"/>
      <c r="BT260" s="6"/>
      <c r="CH260" s="6"/>
    </row>
    <row r="261" ht="13.5" customHeight="1">
      <c r="P261" s="6"/>
      <c r="AD261" s="6"/>
      <c r="AR261" s="6"/>
      <c r="BF261" s="6"/>
      <c r="BT261" s="6"/>
      <c r="CH261" s="6"/>
    </row>
    <row r="262" ht="13.5" customHeight="1">
      <c r="P262" s="6"/>
      <c r="AD262" s="6"/>
      <c r="AR262" s="6"/>
      <c r="BF262" s="6"/>
      <c r="BT262" s="6"/>
      <c r="CH262" s="6"/>
    </row>
    <row r="263" ht="13.5" customHeight="1">
      <c r="P263" s="6"/>
      <c r="AD263" s="6"/>
      <c r="AR263" s="6"/>
      <c r="BF263" s="6"/>
      <c r="BT263" s="6"/>
      <c r="CH263" s="6"/>
    </row>
    <row r="264" ht="13.5" customHeight="1">
      <c r="P264" s="6"/>
      <c r="AD264" s="6"/>
      <c r="AR264" s="6"/>
      <c r="BF264" s="6"/>
      <c r="BT264" s="6"/>
      <c r="CH264" s="6"/>
    </row>
    <row r="265" ht="13.5" customHeight="1">
      <c r="P265" s="6"/>
      <c r="AD265" s="6"/>
      <c r="AR265" s="6"/>
      <c r="BF265" s="6"/>
      <c r="BT265" s="6"/>
      <c r="CH265" s="6"/>
    </row>
    <row r="266" ht="13.5" customHeight="1">
      <c r="P266" s="6"/>
      <c r="AD266" s="6"/>
      <c r="AR266" s="6"/>
      <c r="BF266" s="6"/>
      <c r="BT266" s="6"/>
      <c r="CH266" s="6"/>
    </row>
    <row r="267" ht="13.5" customHeight="1">
      <c r="P267" s="6"/>
      <c r="AD267" s="6"/>
      <c r="AR267" s="6"/>
      <c r="BF267" s="6"/>
      <c r="BT267" s="6"/>
      <c r="CH267" s="6"/>
    </row>
    <row r="268" ht="13.5" customHeight="1">
      <c r="P268" s="6"/>
      <c r="AD268" s="6"/>
      <c r="AR268" s="6"/>
      <c r="BF268" s="6"/>
      <c r="BT268" s="6"/>
      <c r="CH268" s="6"/>
    </row>
    <row r="269" ht="13.5" customHeight="1">
      <c r="P269" s="6"/>
      <c r="AD269" s="6"/>
      <c r="AR269" s="6"/>
      <c r="BF269" s="6"/>
      <c r="BT269" s="6"/>
      <c r="CH269" s="6"/>
    </row>
    <row r="270" ht="13.5" customHeight="1">
      <c r="P270" s="6"/>
      <c r="AD270" s="6"/>
      <c r="AR270" s="6"/>
      <c r="BF270" s="6"/>
      <c r="BT270" s="6"/>
      <c r="CH270" s="6"/>
    </row>
    <row r="271" ht="13.5" customHeight="1">
      <c r="P271" s="6"/>
      <c r="AD271" s="6"/>
      <c r="AR271" s="6"/>
      <c r="BF271" s="6"/>
      <c r="BT271" s="6"/>
      <c r="CH271" s="6"/>
    </row>
    <row r="272" ht="13.5" customHeight="1">
      <c r="P272" s="6"/>
      <c r="AD272" s="6"/>
      <c r="AR272" s="6"/>
      <c r="BF272" s="6"/>
      <c r="BT272" s="6"/>
      <c r="CH272" s="6"/>
    </row>
    <row r="273" ht="13.5" customHeight="1">
      <c r="P273" s="6"/>
      <c r="AD273" s="6"/>
      <c r="AR273" s="6"/>
      <c r="BF273" s="6"/>
      <c r="BT273" s="6"/>
      <c r="CH273" s="6"/>
    </row>
    <row r="274" ht="13.5" customHeight="1">
      <c r="P274" s="6"/>
      <c r="AD274" s="6"/>
      <c r="AR274" s="6"/>
      <c r="BF274" s="6"/>
      <c r="BT274" s="6"/>
      <c r="CH274" s="6"/>
    </row>
    <row r="275" ht="13.5" customHeight="1">
      <c r="P275" s="6"/>
      <c r="AD275" s="6"/>
      <c r="AR275" s="6"/>
      <c r="BF275" s="6"/>
      <c r="BT275" s="6"/>
      <c r="CH275" s="6"/>
    </row>
    <row r="276" ht="13.5" customHeight="1">
      <c r="P276" s="6"/>
      <c r="AD276" s="6"/>
      <c r="AR276" s="6"/>
      <c r="BF276" s="6"/>
      <c r="BT276" s="6"/>
      <c r="CH276" s="6"/>
    </row>
    <row r="277" ht="13.5" customHeight="1">
      <c r="P277" s="6"/>
      <c r="AD277" s="6"/>
      <c r="AR277" s="6"/>
      <c r="BF277" s="6"/>
      <c r="BT277" s="6"/>
      <c r="CH277" s="6"/>
    </row>
    <row r="278" ht="13.5" customHeight="1">
      <c r="P278" s="6"/>
      <c r="AD278" s="6"/>
      <c r="AR278" s="6"/>
      <c r="BF278" s="6"/>
      <c r="BT278" s="6"/>
      <c r="CH278" s="6"/>
    </row>
    <row r="279" ht="13.5" customHeight="1">
      <c r="P279" s="6"/>
      <c r="AD279" s="6"/>
      <c r="AR279" s="6"/>
      <c r="BF279" s="6"/>
      <c r="BT279" s="6"/>
      <c r="CH279" s="6"/>
    </row>
    <row r="280" ht="13.5" customHeight="1">
      <c r="P280" s="6"/>
      <c r="AD280" s="6"/>
      <c r="AR280" s="6"/>
      <c r="BF280" s="6"/>
      <c r="BT280" s="6"/>
      <c r="CH280" s="6"/>
    </row>
    <row r="281" ht="13.5" customHeight="1">
      <c r="P281" s="6"/>
      <c r="AD281" s="6"/>
      <c r="AR281" s="6"/>
      <c r="BF281" s="6"/>
      <c r="BT281" s="6"/>
      <c r="CH281" s="6"/>
    </row>
    <row r="282" ht="13.5" customHeight="1">
      <c r="P282" s="6"/>
      <c r="AD282" s="6"/>
      <c r="AR282" s="6"/>
      <c r="BF282" s="6"/>
      <c r="BT282" s="6"/>
      <c r="CH282" s="6"/>
    </row>
    <row r="283" ht="13.5" customHeight="1">
      <c r="P283" s="6"/>
      <c r="AD283" s="6"/>
      <c r="AR283" s="6"/>
      <c r="BF283" s="6"/>
      <c r="BT283" s="6"/>
      <c r="CH283" s="6"/>
    </row>
    <row r="284" ht="13.5" customHeight="1">
      <c r="P284" s="6"/>
      <c r="AD284" s="6"/>
      <c r="AR284" s="6"/>
      <c r="BF284" s="6"/>
      <c r="BT284" s="6"/>
      <c r="CH284" s="6"/>
    </row>
    <row r="285" ht="13.5" customHeight="1">
      <c r="P285" s="6"/>
      <c r="AD285" s="6"/>
      <c r="AR285" s="6"/>
      <c r="BF285" s="6"/>
      <c r="BT285" s="6"/>
      <c r="CH285" s="6"/>
    </row>
    <row r="286" ht="13.5" customHeight="1">
      <c r="P286" s="6"/>
      <c r="AD286" s="6"/>
      <c r="AR286" s="6"/>
      <c r="BF286" s="6"/>
      <c r="BT286" s="6"/>
      <c r="CH286" s="6"/>
    </row>
    <row r="287" ht="13.5" customHeight="1">
      <c r="P287" s="6"/>
      <c r="AD287" s="6"/>
      <c r="AR287" s="6"/>
      <c r="BF287" s="6"/>
      <c r="BT287" s="6"/>
      <c r="CH287" s="6"/>
    </row>
    <row r="288" ht="13.5" customHeight="1">
      <c r="P288" s="6"/>
      <c r="AD288" s="6"/>
      <c r="AR288" s="6"/>
      <c r="BF288" s="6"/>
      <c r="BT288" s="6"/>
      <c r="CH288" s="6"/>
    </row>
    <row r="289" ht="13.5" customHeight="1">
      <c r="P289" s="6"/>
      <c r="AD289" s="6"/>
      <c r="AR289" s="6"/>
      <c r="BF289" s="6"/>
      <c r="BT289" s="6"/>
      <c r="CH289" s="6"/>
    </row>
    <row r="290" ht="13.5" customHeight="1">
      <c r="P290" s="6"/>
      <c r="AD290" s="6"/>
      <c r="AR290" s="6"/>
      <c r="BF290" s="6"/>
      <c r="BT290" s="6"/>
      <c r="CH290" s="6"/>
    </row>
    <row r="291" ht="13.5" customHeight="1">
      <c r="P291" s="6"/>
      <c r="AD291" s="6"/>
      <c r="AR291" s="6"/>
      <c r="BF291" s="6"/>
      <c r="BT291" s="6"/>
      <c r="CH291" s="6"/>
    </row>
    <row r="292" ht="13.5" customHeight="1">
      <c r="P292" s="6"/>
      <c r="AD292" s="6"/>
      <c r="AR292" s="6"/>
      <c r="BF292" s="6"/>
      <c r="BT292" s="6"/>
      <c r="CH292" s="6"/>
    </row>
    <row r="293" ht="13.5" customHeight="1">
      <c r="P293" s="6"/>
      <c r="AD293" s="6"/>
      <c r="AR293" s="6"/>
      <c r="BF293" s="6"/>
      <c r="BT293" s="6"/>
      <c r="CH293" s="6"/>
    </row>
    <row r="294" ht="13.5" customHeight="1">
      <c r="P294" s="6"/>
      <c r="AD294" s="6"/>
      <c r="AR294" s="6"/>
      <c r="BF294" s="6"/>
      <c r="BT294" s="6"/>
      <c r="CH294" s="6"/>
    </row>
    <row r="295" ht="13.5" customHeight="1">
      <c r="P295" s="6"/>
      <c r="AD295" s="6"/>
      <c r="AR295" s="6"/>
      <c r="BF295" s="6"/>
      <c r="BT295" s="6"/>
      <c r="CH295" s="6"/>
    </row>
    <row r="296" ht="13.5" customHeight="1">
      <c r="P296" s="6"/>
      <c r="AD296" s="6"/>
      <c r="AR296" s="6"/>
      <c r="BF296" s="6"/>
      <c r="BT296" s="6"/>
      <c r="CH296" s="6"/>
    </row>
    <row r="297" ht="13.5" customHeight="1">
      <c r="P297" s="6"/>
      <c r="AD297" s="6"/>
      <c r="AR297" s="6"/>
      <c r="BF297" s="6"/>
      <c r="BT297" s="6"/>
      <c r="CH297" s="6"/>
    </row>
    <row r="298" ht="13.5" customHeight="1">
      <c r="P298" s="6"/>
      <c r="AD298" s="6"/>
      <c r="AR298" s="6"/>
      <c r="BF298" s="6"/>
      <c r="BT298" s="6"/>
      <c r="CH298" s="6"/>
    </row>
    <row r="299" ht="13.5" customHeight="1">
      <c r="P299" s="6"/>
      <c r="AD299" s="6"/>
      <c r="AR299" s="6"/>
      <c r="BF299" s="6"/>
      <c r="BT299" s="6"/>
      <c r="CH299" s="6"/>
    </row>
    <row r="300" ht="13.5" customHeight="1">
      <c r="P300" s="6"/>
      <c r="AD300" s="6"/>
      <c r="AR300" s="6"/>
      <c r="BF300" s="6"/>
      <c r="BT300" s="6"/>
      <c r="CH300" s="6"/>
    </row>
    <row r="301" ht="13.5" customHeight="1">
      <c r="P301" s="6"/>
      <c r="AD301" s="6"/>
      <c r="AR301" s="6"/>
      <c r="BF301" s="6"/>
      <c r="BT301" s="6"/>
      <c r="CH301" s="6"/>
    </row>
    <row r="302" ht="13.5" customHeight="1">
      <c r="P302" s="6"/>
      <c r="AD302" s="6"/>
      <c r="AR302" s="6"/>
      <c r="BF302" s="6"/>
      <c r="BT302" s="6"/>
      <c r="CH302" s="6"/>
    </row>
    <row r="303" ht="13.5" customHeight="1">
      <c r="P303" s="6"/>
      <c r="AD303" s="6"/>
      <c r="AR303" s="6"/>
      <c r="BF303" s="6"/>
      <c r="BT303" s="6"/>
      <c r="CH303" s="6"/>
    </row>
    <row r="304" ht="13.5" customHeight="1">
      <c r="P304" s="6"/>
      <c r="AD304" s="6"/>
      <c r="AR304" s="6"/>
      <c r="BF304" s="6"/>
      <c r="BT304" s="6"/>
      <c r="CH304" s="6"/>
    </row>
    <row r="305" ht="13.5" customHeight="1">
      <c r="P305" s="6"/>
      <c r="AD305" s="6"/>
      <c r="AR305" s="6"/>
      <c r="BF305" s="6"/>
      <c r="BT305" s="6"/>
      <c r="CH305" s="6"/>
    </row>
    <row r="306" ht="13.5" customHeight="1">
      <c r="P306" s="6"/>
      <c r="AD306" s="6"/>
      <c r="AR306" s="6"/>
      <c r="BF306" s="6"/>
      <c r="BT306" s="6"/>
      <c r="CH306" s="6"/>
    </row>
    <row r="307" ht="13.5" customHeight="1">
      <c r="P307" s="6"/>
      <c r="AD307" s="6"/>
      <c r="AR307" s="6"/>
      <c r="BF307" s="6"/>
      <c r="BT307" s="6"/>
      <c r="CH307" s="6"/>
    </row>
    <row r="308" ht="13.5" customHeight="1">
      <c r="P308" s="6"/>
      <c r="AD308" s="6"/>
      <c r="AR308" s="6"/>
      <c r="BF308" s="6"/>
      <c r="BT308" s="6"/>
      <c r="CH308" s="6"/>
    </row>
    <row r="309" ht="13.5" customHeight="1">
      <c r="P309" s="6"/>
      <c r="AD309" s="6"/>
      <c r="AR309" s="6"/>
      <c r="BF309" s="6"/>
      <c r="BT309" s="6"/>
      <c r="CH309" s="6"/>
    </row>
    <row r="310" ht="13.5" customHeight="1">
      <c r="P310" s="6"/>
      <c r="AD310" s="6"/>
      <c r="AR310" s="6"/>
      <c r="BF310" s="6"/>
      <c r="BT310" s="6"/>
      <c r="CH310" s="6"/>
    </row>
    <row r="311" ht="13.5" customHeight="1">
      <c r="P311" s="6"/>
      <c r="AD311" s="6"/>
      <c r="AR311" s="6"/>
      <c r="BF311" s="6"/>
      <c r="BT311" s="6"/>
      <c r="CH311" s="6"/>
    </row>
    <row r="312" ht="13.5" customHeight="1">
      <c r="P312" s="6"/>
      <c r="AD312" s="6"/>
      <c r="AR312" s="6"/>
      <c r="BF312" s="6"/>
      <c r="BT312" s="6"/>
      <c r="CH312" s="6"/>
    </row>
    <row r="313" ht="13.5" customHeight="1">
      <c r="P313" s="6"/>
      <c r="AD313" s="6"/>
      <c r="AR313" s="6"/>
      <c r="BF313" s="6"/>
      <c r="BT313" s="6"/>
      <c r="CH313" s="6"/>
    </row>
    <row r="314" ht="13.5" customHeight="1">
      <c r="P314" s="6"/>
      <c r="AD314" s="6"/>
      <c r="AR314" s="6"/>
      <c r="BF314" s="6"/>
      <c r="BT314" s="6"/>
      <c r="CH314" s="6"/>
    </row>
    <row r="315" ht="13.5" customHeight="1">
      <c r="P315" s="6"/>
      <c r="AD315" s="6"/>
      <c r="AR315" s="6"/>
      <c r="BF315" s="6"/>
      <c r="BT315" s="6"/>
      <c r="CH315" s="6"/>
    </row>
    <row r="316" ht="13.5" customHeight="1">
      <c r="P316" s="6"/>
      <c r="AD316" s="6"/>
      <c r="AR316" s="6"/>
      <c r="BF316" s="6"/>
      <c r="BT316" s="6"/>
      <c r="CH316" s="6"/>
    </row>
    <row r="317" ht="13.5" customHeight="1">
      <c r="P317" s="6"/>
      <c r="AD317" s="6"/>
      <c r="AR317" s="6"/>
      <c r="BF317" s="6"/>
      <c r="BT317" s="6"/>
      <c r="CH317" s="6"/>
    </row>
    <row r="318" ht="13.5" customHeight="1">
      <c r="P318" s="6"/>
      <c r="AD318" s="6"/>
      <c r="AR318" s="6"/>
      <c r="BF318" s="6"/>
      <c r="BT318" s="6"/>
      <c r="CH318" s="6"/>
    </row>
    <row r="319" ht="13.5" customHeight="1">
      <c r="P319" s="6"/>
      <c r="AD319" s="6"/>
      <c r="AR319" s="6"/>
      <c r="BF319" s="6"/>
      <c r="BT319" s="6"/>
      <c r="CH319" s="6"/>
    </row>
    <row r="320" ht="13.5" customHeight="1">
      <c r="P320" s="6"/>
      <c r="AD320" s="6"/>
      <c r="AR320" s="6"/>
      <c r="BF320" s="6"/>
      <c r="BT320" s="6"/>
      <c r="CH320" s="6"/>
    </row>
    <row r="321" ht="13.5" customHeight="1">
      <c r="P321" s="6"/>
      <c r="AD321" s="6"/>
      <c r="AR321" s="6"/>
      <c r="BF321" s="6"/>
      <c r="BT321" s="6"/>
      <c r="CH321" s="6"/>
    </row>
    <row r="322" ht="13.5" customHeight="1">
      <c r="P322" s="6"/>
      <c r="AD322" s="6"/>
      <c r="AR322" s="6"/>
      <c r="BF322" s="6"/>
      <c r="BT322" s="6"/>
      <c r="CH322" s="6"/>
    </row>
    <row r="323" ht="13.5" customHeight="1">
      <c r="P323" s="6"/>
      <c r="AD323" s="6"/>
      <c r="AR323" s="6"/>
      <c r="BF323" s="6"/>
      <c r="BT323" s="6"/>
      <c r="CH323" s="6"/>
    </row>
    <row r="324" ht="13.5" customHeight="1">
      <c r="P324" s="6"/>
      <c r="AD324" s="6"/>
      <c r="AR324" s="6"/>
      <c r="BF324" s="6"/>
      <c r="BT324" s="6"/>
      <c r="CH324" s="6"/>
    </row>
    <row r="325" ht="13.5" customHeight="1">
      <c r="P325" s="6"/>
      <c r="AD325" s="6"/>
      <c r="AR325" s="6"/>
      <c r="BF325" s="6"/>
      <c r="BT325" s="6"/>
      <c r="CH325" s="6"/>
    </row>
    <row r="326" ht="13.5" customHeight="1">
      <c r="P326" s="6"/>
      <c r="AD326" s="6"/>
      <c r="AR326" s="6"/>
      <c r="BF326" s="6"/>
      <c r="BT326" s="6"/>
      <c r="CH326" s="6"/>
    </row>
    <row r="327" ht="13.5" customHeight="1">
      <c r="P327" s="6"/>
      <c r="AD327" s="6"/>
      <c r="AR327" s="6"/>
      <c r="BF327" s="6"/>
      <c r="BT327" s="6"/>
      <c r="CH327" s="6"/>
    </row>
    <row r="328" ht="13.5" customHeight="1">
      <c r="P328" s="6"/>
      <c r="AD328" s="6"/>
      <c r="AR328" s="6"/>
      <c r="BF328" s="6"/>
      <c r="BT328" s="6"/>
      <c r="CH328" s="6"/>
    </row>
    <row r="329" ht="13.5" customHeight="1">
      <c r="P329" s="6"/>
      <c r="AD329" s="6"/>
      <c r="AR329" s="6"/>
      <c r="BF329" s="6"/>
      <c r="BT329" s="6"/>
      <c r="CH329" s="6"/>
    </row>
    <row r="330" ht="13.5" customHeight="1">
      <c r="P330" s="6"/>
      <c r="AD330" s="6"/>
      <c r="AR330" s="6"/>
      <c r="BF330" s="6"/>
      <c r="BT330" s="6"/>
      <c r="CH330" s="6"/>
    </row>
    <row r="331" ht="13.5" customHeight="1">
      <c r="P331" s="6"/>
      <c r="AD331" s="6"/>
      <c r="AR331" s="6"/>
      <c r="BF331" s="6"/>
      <c r="BT331" s="6"/>
      <c r="CH331" s="6"/>
    </row>
    <row r="332" ht="13.5" customHeight="1">
      <c r="P332" s="6"/>
      <c r="AD332" s="6"/>
      <c r="AR332" s="6"/>
      <c r="BF332" s="6"/>
      <c r="BT332" s="6"/>
      <c r="CH332" s="6"/>
    </row>
    <row r="333" ht="13.5" customHeight="1">
      <c r="P333" s="6"/>
      <c r="AD333" s="6"/>
      <c r="AR333" s="6"/>
      <c r="BF333" s="6"/>
      <c r="BT333" s="6"/>
      <c r="CH333" s="6"/>
    </row>
    <row r="334" ht="13.5" customHeight="1">
      <c r="P334" s="6"/>
      <c r="AD334" s="6"/>
      <c r="AR334" s="6"/>
      <c r="BF334" s="6"/>
      <c r="BT334" s="6"/>
      <c r="CH334" s="6"/>
    </row>
    <row r="335" ht="13.5" customHeight="1">
      <c r="P335" s="6"/>
      <c r="AD335" s="6"/>
      <c r="AR335" s="6"/>
      <c r="BF335" s="6"/>
      <c r="BT335" s="6"/>
      <c r="CH335" s="6"/>
    </row>
    <row r="336" ht="13.5" customHeight="1">
      <c r="P336" s="6"/>
      <c r="AD336" s="6"/>
      <c r="AR336" s="6"/>
      <c r="BF336" s="6"/>
      <c r="BT336" s="6"/>
      <c r="CH336" s="6"/>
    </row>
    <row r="337" ht="13.5" customHeight="1">
      <c r="P337" s="6"/>
      <c r="AD337" s="6"/>
      <c r="AR337" s="6"/>
      <c r="BF337" s="6"/>
      <c r="BT337" s="6"/>
      <c r="CH337" s="6"/>
    </row>
    <row r="338" ht="13.5" customHeight="1">
      <c r="P338" s="6"/>
      <c r="AD338" s="6"/>
      <c r="AR338" s="6"/>
      <c r="BF338" s="6"/>
      <c r="BT338" s="6"/>
      <c r="CH338" s="6"/>
    </row>
    <row r="339" ht="13.5" customHeight="1">
      <c r="P339" s="6"/>
      <c r="AD339" s="6"/>
      <c r="AR339" s="6"/>
      <c r="BF339" s="6"/>
      <c r="BT339" s="6"/>
      <c r="CH339" s="6"/>
    </row>
    <row r="340" ht="13.5" customHeight="1">
      <c r="P340" s="6"/>
      <c r="AD340" s="6"/>
      <c r="AR340" s="6"/>
      <c r="BF340" s="6"/>
      <c r="BT340" s="6"/>
      <c r="CH340" s="6"/>
    </row>
    <row r="341" ht="13.5" customHeight="1">
      <c r="P341" s="6"/>
      <c r="AD341" s="6"/>
      <c r="AR341" s="6"/>
      <c r="BF341" s="6"/>
      <c r="BT341" s="6"/>
      <c r="CH341" s="6"/>
    </row>
    <row r="342" ht="13.5" customHeight="1">
      <c r="P342" s="6"/>
      <c r="AD342" s="6"/>
      <c r="AR342" s="6"/>
      <c r="BF342" s="6"/>
      <c r="BT342" s="6"/>
      <c r="CH342" s="6"/>
    </row>
    <row r="343" ht="13.5" customHeight="1">
      <c r="P343" s="6"/>
      <c r="AD343" s="6"/>
      <c r="AR343" s="6"/>
      <c r="BF343" s="6"/>
      <c r="BT343" s="6"/>
      <c r="CH343" s="6"/>
    </row>
    <row r="344" ht="13.5" customHeight="1">
      <c r="P344" s="6"/>
      <c r="AD344" s="6"/>
      <c r="AR344" s="6"/>
      <c r="BF344" s="6"/>
      <c r="BT344" s="6"/>
      <c r="CH344" s="6"/>
    </row>
    <row r="345" ht="13.5" customHeight="1">
      <c r="P345" s="6"/>
      <c r="AD345" s="6"/>
      <c r="AR345" s="6"/>
      <c r="BF345" s="6"/>
      <c r="BT345" s="6"/>
      <c r="CH345" s="6"/>
    </row>
    <row r="346" ht="13.5" customHeight="1">
      <c r="P346" s="6"/>
      <c r="AD346" s="6"/>
      <c r="AR346" s="6"/>
      <c r="BF346" s="6"/>
      <c r="BT346" s="6"/>
      <c r="CH346" s="6"/>
    </row>
    <row r="347" ht="13.5" customHeight="1">
      <c r="P347" s="6"/>
      <c r="AD347" s="6"/>
      <c r="AR347" s="6"/>
      <c r="BF347" s="6"/>
      <c r="BT347" s="6"/>
      <c r="CH347" s="6"/>
    </row>
    <row r="348" ht="13.5" customHeight="1">
      <c r="P348" s="6"/>
      <c r="AD348" s="6"/>
      <c r="AR348" s="6"/>
      <c r="BF348" s="6"/>
      <c r="BT348" s="6"/>
      <c r="CH348" s="6"/>
    </row>
    <row r="349" ht="13.5" customHeight="1">
      <c r="P349" s="6"/>
      <c r="AD349" s="6"/>
      <c r="AR349" s="6"/>
      <c r="BF349" s="6"/>
      <c r="BT349" s="6"/>
      <c r="CH349" s="6"/>
    </row>
    <row r="350" ht="13.5" customHeight="1">
      <c r="P350" s="6"/>
      <c r="AD350" s="6"/>
      <c r="AR350" s="6"/>
      <c r="BF350" s="6"/>
      <c r="BT350" s="6"/>
      <c r="CH350" s="6"/>
    </row>
    <row r="351" ht="13.5" customHeight="1">
      <c r="P351" s="6"/>
      <c r="AD351" s="6"/>
      <c r="AR351" s="6"/>
      <c r="BF351" s="6"/>
      <c r="BT351" s="6"/>
      <c r="CH351" s="6"/>
    </row>
    <row r="352" ht="13.5" customHeight="1">
      <c r="P352" s="6"/>
      <c r="AD352" s="6"/>
      <c r="AR352" s="6"/>
      <c r="BF352" s="6"/>
      <c r="BT352" s="6"/>
      <c r="CH352" s="6"/>
    </row>
    <row r="353" ht="13.5" customHeight="1">
      <c r="P353" s="6"/>
      <c r="AD353" s="6"/>
      <c r="AR353" s="6"/>
      <c r="BF353" s="6"/>
      <c r="BT353" s="6"/>
      <c r="CH353" s="6"/>
    </row>
    <row r="354" ht="13.5" customHeight="1">
      <c r="P354" s="6"/>
      <c r="AD354" s="6"/>
      <c r="AR354" s="6"/>
      <c r="BF354" s="6"/>
      <c r="BT354" s="6"/>
      <c r="CH354" s="6"/>
    </row>
    <row r="355" ht="13.5" customHeight="1">
      <c r="P355" s="6"/>
      <c r="AD355" s="6"/>
      <c r="AR355" s="6"/>
      <c r="BF355" s="6"/>
      <c r="BT355" s="6"/>
      <c r="CH355" s="6"/>
    </row>
    <row r="356" ht="13.5" customHeight="1">
      <c r="P356" s="6"/>
      <c r="AD356" s="6"/>
      <c r="AR356" s="6"/>
      <c r="BF356" s="6"/>
      <c r="BT356" s="6"/>
      <c r="CH356" s="6"/>
    </row>
    <row r="357" ht="13.5" customHeight="1">
      <c r="P357" s="6"/>
      <c r="AD357" s="6"/>
      <c r="AR357" s="6"/>
      <c r="BF357" s="6"/>
      <c r="BT357" s="6"/>
      <c r="CH357" s="6"/>
    </row>
    <row r="358" ht="13.5" customHeight="1">
      <c r="P358" s="6"/>
      <c r="AD358" s="6"/>
      <c r="AR358" s="6"/>
      <c r="BF358" s="6"/>
      <c r="BT358" s="6"/>
      <c r="CH358" s="6"/>
    </row>
    <row r="359" ht="13.5" customHeight="1">
      <c r="P359" s="6"/>
      <c r="AD359" s="6"/>
      <c r="AR359" s="6"/>
      <c r="BF359" s="6"/>
      <c r="BT359" s="6"/>
      <c r="CH359" s="6"/>
    </row>
    <row r="360" ht="13.5" customHeight="1">
      <c r="P360" s="6"/>
      <c r="AD360" s="6"/>
      <c r="AR360" s="6"/>
      <c r="BF360" s="6"/>
      <c r="BT360" s="6"/>
      <c r="CH360" s="6"/>
    </row>
    <row r="361" ht="13.5" customHeight="1">
      <c r="P361" s="6"/>
      <c r="AD361" s="6"/>
      <c r="AR361" s="6"/>
      <c r="BF361" s="6"/>
      <c r="BT361" s="6"/>
      <c r="CH361" s="6"/>
    </row>
    <row r="362" ht="13.5" customHeight="1">
      <c r="P362" s="6"/>
      <c r="AD362" s="6"/>
      <c r="AR362" s="6"/>
      <c r="BF362" s="6"/>
      <c r="BT362" s="6"/>
      <c r="CH362" s="6"/>
    </row>
    <row r="363" ht="13.5" customHeight="1">
      <c r="P363" s="6"/>
      <c r="AD363" s="6"/>
      <c r="AR363" s="6"/>
      <c r="BF363" s="6"/>
      <c r="BT363" s="6"/>
      <c r="CH363" s="6"/>
    </row>
    <row r="364" ht="13.5" customHeight="1">
      <c r="P364" s="6"/>
      <c r="AD364" s="6"/>
      <c r="AR364" s="6"/>
      <c r="BF364" s="6"/>
      <c r="BT364" s="6"/>
      <c r="CH364" s="6"/>
    </row>
    <row r="365" ht="13.5" customHeight="1">
      <c r="P365" s="6"/>
      <c r="AD365" s="6"/>
      <c r="AR365" s="6"/>
      <c r="BF365" s="6"/>
      <c r="BT365" s="6"/>
      <c r="CH365" s="6"/>
    </row>
    <row r="366" ht="13.5" customHeight="1">
      <c r="P366" s="6"/>
      <c r="AD366" s="6"/>
      <c r="AR366" s="6"/>
      <c r="BF366" s="6"/>
      <c r="BT366" s="6"/>
      <c r="CH366" s="6"/>
    </row>
    <row r="367" ht="13.5" customHeight="1">
      <c r="P367" s="6"/>
      <c r="AD367" s="6"/>
      <c r="AR367" s="6"/>
      <c r="BF367" s="6"/>
      <c r="BT367" s="6"/>
      <c r="CH367" s="6"/>
    </row>
    <row r="368" ht="13.5" customHeight="1">
      <c r="P368" s="6"/>
      <c r="AD368" s="6"/>
      <c r="AR368" s="6"/>
      <c r="BF368" s="6"/>
      <c r="BT368" s="6"/>
      <c r="CH368" s="6"/>
    </row>
    <row r="369" ht="13.5" customHeight="1">
      <c r="P369" s="6"/>
      <c r="AD369" s="6"/>
      <c r="AR369" s="6"/>
      <c r="BF369" s="6"/>
      <c r="BT369" s="6"/>
      <c r="CH369" s="6"/>
    </row>
    <row r="370" ht="13.5" customHeight="1">
      <c r="P370" s="6"/>
      <c r="AD370" s="6"/>
      <c r="AR370" s="6"/>
      <c r="BF370" s="6"/>
      <c r="BT370" s="6"/>
      <c r="CH370" s="6"/>
    </row>
    <row r="371" ht="13.5" customHeight="1">
      <c r="P371" s="6"/>
      <c r="AD371" s="6"/>
      <c r="AR371" s="6"/>
      <c r="BF371" s="6"/>
      <c r="BT371" s="6"/>
      <c r="CH371" s="6"/>
    </row>
    <row r="372" ht="13.5" customHeight="1">
      <c r="P372" s="6"/>
      <c r="AD372" s="6"/>
      <c r="AR372" s="6"/>
      <c r="BF372" s="6"/>
      <c r="BT372" s="6"/>
      <c r="CH372" s="6"/>
    </row>
    <row r="373" ht="13.5" customHeight="1">
      <c r="P373" s="6"/>
      <c r="AD373" s="6"/>
      <c r="AR373" s="6"/>
      <c r="BF373" s="6"/>
      <c r="BT373" s="6"/>
      <c r="CH373" s="6"/>
    </row>
    <row r="374" ht="13.5" customHeight="1">
      <c r="P374" s="6"/>
      <c r="AD374" s="6"/>
      <c r="AR374" s="6"/>
      <c r="BF374" s="6"/>
      <c r="BT374" s="6"/>
      <c r="CH374" s="6"/>
    </row>
    <row r="375" ht="13.5" customHeight="1">
      <c r="P375" s="6"/>
      <c r="AD375" s="6"/>
      <c r="AR375" s="6"/>
      <c r="BF375" s="6"/>
      <c r="BT375" s="6"/>
      <c r="CH375" s="6"/>
    </row>
    <row r="376" ht="13.5" customHeight="1">
      <c r="P376" s="6"/>
      <c r="AD376" s="6"/>
      <c r="AR376" s="6"/>
      <c r="BF376" s="6"/>
      <c r="BT376" s="6"/>
      <c r="CH376" s="6"/>
    </row>
    <row r="377" ht="13.5" customHeight="1">
      <c r="P377" s="6"/>
      <c r="AD377" s="6"/>
      <c r="AR377" s="6"/>
      <c r="BF377" s="6"/>
      <c r="BT377" s="6"/>
      <c r="CH377" s="6"/>
    </row>
    <row r="378" ht="13.5" customHeight="1">
      <c r="P378" s="6"/>
      <c r="AD378" s="6"/>
      <c r="AR378" s="6"/>
      <c r="BF378" s="6"/>
      <c r="BT378" s="6"/>
      <c r="CH378" s="6"/>
    </row>
    <row r="379" ht="13.5" customHeight="1">
      <c r="P379" s="6"/>
      <c r="AD379" s="6"/>
      <c r="AR379" s="6"/>
      <c r="BF379" s="6"/>
      <c r="BT379" s="6"/>
      <c r="CH379" s="6"/>
    </row>
    <row r="380" ht="13.5" customHeight="1">
      <c r="P380" s="6"/>
      <c r="AD380" s="6"/>
      <c r="AR380" s="6"/>
      <c r="BF380" s="6"/>
      <c r="BT380" s="6"/>
      <c r="CH380" s="6"/>
    </row>
    <row r="381" ht="13.5" customHeight="1">
      <c r="P381" s="6"/>
      <c r="AD381" s="6"/>
      <c r="AR381" s="6"/>
      <c r="BF381" s="6"/>
      <c r="BT381" s="6"/>
      <c r="CH381" s="6"/>
    </row>
    <row r="382" ht="13.5" customHeight="1">
      <c r="P382" s="6"/>
      <c r="AD382" s="6"/>
      <c r="AR382" s="6"/>
      <c r="BF382" s="6"/>
      <c r="BT382" s="6"/>
      <c r="CH382" s="6"/>
    </row>
    <row r="383" ht="13.5" customHeight="1">
      <c r="P383" s="6"/>
      <c r="AD383" s="6"/>
      <c r="AR383" s="6"/>
      <c r="BF383" s="6"/>
      <c r="BT383" s="6"/>
      <c r="CH383" s="6"/>
    </row>
    <row r="384" ht="13.5" customHeight="1">
      <c r="P384" s="6"/>
      <c r="AD384" s="6"/>
      <c r="AR384" s="6"/>
      <c r="BF384" s="6"/>
      <c r="BT384" s="6"/>
      <c r="CH384" s="6"/>
    </row>
    <row r="385" ht="13.5" customHeight="1">
      <c r="P385" s="6"/>
      <c r="AD385" s="6"/>
      <c r="AR385" s="6"/>
      <c r="BF385" s="6"/>
      <c r="BT385" s="6"/>
      <c r="CH385" s="6"/>
    </row>
    <row r="386" ht="13.5" customHeight="1">
      <c r="P386" s="6"/>
      <c r="AD386" s="6"/>
      <c r="AR386" s="6"/>
      <c r="BF386" s="6"/>
      <c r="BT386" s="6"/>
      <c r="CH386" s="6"/>
    </row>
    <row r="387" ht="13.5" customHeight="1">
      <c r="P387" s="6"/>
      <c r="AD387" s="6"/>
      <c r="AR387" s="6"/>
      <c r="BF387" s="6"/>
      <c r="BT387" s="6"/>
      <c r="CH387" s="6"/>
    </row>
    <row r="388" ht="13.5" customHeight="1">
      <c r="P388" s="6"/>
      <c r="AD388" s="6"/>
      <c r="AR388" s="6"/>
      <c r="BF388" s="6"/>
      <c r="BT388" s="6"/>
      <c r="CH388" s="6"/>
    </row>
    <row r="389" ht="13.5" customHeight="1">
      <c r="P389" s="6"/>
      <c r="AD389" s="6"/>
      <c r="AR389" s="6"/>
      <c r="BF389" s="6"/>
      <c r="BT389" s="6"/>
      <c r="CH389" s="6"/>
    </row>
    <row r="390" ht="13.5" customHeight="1">
      <c r="P390" s="6"/>
      <c r="AD390" s="6"/>
      <c r="AR390" s="6"/>
      <c r="BF390" s="6"/>
      <c r="BT390" s="6"/>
      <c r="CH390" s="6"/>
    </row>
    <row r="391" ht="13.5" customHeight="1">
      <c r="P391" s="6"/>
      <c r="AD391" s="6"/>
      <c r="AR391" s="6"/>
      <c r="BF391" s="6"/>
      <c r="BT391" s="6"/>
      <c r="CH391" s="6"/>
    </row>
    <row r="392" ht="13.5" customHeight="1">
      <c r="P392" s="6"/>
      <c r="AD392" s="6"/>
      <c r="AR392" s="6"/>
      <c r="BF392" s="6"/>
      <c r="BT392" s="6"/>
      <c r="CH392" s="6"/>
    </row>
    <row r="393" ht="13.5" customHeight="1">
      <c r="P393" s="6"/>
      <c r="AD393" s="6"/>
      <c r="AR393" s="6"/>
      <c r="BF393" s="6"/>
      <c r="BT393" s="6"/>
      <c r="CH393" s="6"/>
    </row>
    <row r="394" ht="13.5" customHeight="1">
      <c r="P394" s="6"/>
      <c r="AD394" s="6"/>
      <c r="AR394" s="6"/>
      <c r="BF394" s="6"/>
      <c r="BT394" s="6"/>
      <c r="CH394" s="6"/>
    </row>
    <row r="395" ht="13.5" customHeight="1">
      <c r="P395" s="6"/>
      <c r="AD395" s="6"/>
      <c r="AR395" s="6"/>
      <c r="BF395" s="6"/>
      <c r="BT395" s="6"/>
      <c r="CH395" s="6"/>
    </row>
    <row r="396" ht="13.5" customHeight="1">
      <c r="P396" s="6"/>
      <c r="AD396" s="6"/>
      <c r="AR396" s="6"/>
      <c r="BF396" s="6"/>
      <c r="BT396" s="6"/>
      <c r="CH396" s="6"/>
    </row>
    <row r="397" ht="13.5" customHeight="1">
      <c r="P397" s="6"/>
      <c r="AD397" s="6"/>
      <c r="AR397" s="6"/>
      <c r="BF397" s="6"/>
      <c r="BT397" s="6"/>
      <c r="CH397" s="6"/>
    </row>
    <row r="398" ht="13.5" customHeight="1">
      <c r="P398" s="6"/>
      <c r="AD398" s="6"/>
      <c r="AR398" s="6"/>
      <c r="BF398" s="6"/>
      <c r="BT398" s="6"/>
      <c r="CH398" s="6"/>
    </row>
    <row r="399" ht="13.5" customHeight="1">
      <c r="P399" s="6"/>
      <c r="AD399" s="6"/>
      <c r="AR399" s="6"/>
      <c r="BF399" s="6"/>
      <c r="BT399" s="6"/>
      <c r="CH399" s="6"/>
    </row>
    <row r="400" ht="13.5" customHeight="1">
      <c r="P400" s="6"/>
      <c r="AD400" s="6"/>
      <c r="AR400" s="6"/>
      <c r="BF400" s="6"/>
      <c r="BT400" s="6"/>
      <c r="CH400" s="6"/>
    </row>
    <row r="401" ht="13.5" customHeight="1">
      <c r="P401" s="6"/>
      <c r="AD401" s="6"/>
      <c r="AR401" s="6"/>
      <c r="BF401" s="6"/>
      <c r="BT401" s="6"/>
      <c r="CH401" s="6"/>
    </row>
    <row r="402" ht="13.5" customHeight="1">
      <c r="P402" s="6"/>
      <c r="AD402" s="6"/>
      <c r="AR402" s="6"/>
      <c r="BF402" s="6"/>
      <c r="BT402" s="6"/>
      <c r="CH402" s="6"/>
    </row>
    <row r="403" ht="13.5" customHeight="1">
      <c r="P403" s="6"/>
      <c r="AD403" s="6"/>
      <c r="AR403" s="6"/>
      <c r="BF403" s="6"/>
      <c r="BT403" s="6"/>
      <c r="CH403" s="6"/>
    </row>
    <row r="404" ht="13.5" customHeight="1">
      <c r="P404" s="6"/>
      <c r="AD404" s="6"/>
      <c r="AR404" s="6"/>
      <c r="BF404" s="6"/>
      <c r="BT404" s="6"/>
      <c r="CH404" s="6"/>
    </row>
    <row r="405" ht="13.5" customHeight="1">
      <c r="P405" s="6"/>
      <c r="AD405" s="6"/>
      <c r="AR405" s="6"/>
      <c r="BF405" s="6"/>
      <c r="BT405" s="6"/>
      <c r="CH405" s="6"/>
    </row>
    <row r="406" ht="13.5" customHeight="1">
      <c r="P406" s="6"/>
      <c r="AD406" s="6"/>
      <c r="AR406" s="6"/>
      <c r="BF406" s="6"/>
      <c r="BT406" s="6"/>
      <c r="CH406" s="6"/>
    </row>
    <row r="407" ht="13.5" customHeight="1">
      <c r="P407" s="6"/>
      <c r="AD407" s="6"/>
      <c r="AR407" s="6"/>
      <c r="BF407" s="6"/>
      <c r="BT407" s="6"/>
      <c r="CH407" s="6"/>
    </row>
    <row r="408" ht="13.5" customHeight="1">
      <c r="P408" s="6"/>
      <c r="AD408" s="6"/>
      <c r="AR408" s="6"/>
      <c r="BF408" s="6"/>
      <c r="BT408" s="6"/>
      <c r="CH408" s="6"/>
    </row>
    <row r="409" ht="13.5" customHeight="1">
      <c r="P409" s="6"/>
      <c r="AD409" s="6"/>
      <c r="AR409" s="6"/>
      <c r="BF409" s="6"/>
      <c r="BT409" s="6"/>
      <c r="CH409" s="6"/>
    </row>
    <row r="410" ht="13.5" customHeight="1">
      <c r="P410" s="6"/>
      <c r="AD410" s="6"/>
      <c r="AR410" s="6"/>
      <c r="BF410" s="6"/>
      <c r="BT410" s="6"/>
      <c r="CH410" s="6"/>
    </row>
    <row r="411" ht="13.5" customHeight="1">
      <c r="P411" s="6"/>
      <c r="AD411" s="6"/>
      <c r="AR411" s="6"/>
      <c r="BF411" s="6"/>
      <c r="BT411" s="6"/>
      <c r="CH411" s="6"/>
    </row>
    <row r="412" ht="13.5" customHeight="1">
      <c r="P412" s="6"/>
      <c r="AD412" s="6"/>
      <c r="AR412" s="6"/>
      <c r="BF412" s="6"/>
      <c r="BT412" s="6"/>
      <c r="CH412" s="6"/>
    </row>
    <row r="413" ht="13.5" customHeight="1">
      <c r="P413" s="6"/>
      <c r="AD413" s="6"/>
      <c r="AR413" s="6"/>
      <c r="BF413" s="6"/>
      <c r="BT413" s="6"/>
      <c r="CH413" s="6"/>
    </row>
    <row r="414" ht="13.5" customHeight="1">
      <c r="P414" s="6"/>
      <c r="AD414" s="6"/>
      <c r="AR414" s="6"/>
      <c r="BF414" s="6"/>
      <c r="BT414" s="6"/>
      <c r="CH414" s="6"/>
    </row>
    <row r="415" ht="13.5" customHeight="1">
      <c r="P415" s="6"/>
      <c r="AD415" s="6"/>
      <c r="AR415" s="6"/>
      <c r="BF415" s="6"/>
      <c r="BT415" s="6"/>
      <c r="CH415" s="6"/>
    </row>
    <row r="416" ht="13.5" customHeight="1">
      <c r="P416" s="6"/>
      <c r="AD416" s="6"/>
      <c r="AR416" s="6"/>
      <c r="BF416" s="6"/>
      <c r="BT416" s="6"/>
      <c r="CH416" s="6"/>
    </row>
    <row r="417" ht="13.5" customHeight="1">
      <c r="P417" s="6"/>
      <c r="AD417" s="6"/>
      <c r="AR417" s="6"/>
      <c r="BF417" s="6"/>
      <c r="BT417" s="6"/>
      <c r="CH417" s="6"/>
    </row>
    <row r="418" ht="13.5" customHeight="1">
      <c r="P418" s="6"/>
      <c r="AD418" s="6"/>
      <c r="AR418" s="6"/>
      <c r="BF418" s="6"/>
      <c r="BT418" s="6"/>
      <c r="CH418" s="6"/>
    </row>
    <row r="419" ht="13.5" customHeight="1">
      <c r="P419" s="6"/>
      <c r="AD419" s="6"/>
      <c r="AR419" s="6"/>
      <c r="BF419" s="6"/>
      <c r="BT419" s="6"/>
      <c r="CH419" s="6"/>
    </row>
    <row r="420" ht="13.5" customHeight="1">
      <c r="P420" s="6"/>
      <c r="AD420" s="6"/>
      <c r="AR420" s="6"/>
      <c r="BF420" s="6"/>
      <c r="BT420" s="6"/>
      <c r="CH420" s="6"/>
    </row>
    <row r="421" ht="13.5" customHeight="1">
      <c r="P421" s="6"/>
      <c r="AD421" s="6"/>
      <c r="AR421" s="6"/>
      <c r="BF421" s="6"/>
      <c r="BT421" s="6"/>
      <c r="CH421" s="6"/>
    </row>
    <row r="422" ht="13.5" customHeight="1">
      <c r="P422" s="6"/>
      <c r="AD422" s="6"/>
      <c r="AR422" s="6"/>
      <c r="BF422" s="6"/>
      <c r="BT422" s="6"/>
      <c r="CH422" s="6"/>
    </row>
    <row r="423" ht="13.5" customHeight="1">
      <c r="P423" s="6"/>
      <c r="AD423" s="6"/>
      <c r="AR423" s="6"/>
      <c r="BF423" s="6"/>
      <c r="BT423" s="6"/>
      <c r="CH423" s="6"/>
    </row>
    <row r="424" ht="13.5" customHeight="1">
      <c r="P424" s="6"/>
      <c r="AD424" s="6"/>
      <c r="AR424" s="6"/>
      <c r="BF424" s="6"/>
      <c r="BT424" s="6"/>
      <c r="CH424" s="6"/>
    </row>
    <row r="425" ht="13.5" customHeight="1">
      <c r="P425" s="6"/>
      <c r="AD425" s="6"/>
      <c r="AR425" s="6"/>
      <c r="BF425" s="6"/>
      <c r="BT425" s="6"/>
      <c r="CH425" s="6"/>
    </row>
    <row r="426" ht="13.5" customHeight="1">
      <c r="P426" s="6"/>
      <c r="AD426" s="6"/>
      <c r="AR426" s="6"/>
      <c r="BF426" s="6"/>
      <c r="BT426" s="6"/>
      <c r="CH426" s="6"/>
    </row>
    <row r="427" ht="13.5" customHeight="1">
      <c r="P427" s="6"/>
      <c r="AD427" s="6"/>
      <c r="AR427" s="6"/>
      <c r="BF427" s="6"/>
      <c r="BT427" s="6"/>
      <c r="CH427" s="6"/>
    </row>
    <row r="428" ht="13.5" customHeight="1">
      <c r="P428" s="6"/>
      <c r="AD428" s="6"/>
      <c r="AR428" s="6"/>
      <c r="BF428" s="6"/>
      <c r="BT428" s="6"/>
      <c r="CH428" s="6"/>
    </row>
    <row r="429" ht="13.5" customHeight="1">
      <c r="P429" s="6"/>
      <c r="AD429" s="6"/>
      <c r="AR429" s="6"/>
      <c r="BF429" s="6"/>
      <c r="BT429" s="6"/>
      <c r="CH429" s="6"/>
    </row>
    <row r="430" ht="13.5" customHeight="1">
      <c r="P430" s="6"/>
      <c r="AD430" s="6"/>
      <c r="AR430" s="6"/>
      <c r="BF430" s="6"/>
      <c r="BT430" s="6"/>
      <c r="CH430" s="6"/>
    </row>
    <row r="431" ht="13.5" customHeight="1">
      <c r="P431" s="6"/>
      <c r="AD431" s="6"/>
      <c r="AR431" s="6"/>
      <c r="BF431" s="6"/>
      <c r="BT431" s="6"/>
      <c r="CH431" s="6"/>
    </row>
    <row r="432" ht="13.5" customHeight="1">
      <c r="P432" s="6"/>
      <c r="AD432" s="6"/>
      <c r="AR432" s="6"/>
      <c r="BF432" s="6"/>
      <c r="BT432" s="6"/>
      <c r="CH432" s="6"/>
    </row>
    <row r="433" ht="13.5" customHeight="1">
      <c r="P433" s="6"/>
      <c r="AD433" s="6"/>
      <c r="AR433" s="6"/>
      <c r="BF433" s="6"/>
      <c r="BT433" s="6"/>
      <c r="CH433" s="6"/>
    </row>
    <row r="434" ht="13.5" customHeight="1">
      <c r="P434" s="6"/>
      <c r="AD434" s="6"/>
      <c r="AR434" s="6"/>
      <c r="BF434" s="6"/>
      <c r="BT434" s="6"/>
      <c r="CH434" s="6"/>
    </row>
    <row r="435" ht="13.5" customHeight="1">
      <c r="P435" s="6"/>
      <c r="AD435" s="6"/>
      <c r="AR435" s="6"/>
      <c r="BF435" s="6"/>
      <c r="BT435" s="6"/>
      <c r="CH435" s="6"/>
    </row>
    <row r="436" ht="13.5" customHeight="1">
      <c r="P436" s="6"/>
      <c r="AD436" s="6"/>
      <c r="AR436" s="6"/>
      <c r="BF436" s="6"/>
      <c r="BT436" s="6"/>
      <c r="CH436" s="6"/>
    </row>
    <row r="437" ht="13.5" customHeight="1">
      <c r="P437" s="6"/>
      <c r="AD437" s="6"/>
      <c r="AR437" s="6"/>
      <c r="BF437" s="6"/>
      <c r="BT437" s="6"/>
      <c r="CH437" s="6"/>
    </row>
    <row r="438" ht="13.5" customHeight="1">
      <c r="P438" s="6"/>
      <c r="AD438" s="6"/>
      <c r="AR438" s="6"/>
      <c r="BF438" s="6"/>
      <c r="BT438" s="6"/>
      <c r="CH438" s="6"/>
    </row>
    <row r="439" ht="13.5" customHeight="1">
      <c r="P439" s="6"/>
      <c r="AD439" s="6"/>
      <c r="AR439" s="6"/>
      <c r="BF439" s="6"/>
      <c r="BT439" s="6"/>
      <c r="CH439" s="6"/>
    </row>
    <row r="440" ht="13.5" customHeight="1">
      <c r="P440" s="6"/>
      <c r="AD440" s="6"/>
      <c r="AR440" s="6"/>
      <c r="BF440" s="6"/>
      <c r="BT440" s="6"/>
      <c r="CH440" s="6"/>
    </row>
    <row r="441" ht="13.5" customHeight="1">
      <c r="P441" s="6"/>
      <c r="AD441" s="6"/>
      <c r="AR441" s="6"/>
      <c r="BF441" s="6"/>
      <c r="BT441" s="6"/>
      <c r="CH441" s="6"/>
    </row>
    <row r="442" ht="13.5" customHeight="1">
      <c r="P442" s="6"/>
      <c r="AD442" s="6"/>
      <c r="AR442" s="6"/>
      <c r="BF442" s="6"/>
      <c r="BT442" s="6"/>
      <c r="CH442" s="6"/>
    </row>
    <row r="443" ht="13.5" customHeight="1">
      <c r="P443" s="6"/>
      <c r="AD443" s="6"/>
      <c r="AR443" s="6"/>
      <c r="BF443" s="6"/>
      <c r="BT443" s="6"/>
      <c r="CH443" s="6"/>
    </row>
    <row r="444" ht="13.5" customHeight="1">
      <c r="P444" s="6"/>
      <c r="AD444" s="6"/>
      <c r="AR444" s="6"/>
      <c r="BF444" s="6"/>
      <c r="BT444" s="6"/>
      <c r="CH444" s="6"/>
    </row>
    <row r="445" ht="13.5" customHeight="1">
      <c r="P445" s="6"/>
      <c r="AD445" s="6"/>
      <c r="AR445" s="6"/>
      <c r="BF445" s="6"/>
      <c r="BT445" s="6"/>
      <c r="CH445" s="6"/>
    </row>
    <row r="446" ht="13.5" customHeight="1">
      <c r="P446" s="6"/>
      <c r="AD446" s="6"/>
      <c r="AR446" s="6"/>
      <c r="BF446" s="6"/>
      <c r="BT446" s="6"/>
      <c r="CH446" s="6"/>
    </row>
    <row r="447" ht="13.5" customHeight="1">
      <c r="P447" s="6"/>
      <c r="AD447" s="6"/>
      <c r="AR447" s="6"/>
      <c r="BF447" s="6"/>
      <c r="BT447" s="6"/>
      <c r="CH447" s="6"/>
    </row>
    <row r="448" ht="13.5" customHeight="1">
      <c r="P448" s="6"/>
      <c r="AD448" s="6"/>
      <c r="AR448" s="6"/>
      <c r="BF448" s="6"/>
      <c r="BT448" s="6"/>
      <c r="CH448" s="6"/>
    </row>
    <row r="449" ht="13.5" customHeight="1">
      <c r="P449" s="6"/>
      <c r="AD449" s="6"/>
      <c r="AR449" s="6"/>
      <c r="BF449" s="6"/>
      <c r="BT449" s="6"/>
      <c r="CH449" s="6"/>
    </row>
    <row r="450" ht="13.5" customHeight="1">
      <c r="P450" s="6"/>
      <c r="AD450" s="6"/>
      <c r="AR450" s="6"/>
      <c r="BF450" s="6"/>
      <c r="BT450" s="6"/>
      <c r="CH450" s="6"/>
    </row>
    <row r="451" ht="13.5" customHeight="1">
      <c r="P451" s="6"/>
      <c r="AD451" s="6"/>
      <c r="AR451" s="6"/>
      <c r="BF451" s="6"/>
      <c r="BT451" s="6"/>
      <c r="CH451" s="6"/>
    </row>
    <row r="452" ht="13.5" customHeight="1">
      <c r="P452" s="6"/>
      <c r="AD452" s="6"/>
      <c r="AR452" s="6"/>
      <c r="BF452" s="6"/>
      <c r="BT452" s="6"/>
      <c r="CH452" s="6"/>
    </row>
    <row r="453" ht="13.5" customHeight="1">
      <c r="P453" s="6"/>
      <c r="AD453" s="6"/>
      <c r="AR453" s="6"/>
      <c r="BF453" s="6"/>
      <c r="BT453" s="6"/>
      <c r="CH453" s="6"/>
    </row>
    <row r="454" ht="13.5" customHeight="1">
      <c r="P454" s="6"/>
      <c r="AD454" s="6"/>
      <c r="AR454" s="6"/>
      <c r="BF454" s="6"/>
      <c r="BT454" s="6"/>
      <c r="CH454" s="6"/>
    </row>
    <row r="455" ht="13.5" customHeight="1">
      <c r="P455" s="6"/>
      <c r="AD455" s="6"/>
      <c r="AR455" s="6"/>
      <c r="BF455" s="6"/>
      <c r="BT455" s="6"/>
      <c r="CH455" s="6"/>
    </row>
    <row r="456" ht="13.5" customHeight="1">
      <c r="P456" s="6"/>
      <c r="AD456" s="6"/>
      <c r="AR456" s="6"/>
      <c r="BF456" s="6"/>
      <c r="BT456" s="6"/>
      <c r="CH456" s="6"/>
    </row>
    <row r="457" ht="13.5" customHeight="1">
      <c r="P457" s="6"/>
      <c r="AD457" s="6"/>
      <c r="AR457" s="6"/>
      <c r="BF457" s="6"/>
      <c r="BT457" s="6"/>
      <c r="CH457" s="6"/>
    </row>
    <row r="458" ht="13.5" customHeight="1">
      <c r="P458" s="6"/>
      <c r="AD458" s="6"/>
      <c r="AR458" s="6"/>
      <c r="BF458" s="6"/>
      <c r="BT458" s="6"/>
      <c r="CH458" s="6"/>
    </row>
    <row r="459" ht="13.5" customHeight="1">
      <c r="P459" s="6"/>
      <c r="AD459" s="6"/>
      <c r="AR459" s="6"/>
      <c r="BF459" s="6"/>
      <c r="BT459" s="6"/>
      <c r="CH459" s="6"/>
    </row>
    <row r="460" ht="13.5" customHeight="1">
      <c r="P460" s="6"/>
      <c r="AD460" s="6"/>
      <c r="AR460" s="6"/>
      <c r="BF460" s="6"/>
      <c r="BT460" s="6"/>
      <c r="CH460" s="6"/>
    </row>
    <row r="461" ht="13.5" customHeight="1">
      <c r="P461" s="6"/>
      <c r="AD461" s="6"/>
      <c r="AR461" s="6"/>
      <c r="BF461" s="6"/>
      <c r="BT461" s="6"/>
      <c r="CH461" s="6"/>
    </row>
    <row r="462" ht="13.5" customHeight="1">
      <c r="P462" s="6"/>
      <c r="AD462" s="6"/>
      <c r="AR462" s="6"/>
      <c r="BF462" s="6"/>
      <c r="BT462" s="6"/>
      <c r="CH462" s="6"/>
    </row>
    <row r="463" ht="13.5" customHeight="1">
      <c r="P463" s="6"/>
      <c r="AD463" s="6"/>
      <c r="AR463" s="6"/>
      <c r="BF463" s="6"/>
      <c r="BT463" s="6"/>
      <c r="CH463" s="6"/>
    </row>
    <row r="464" ht="13.5" customHeight="1">
      <c r="P464" s="6"/>
      <c r="AD464" s="6"/>
      <c r="AR464" s="6"/>
      <c r="BF464" s="6"/>
      <c r="BT464" s="6"/>
      <c r="CH464" s="6"/>
    </row>
    <row r="465" ht="13.5" customHeight="1">
      <c r="P465" s="6"/>
      <c r="AD465" s="6"/>
      <c r="AR465" s="6"/>
      <c r="BF465" s="6"/>
      <c r="BT465" s="6"/>
      <c r="CH465" s="6"/>
    </row>
    <row r="466" ht="13.5" customHeight="1">
      <c r="P466" s="6"/>
      <c r="AD466" s="6"/>
      <c r="AR466" s="6"/>
      <c r="BF466" s="6"/>
      <c r="BT466" s="6"/>
      <c r="CH466" s="6"/>
    </row>
    <row r="467" ht="13.5" customHeight="1">
      <c r="P467" s="6"/>
      <c r="AD467" s="6"/>
      <c r="AR467" s="6"/>
      <c r="BF467" s="6"/>
      <c r="BT467" s="6"/>
      <c r="CH467" s="6"/>
    </row>
    <row r="468" ht="13.5" customHeight="1">
      <c r="P468" s="6"/>
      <c r="AD468" s="6"/>
      <c r="AR468" s="6"/>
      <c r="BF468" s="6"/>
      <c r="BT468" s="6"/>
      <c r="CH468" s="6"/>
    </row>
    <row r="469" ht="13.5" customHeight="1">
      <c r="P469" s="6"/>
      <c r="AD469" s="6"/>
      <c r="AR469" s="6"/>
      <c r="BF469" s="6"/>
      <c r="BT469" s="6"/>
      <c r="CH469" s="6"/>
    </row>
    <row r="470" ht="13.5" customHeight="1">
      <c r="P470" s="6"/>
      <c r="AD470" s="6"/>
      <c r="AR470" s="6"/>
      <c r="BF470" s="6"/>
      <c r="BT470" s="6"/>
      <c r="CH470" s="6"/>
    </row>
    <row r="471" ht="13.5" customHeight="1">
      <c r="P471" s="6"/>
      <c r="AD471" s="6"/>
      <c r="AR471" s="6"/>
      <c r="BF471" s="6"/>
      <c r="BT471" s="6"/>
      <c r="CH471" s="6"/>
    </row>
    <row r="472" ht="13.5" customHeight="1">
      <c r="P472" s="6"/>
      <c r="AD472" s="6"/>
      <c r="AR472" s="6"/>
      <c r="BF472" s="6"/>
      <c r="BT472" s="6"/>
      <c r="CH472" s="6"/>
    </row>
    <row r="473" ht="13.5" customHeight="1">
      <c r="P473" s="6"/>
      <c r="AD473" s="6"/>
      <c r="AR473" s="6"/>
      <c r="BF473" s="6"/>
      <c r="BT473" s="6"/>
      <c r="CH473" s="6"/>
    </row>
    <row r="474" ht="13.5" customHeight="1">
      <c r="P474" s="6"/>
      <c r="AD474" s="6"/>
      <c r="AR474" s="6"/>
      <c r="BF474" s="6"/>
      <c r="BT474" s="6"/>
      <c r="CH474" s="6"/>
    </row>
    <row r="475" ht="13.5" customHeight="1">
      <c r="P475" s="6"/>
      <c r="AD475" s="6"/>
      <c r="AR475" s="6"/>
      <c r="BF475" s="6"/>
      <c r="BT475" s="6"/>
      <c r="CH475" s="6"/>
    </row>
    <row r="476" ht="13.5" customHeight="1">
      <c r="P476" s="6"/>
      <c r="AD476" s="6"/>
      <c r="AR476" s="6"/>
      <c r="BF476" s="6"/>
      <c r="BT476" s="6"/>
      <c r="CH476" s="6"/>
    </row>
    <row r="477" ht="13.5" customHeight="1">
      <c r="P477" s="6"/>
      <c r="AD477" s="6"/>
      <c r="AR477" s="6"/>
      <c r="BF477" s="6"/>
      <c r="BT477" s="6"/>
      <c r="CH477" s="6"/>
    </row>
    <row r="478" ht="13.5" customHeight="1">
      <c r="P478" s="6"/>
      <c r="AD478" s="6"/>
      <c r="AR478" s="6"/>
      <c r="BF478" s="6"/>
      <c r="BT478" s="6"/>
      <c r="CH478" s="6"/>
    </row>
    <row r="479" ht="13.5" customHeight="1">
      <c r="P479" s="6"/>
      <c r="AD479" s="6"/>
      <c r="AR479" s="6"/>
      <c r="BF479" s="6"/>
      <c r="BT479" s="6"/>
      <c r="CH479" s="6"/>
    </row>
    <row r="480" ht="13.5" customHeight="1">
      <c r="P480" s="6"/>
      <c r="AD480" s="6"/>
      <c r="AR480" s="6"/>
      <c r="BF480" s="6"/>
      <c r="BT480" s="6"/>
      <c r="CH480" s="6"/>
    </row>
    <row r="481" ht="13.5" customHeight="1">
      <c r="P481" s="6"/>
      <c r="AD481" s="6"/>
      <c r="AR481" s="6"/>
      <c r="BF481" s="6"/>
      <c r="BT481" s="6"/>
      <c r="CH481" s="6"/>
    </row>
    <row r="482" ht="13.5" customHeight="1">
      <c r="P482" s="6"/>
      <c r="AD482" s="6"/>
      <c r="AR482" s="6"/>
      <c r="BF482" s="6"/>
      <c r="BT482" s="6"/>
      <c r="CH482" s="6"/>
    </row>
    <row r="483" ht="13.5" customHeight="1">
      <c r="P483" s="6"/>
      <c r="AD483" s="6"/>
      <c r="AR483" s="6"/>
      <c r="BF483" s="6"/>
      <c r="BT483" s="6"/>
      <c r="CH483" s="6"/>
    </row>
    <row r="484" ht="13.5" customHeight="1">
      <c r="P484" s="6"/>
      <c r="AD484" s="6"/>
      <c r="AR484" s="6"/>
      <c r="BF484" s="6"/>
      <c r="BT484" s="6"/>
      <c r="CH484" s="6"/>
    </row>
    <row r="485" ht="13.5" customHeight="1">
      <c r="P485" s="6"/>
      <c r="AD485" s="6"/>
      <c r="AR485" s="6"/>
      <c r="BF485" s="6"/>
      <c r="BT485" s="6"/>
      <c r="CH485" s="6"/>
    </row>
    <row r="486" ht="13.5" customHeight="1">
      <c r="P486" s="6"/>
      <c r="AD486" s="6"/>
      <c r="AR486" s="6"/>
      <c r="BF486" s="6"/>
      <c r="BT486" s="6"/>
      <c r="CH486" s="6"/>
    </row>
    <row r="487" ht="13.5" customHeight="1">
      <c r="P487" s="6"/>
      <c r="AD487" s="6"/>
      <c r="AR487" s="6"/>
      <c r="BF487" s="6"/>
      <c r="BT487" s="6"/>
      <c r="CH487" s="6"/>
    </row>
    <row r="488" ht="13.5" customHeight="1">
      <c r="P488" s="6"/>
      <c r="AD488" s="6"/>
      <c r="AR488" s="6"/>
      <c r="BF488" s="6"/>
      <c r="BT488" s="6"/>
      <c r="CH488" s="6"/>
    </row>
    <row r="489" ht="13.5" customHeight="1">
      <c r="P489" s="6"/>
      <c r="AD489" s="6"/>
      <c r="AR489" s="6"/>
      <c r="BF489" s="6"/>
      <c r="BT489" s="6"/>
      <c r="CH489" s="6"/>
    </row>
    <row r="490" ht="13.5" customHeight="1">
      <c r="P490" s="6"/>
      <c r="AD490" s="6"/>
      <c r="AR490" s="6"/>
      <c r="BF490" s="6"/>
      <c r="BT490" s="6"/>
      <c r="CH490" s="6"/>
    </row>
    <row r="491" ht="13.5" customHeight="1">
      <c r="P491" s="6"/>
      <c r="AD491" s="6"/>
      <c r="AR491" s="6"/>
      <c r="BF491" s="6"/>
      <c r="BT491" s="6"/>
      <c r="CH491" s="6"/>
    </row>
    <row r="492" ht="13.5" customHeight="1">
      <c r="P492" s="6"/>
      <c r="AD492" s="6"/>
      <c r="AR492" s="6"/>
      <c r="BF492" s="6"/>
      <c r="BT492" s="6"/>
      <c r="CH492" s="6"/>
    </row>
    <row r="493" ht="13.5" customHeight="1">
      <c r="P493" s="6"/>
      <c r="AD493" s="6"/>
      <c r="AR493" s="6"/>
      <c r="BF493" s="6"/>
      <c r="BT493" s="6"/>
      <c r="CH493" s="6"/>
    </row>
    <row r="494" ht="13.5" customHeight="1">
      <c r="P494" s="6"/>
      <c r="AD494" s="6"/>
      <c r="AR494" s="6"/>
      <c r="BF494" s="6"/>
      <c r="BT494" s="6"/>
      <c r="CH494" s="6"/>
    </row>
    <row r="495" ht="13.5" customHeight="1">
      <c r="P495" s="6"/>
      <c r="AD495" s="6"/>
      <c r="AR495" s="6"/>
      <c r="BF495" s="6"/>
      <c r="BT495" s="6"/>
      <c r="CH495" s="6"/>
    </row>
    <row r="496" ht="13.5" customHeight="1">
      <c r="P496" s="6"/>
      <c r="AD496" s="6"/>
      <c r="AR496" s="6"/>
      <c r="BF496" s="6"/>
      <c r="BT496" s="6"/>
      <c r="CH496" s="6"/>
    </row>
    <row r="497" ht="13.5" customHeight="1">
      <c r="P497" s="6"/>
      <c r="AD497" s="6"/>
      <c r="AR497" s="6"/>
      <c r="BF497" s="6"/>
      <c r="BT497" s="6"/>
      <c r="CH497" s="6"/>
    </row>
    <row r="498" ht="13.5" customHeight="1">
      <c r="P498" s="6"/>
      <c r="AD498" s="6"/>
      <c r="AR498" s="6"/>
      <c r="BF498" s="6"/>
      <c r="BT498" s="6"/>
      <c r="CH498" s="6"/>
    </row>
    <row r="499" ht="13.5" customHeight="1">
      <c r="P499" s="6"/>
      <c r="AD499" s="6"/>
      <c r="AR499" s="6"/>
      <c r="BF499" s="6"/>
      <c r="BT499" s="6"/>
      <c r="CH499" s="6"/>
    </row>
    <row r="500" ht="13.5" customHeight="1">
      <c r="P500" s="6"/>
      <c r="AD500" s="6"/>
      <c r="AR500" s="6"/>
      <c r="BF500" s="6"/>
      <c r="BT500" s="6"/>
      <c r="CH500" s="6"/>
    </row>
    <row r="501" ht="13.5" customHeight="1">
      <c r="P501" s="6"/>
      <c r="AD501" s="6"/>
      <c r="AR501" s="6"/>
      <c r="BF501" s="6"/>
      <c r="BT501" s="6"/>
      <c r="CH501" s="6"/>
    </row>
    <row r="502" ht="13.5" customHeight="1">
      <c r="P502" s="6"/>
      <c r="AD502" s="6"/>
      <c r="AR502" s="6"/>
      <c r="BF502" s="6"/>
      <c r="BT502" s="6"/>
      <c r="CH502" s="6"/>
    </row>
    <row r="503" ht="13.5" customHeight="1">
      <c r="P503" s="6"/>
      <c r="AD503" s="6"/>
      <c r="AR503" s="6"/>
      <c r="BF503" s="6"/>
      <c r="BT503" s="6"/>
      <c r="CH503" s="6"/>
    </row>
    <row r="504" ht="13.5" customHeight="1">
      <c r="P504" s="6"/>
      <c r="AD504" s="6"/>
      <c r="AR504" s="6"/>
      <c r="BF504" s="6"/>
      <c r="BT504" s="6"/>
      <c r="CH504" s="6"/>
    </row>
    <row r="505" ht="13.5" customHeight="1">
      <c r="P505" s="6"/>
      <c r="AD505" s="6"/>
      <c r="AR505" s="6"/>
      <c r="BF505" s="6"/>
      <c r="BT505" s="6"/>
      <c r="CH505" s="6"/>
    </row>
    <row r="506" ht="13.5" customHeight="1">
      <c r="P506" s="6"/>
      <c r="AD506" s="6"/>
      <c r="AR506" s="6"/>
      <c r="BF506" s="6"/>
      <c r="BT506" s="6"/>
      <c r="CH506" s="6"/>
    </row>
    <row r="507" ht="13.5" customHeight="1">
      <c r="P507" s="6"/>
      <c r="AD507" s="6"/>
      <c r="AR507" s="6"/>
      <c r="BF507" s="6"/>
      <c r="BT507" s="6"/>
      <c r="CH507" s="6"/>
    </row>
    <row r="508" ht="13.5" customHeight="1">
      <c r="P508" s="6"/>
      <c r="AD508" s="6"/>
      <c r="AR508" s="6"/>
      <c r="BF508" s="6"/>
      <c r="BT508" s="6"/>
      <c r="CH508" s="6"/>
    </row>
    <row r="509" ht="13.5" customHeight="1">
      <c r="P509" s="6"/>
      <c r="AD509" s="6"/>
      <c r="AR509" s="6"/>
      <c r="BF509" s="6"/>
      <c r="BT509" s="6"/>
      <c r="CH509" s="6"/>
    </row>
    <row r="510" ht="13.5" customHeight="1">
      <c r="P510" s="6"/>
      <c r="AD510" s="6"/>
      <c r="AR510" s="6"/>
      <c r="BF510" s="6"/>
      <c r="BT510" s="6"/>
      <c r="CH510" s="6"/>
    </row>
    <row r="511" ht="13.5" customHeight="1">
      <c r="P511" s="6"/>
      <c r="AD511" s="6"/>
      <c r="AR511" s="6"/>
      <c r="BF511" s="6"/>
      <c r="BT511" s="6"/>
      <c r="CH511" s="6"/>
    </row>
    <row r="512" ht="13.5" customHeight="1">
      <c r="P512" s="6"/>
      <c r="AD512" s="6"/>
      <c r="AR512" s="6"/>
      <c r="BF512" s="6"/>
      <c r="BT512" s="6"/>
      <c r="CH512" s="6"/>
    </row>
    <row r="513" ht="13.5" customHeight="1">
      <c r="P513" s="6"/>
      <c r="AD513" s="6"/>
      <c r="AR513" s="6"/>
      <c r="BF513" s="6"/>
      <c r="BT513" s="6"/>
      <c r="CH513" s="6"/>
    </row>
    <row r="514" ht="13.5" customHeight="1">
      <c r="P514" s="6"/>
      <c r="AD514" s="6"/>
      <c r="AR514" s="6"/>
      <c r="BF514" s="6"/>
      <c r="BT514" s="6"/>
      <c r="CH514" s="6"/>
    </row>
    <row r="515" ht="13.5" customHeight="1">
      <c r="P515" s="6"/>
      <c r="AD515" s="6"/>
      <c r="AR515" s="6"/>
      <c r="BF515" s="6"/>
      <c r="BT515" s="6"/>
      <c r="CH515" s="6"/>
    </row>
    <row r="516" ht="13.5" customHeight="1">
      <c r="P516" s="6"/>
      <c r="AD516" s="6"/>
      <c r="AR516" s="6"/>
      <c r="BF516" s="6"/>
      <c r="BT516" s="6"/>
      <c r="CH516" s="6"/>
    </row>
    <row r="517" ht="13.5" customHeight="1">
      <c r="P517" s="6"/>
      <c r="AD517" s="6"/>
      <c r="AR517" s="6"/>
      <c r="BF517" s="6"/>
      <c r="BT517" s="6"/>
      <c r="CH517" s="6"/>
    </row>
    <row r="518" ht="13.5" customHeight="1">
      <c r="P518" s="6"/>
      <c r="AD518" s="6"/>
      <c r="AR518" s="6"/>
      <c r="BF518" s="6"/>
      <c r="BT518" s="6"/>
      <c r="CH518" s="6"/>
    </row>
    <row r="519" ht="13.5" customHeight="1">
      <c r="P519" s="6"/>
      <c r="AD519" s="6"/>
      <c r="AR519" s="6"/>
      <c r="BF519" s="6"/>
      <c r="BT519" s="6"/>
      <c r="CH519" s="6"/>
    </row>
    <row r="520" ht="13.5" customHeight="1">
      <c r="P520" s="6"/>
      <c r="AD520" s="6"/>
      <c r="AR520" s="6"/>
      <c r="BF520" s="6"/>
      <c r="BT520" s="6"/>
      <c r="CH520" s="6"/>
    </row>
    <row r="521" ht="13.5" customHeight="1">
      <c r="P521" s="6"/>
      <c r="AD521" s="6"/>
      <c r="AR521" s="6"/>
      <c r="BF521" s="6"/>
      <c r="BT521" s="6"/>
      <c r="CH521" s="6"/>
    </row>
    <row r="522" ht="13.5" customHeight="1">
      <c r="P522" s="6"/>
      <c r="AD522" s="6"/>
      <c r="AR522" s="6"/>
      <c r="BF522" s="6"/>
      <c r="BT522" s="6"/>
      <c r="CH522" s="6"/>
    </row>
    <row r="523" ht="13.5" customHeight="1">
      <c r="P523" s="6"/>
      <c r="AD523" s="6"/>
      <c r="AR523" s="6"/>
      <c r="BF523" s="6"/>
      <c r="BT523" s="6"/>
      <c r="CH523" s="6"/>
    </row>
    <row r="524" ht="13.5" customHeight="1">
      <c r="P524" s="6"/>
      <c r="AD524" s="6"/>
      <c r="AR524" s="6"/>
      <c r="BF524" s="6"/>
      <c r="BT524" s="6"/>
      <c r="CH524" s="6"/>
    </row>
    <row r="525" ht="13.5" customHeight="1">
      <c r="P525" s="6"/>
      <c r="AD525" s="6"/>
      <c r="AR525" s="6"/>
      <c r="BF525" s="6"/>
      <c r="BT525" s="6"/>
      <c r="CH525" s="6"/>
    </row>
    <row r="526" ht="13.5" customHeight="1">
      <c r="P526" s="6"/>
      <c r="AD526" s="6"/>
      <c r="AR526" s="6"/>
      <c r="BF526" s="6"/>
      <c r="BT526" s="6"/>
      <c r="CH526" s="6"/>
    </row>
    <row r="527" ht="13.5" customHeight="1">
      <c r="P527" s="6"/>
      <c r="AD527" s="6"/>
      <c r="AR527" s="6"/>
      <c r="BF527" s="6"/>
      <c r="BT527" s="6"/>
      <c r="CH527" s="6"/>
    </row>
    <row r="528" ht="13.5" customHeight="1">
      <c r="P528" s="6"/>
      <c r="AD528" s="6"/>
      <c r="AR528" s="6"/>
      <c r="BF528" s="6"/>
      <c r="BT528" s="6"/>
      <c r="CH528" s="6"/>
    </row>
    <row r="529" ht="13.5" customHeight="1">
      <c r="P529" s="6"/>
      <c r="AD529" s="6"/>
      <c r="AR529" s="6"/>
      <c r="BF529" s="6"/>
      <c r="BT529" s="6"/>
      <c r="CH529" s="6"/>
    </row>
    <row r="530" ht="13.5" customHeight="1">
      <c r="P530" s="6"/>
      <c r="AD530" s="6"/>
      <c r="AR530" s="6"/>
      <c r="BF530" s="6"/>
      <c r="BT530" s="6"/>
      <c r="CH530" s="6"/>
    </row>
    <row r="531" ht="13.5" customHeight="1">
      <c r="P531" s="6"/>
      <c r="AD531" s="6"/>
      <c r="AR531" s="6"/>
      <c r="BF531" s="6"/>
      <c r="BT531" s="6"/>
      <c r="CH531" s="6"/>
    </row>
    <row r="532" ht="13.5" customHeight="1">
      <c r="P532" s="6"/>
      <c r="AD532" s="6"/>
      <c r="AR532" s="6"/>
      <c r="BF532" s="6"/>
      <c r="BT532" s="6"/>
      <c r="CH532" s="6"/>
    </row>
    <row r="533" ht="13.5" customHeight="1">
      <c r="P533" s="6"/>
      <c r="AD533" s="6"/>
      <c r="AR533" s="6"/>
      <c r="BF533" s="6"/>
      <c r="BT533" s="6"/>
      <c r="CH533" s="6"/>
    </row>
    <row r="534" ht="13.5" customHeight="1">
      <c r="P534" s="6"/>
      <c r="AD534" s="6"/>
      <c r="AR534" s="6"/>
      <c r="BF534" s="6"/>
      <c r="BT534" s="6"/>
      <c r="CH534" s="6"/>
    </row>
    <row r="535" ht="13.5" customHeight="1">
      <c r="P535" s="6"/>
      <c r="AD535" s="6"/>
      <c r="AR535" s="6"/>
      <c r="BF535" s="6"/>
      <c r="BT535" s="6"/>
      <c r="CH535" s="6"/>
    </row>
    <row r="536" ht="13.5" customHeight="1">
      <c r="P536" s="6"/>
      <c r="AD536" s="6"/>
      <c r="AR536" s="6"/>
      <c r="BF536" s="6"/>
      <c r="BT536" s="6"/>
      <c r="CH536" s="6"/>
    </row>
    <row r="537" ht="13.5" customHeight="1">
      <c r="P537" s="6"/>
      <c r="AD537" s="6"/>
      <c r="AR537" s="6"/>
      <c r="BF537" s="6"/>
      <c r="BT537" s="6"/>
      <c r="CH537" s="6"/>
    </row>
    <row r="538" ht="13.5" customHeight="1">
      <c r="P538" s="6"/>
      <c r="AD538" s="6"/>
      <c r="AR538" s="6"/>
      <c r="BF538" s="6"/>
      <c r="BT538" s="6"/>
      <c r="CH538" s="6"/>
    </row>
    <row r="539" ht="13.5" customHeight="1">
      <c r="P539" s="6"/>
      <c r="AD539" s="6"/>
      <c r="AR539" s="6"/>
      <c r="BF539" s="6"/>
      <c r="BT539" s="6"/>
      <c r="CH539" s="6"/>
    </row>
    <row r="540" ht="13.5" customHeight="1">
      <c r="P540" s="6"/>
      <c r="AD540" s="6"/>
      <c r="AR540" s="6"/>
      <c r="BF540" s="6"/>
      <c r="BT540" s="6"/>
      <c r="CH540" s="6"/>
    </row>
    <row r="541" ht="13.5" customHeight="1">
      <c r="P541" s="6"/>
      <c r="AD541" s="6"/>
      <c r="AR541" s="6"/>
      <c r="BF541" s="6"/>
      <c r="BT541" s="6"/>
      <c r="CH541" s="6"/>
    </row>
    <row r="542" ht="13.5" customHeight="1">
      <c r="P542" s="6"/>
      <c r="AD542" s="6"/>
      <c r="AR542" s="6"/>
      <c r="BF542" s="6"/>
      <c r="BT542" s="6"/>
      <c r="CH542" s="6"/>
    </row>
    <row r="543" ht="13.5" customHeight="1">
      <c r="P543" s="6"/>
      <c r="AD543" s="6"/>
      <c r="AR543" s="6"/>
      <c r="BF543" s="6"/>
      <c r="BT543" s="6"/>
      <c r="CH543" s="6"/>
    </row>
    <row r="544" ht="13.5" customHeight="1">
      <c r="P544" s="6"/>
      <c r="AD544" s="6"/>
      <c r="AR544" s="6"/>
      <c r="BF544" s="6"/>
      <c r="BT544" s="6"/>
      <c r="CH544" s="6"/>
    </row>
    <row r="545" ht="13.5" customHeight="1">
      <c r="P545" s="6"/>
      <c r="AD545" s="6"/>
      <c r="AR545" s="6"/>
      <c r="BF545" s="6"/>
      <c r="BT545" s="6"/>
      <c r="CH545" s="6"/>
    </row>
    <row r="546" ht="13.5" customHeight="1">
      <c r="P546" s="6"/>
      <c r="AD546" s="6"/>
      <c r="AR546" s="6"/>
      <c r="BF546" s="6"/>
      <c r="BT546" s="6"/>
      <c r="CH546" s="6"/>
    </row>
    <row r="547" ht="13.5" customHeight="1">
      <c r="P547" s="6"/>
      <c r="AD547" s="6"/>
      <c r="AR547" s="6"/>
      <c r="BF547" s="6"/>
      <c r="BT547" s="6"/>
      <c r="CH547" s="6"/>
    </row>
    <row r="548" ht="13.5" customHeight="1">
      <c r="P548" s="6"/>
      <c r="AD548" s="6"/>
      <c r="AR548" s="6"/>
      <c r="BF548" s="6"/>
      <c r="BT548" s="6"/>
      <c r="CH548" s="6"/>
    </row>
    <row r="549" ht="13.5" customHeight="1">
      <c r="P549" s="6"/>
      <c r="AD549" s="6"/>
      <c r="AR549" s="6"/>
      <c r="BF549" s="6"/>
      <c r="BT549" s="6"/>
      <c r="CH549" s="6"/>
    </row>
    <row r="550" ht="13.5" customHeight="1">
      <c r="P550" s="6"/>
      <c r="AD550" s="6"/>
      <c r="AR550" s="6"/>
      <c r="BF550" s="6"/>
      <c r="BT550" s="6"/>
      <c r="CH550" s="6"/>
    </row>
    <row r="551" ht="13.5" customHeight="1">
      <c r="P551" s="6"/>
      <c r="AD551" s="6"/>
      <c r="AR551" s="6"/>
      <c r="BF551" s="6"/>
      <c r="BT551" s="6"/>
      <c r="CH551" s="6"/>
    </row>
    <row r="552" ht="13.5" customHeight="1">
      <c r="P552" s="6"/>
      <c r="AD552" s="6"/>
      <c r="AR552" s="6"/>
      <c r="BF552" s="6"/>
      <c r="BT552" s="6"/>
      <c r="CH552" s="6"/>
    </row>
    <row r="553" ht="13.5" customHeight="1">
      <c r="P553" s="6"/>
      <c r="AD553" s="6"/>
      <c r="AR553" s="6"/>
      <c r="BF553" s="6"/>
      <c r="BT553" s="6"/>
      <c r="CH553" s="6"/>
    </row>
    <row r="554" ht="13.5" customHeight="1">
      <c r="P554" s="6"/>
      <c r="AD554" s="6"/>
      <c r="AR554" s="6"/>
      <c r="BF554" s="6"/>
      <c r="BT554" s="6"/>
      <c r="CH554" s="6"/>
    </row>
    <row r="555" ht="13.5" customHeight="1">
      <c r="P555" s="6"/>
      <c r="AD555" s="6"/>
      <c r="AR555" s="6"/>
      <c r="BF555" s="6"/>
      <c r="BT555" s="6"/>
      <c r="CH555" s="6"/>
    </row>
    <row r="556" ht="13.5" customHeight="1">
      <c r="P556" s="6"/>
      <c r="AD556" s="6"/>
      <c r="AR556" s="6"/>
      <c r="BF556" s="6"/>
      <c r="BT556" s="6"/>
      <c r="CH556" s="6"/>
    </row>
    <row r="557" ht="13.5" customHeight="1">
      <c r="P557" s="6"/>
      <c r="AD557" s="6"/>
      <c r="AR557" s="6"/>
      <c r="BF557" s="6"/>
      <c r="BT557" s="6"/>
      <c r="CH557" s="6"/>
    </row>
    <row r="558" ht="13.5" customHeight="1">
      <c r="P558" s="6"/>
      <c r="AD558" s="6"/>
      <c r="AR558" s="6"/>
      <c r="BF558" s="6"/>
      <c r="BT558" s="6"/>
      <c r="CH558" s="6"/>
    </row>
    <row r="559" ht="13.5" customHeight="1">
      <c r="P559" s="6"/>
      <c r="AD559" s="6"/>
      <c r="AR559" s="6"/>
      <c r="BF559" s="6"/>
      <c r="BT559" s="6"/>
      <c r="CH559" s="6"/>
    </row>
    <row r="560" ht="13.5" customHeight="1">
      <c r="P560" s="6"/>
      <c r="AD560" s="6"/>
      <c r="AR560" s="6"/>
      <c r="BF560" s="6"/>
      <c r="BT560" s="6"/>
      <c r="CH560" s="6"/>
    </row>
    <row r="561" ht="13.5" customHeight="1">
      <c r="P561" s="6"/>
      <c r="AD561" s="6"/>
      <c r="AR561" s="6"/>
      <c r="BF561" s="6"/>
      <c r="BT561" s="6"/>
      <c r="CH561" s="6"/>
    </row>
    <row r="562" ht="13.5" customHeight="1">
      <c r="P562" s="6"/>
      <c r="AD562" s="6"/>
      <c r="AR562" s="6"/>
      <c r="BF562" s="6"/>
      <c r="BT562" s="6"/>
      <c r="CH562" s="6"/>
    </row>
    <row r="563" ht="13.5" customHeight="1">
      <c r="P563" s="6"/>
      <c r="AD563" s="6"/>
      <c r="AR563" s="6"/>
      <c r="BF563" s="6"/>
      <c r="BT563" s="6"/>
      <c r="CH563" s="6"/>
    </row>
    <row r="564" ht="13.5" customHeight="1">
      <c r="P564" s="6"/>
      <c r="AD564" s="6"/>
      <c r="AR564" s="6"/>
      <c r="BF564" s="6"/>
      <c r="BT564" s="6"/>
      <c r="CH564" s="6"/>
    </row>
    <row r="565" ht="13.5" customHeight="1">
      <c r="P565" s="6"/>
      <c r="AD565" s="6"/>
      <c r="AR565" s="6"/>
      <c r="BF565" s="6"/>
      <c r="BT565" s="6"/>
      <c r="CH565" s="6"/>
    </row>
    <row r="566" ht="13.5" customHeight="1">
      <c r="P566" s="6"/>
      <c r="AD566" s="6"/>
      <c r="AR566" s="6"/>
      <c r="BF566" s="6"/>
      <c r="BT566" s="6"/>
      <c r="CH566" s="6"/>
    </row>
    <row r="567" ht="13.5" customHeight="1">
      <c r="P567" s="6"/>
      <c r="AD567" s="6"/>
      <c r="AR567" s="6"/>
      <c r="BF567" s="6"/>
      <c r="BT567" s="6"/>
      <c r="CH567" s="6"/>
    </row>
    <row r="568" ht="13.5" customHeight="1">
      <c r="P568" s="6"/>
      <c r="AD568" s="6"/>
      <c r="AR568" s="6"/>
      <c r="BF568" s="6"/>
      <c r="BT568" s="6"/>
      <c r="CH568" s="6"/>
    </row>
    <row r="569" ht="13.5" customHeight="1">
      <c r="P569" s="6"/>
      <c r="AD569" s="6"/>
      <c r="AR569" s="6"/>
      <c r="BF569" s="6"/>
      <c r="BT569" s="6"/>
      <c r="CH569" s="6"/>
    </row>
    <row r="570" ht="13.5" customHeight="1">
      <c r="P570" s="6"/>
      <c r="AD570" s="6"/>
      <c r="AR570" s="6"/>
      <c r="BF570" s="6"/>
      <c r="BT570" s="6"/>
      <c r="CH570" s="6"/>
    </row>
    <row r="571" ht="13.5" customHeight="1">
      <c r="P571" s="6"/>
      <c r="AD571" s="6"/>
      <c r="AR571" s="6"/>
      <c r="BF571" s="6"/>
      <c r="BT571" s="6"/>
      <c r="CH571" s="6"/>
    </row>
    <row r="572" ht="13.5" customHeight="1">
      <c r="P572" s="6"/>
      <c r="AD572" s="6"/>
      <c r="AR572" s="6"/>
      <c r="BF572" s="6"/>
      <c r="BT572" s="6"/>
      <c r="CH572" s="6"/>
    </row>
    <row r="573" ht="13.5" customHeight="1">
      <c r="P573" s="6"/>
      <c r="AD573" s="6"/>
      <c r="AR573" s="6"/>
      <c r="BF573" s="6"/>
      <c r="BT573" s="6"/>
      <c r="CH573" s="6"/>
    </row>
    <row r="574" ht="13.5" customHeight="1">
      <c r="P574" s="6"/>
      <c r="AD574" s="6"/>
      <c r="AR574" s="6"/>
      <c r="BF574" s="6"/>
      <c r="BT574" s="6"/>
      <c r="CH574" s="6"/>
    </row>
    <row r="575" ht="13.5" customHeight="1">
      <c r="P575" s="6"/>
      <c r="AD575" s="6"/>
      <c r="AR575" s="6"/>
      <c r="BF575" s="6"/>
      <c r="BT575" s="6"/>
      <c r="CH575" s="6"/>
    </row>
    <row r="576" ht="13.5" customHeight="1">
      <c r="P576" s="6"/>
      <c r="AD576" s="6"/>
      <c r="AR576" s="6"/>
      <c r="BF576" s="6"/>
      <c r="BT576" s="6"/>
      <c r="CH576" s="6"/>
    </row>
    <row r="577" ht="13.5" customHeight="1">
      <c r="P577" s="6"/>
      <c r="AD577" s="6"/>
      <c r="AR577" s="6"/>
      <c r="BF577" s="6"/>
      <c r="BT577" s="6"/>
      <c r="CH577" s="6"/>
    </row>
    <row r="578" ht="13.5" customHeight="1">
      <c r="P578" s="6"/>
      <c r="AD578" s="6"/>
      <c r="AR578" s="6"/>
      <c r="BF578" s="6"/>
      <c r="BT578" s="6"/>
      <c r="CH578" s="6"/>
    </row>
    <row r="579" ht="13.5" customHeight="1">
      <c r="P579" s="6"/>
      <c r="AD579" s="6"/>
      <c r="AR579" s="6"/>
      <c r="BF579" s="6"/>
      <c r="BT579" s="6"/>
      <c r="CH579" s="6"/>
    </row>
    <row r="580" ht="13.5" customHeight="1">
      <c r="P580" s="6"/>
      <c r="AD580" s="6"/>
      <c r="AR580" s="6"/>
      <c r="BF580" s="6"/>
      <c r="BT580" s="6"/>
      <c r="CH580" s="6"/>
    </row>
    <row r="581" ht="13.5" customHeight="1">
      <c r="P581" s="6"/>
      <c r="AD581" s="6"/>
      <c r="AR581" s="6"/>
      <c r="BF581" s="6"/>
      <c r="BT581" s="6"/>
      <c r="CH581" s="6"/>
    </row>
    <row r="582" ht="13.5" customHeight="1">
      <c r="P582" s="6"/>
      <c r="AD582" s="6"/>
      <c r="AR582" s="6"/>
      <c r="BF582" s="6"/>
      <c r="BT582" s="6"/>
      <c r="CH582" s="6"/>
    </row>
    <row r="583" ht="13.5" customHeight="1">
      <c r="P583" s="6"/>
      <c r="AD583" s="6"/>
      <c r="AR583" s="6"/>
      <c r="BF583" s="6"/>
      <c r="BT583" s="6"/>
      <c r="CH583" s="6"/>
    </row>
    <row r="584" ht="13.5" customHeight="1">
      <c r="P584" s="6"/>
      <c r="AD584" s="6"/>
      <c r="AR584" s="6"/>
      <c r="BF584" s="6"/>
      <c r="BT584" s="6"/>
      <c r="CH584" s="6"/>
    </row>
    <row r="585" ht="13.5" customHeight="1">
      <c r="P585" s="6"/>
      <c r="AD585" s="6"/>
      <c r="AR585" s="6"/>
      <c r="BF585" s="6"/>
      <c r="BT585" s="6"/>
      <c r="CH585" s="6"/>
    </row>
    <row r="586" ht="13.5" customHeight="1">
      <c r="P586" s="6"/>
      <c r="AD586" s="6"/>
      <c r="AR586" s="6"/>
      <c r="BF586" s="6"/>
      <c r="BT586" s="6"/>
      <c r="CH586" s="6"/>
    </row>
    <row r="587" ht="13.5" customHeight="1">
      <c r="P587" s="6"/>
      <c r="AD587" s="6"/>
      <c r="AR587" s="6"/>
      <c r="BF587" s="6"/>
      <c r="BT587" s="6"/>
      <c r="CH587" s="6"/>
    </row>
    <row r="588" ht="13.5" customHeight="1">
      <c r="P588" s="6"/>
      <c r="AD588" s="6"/>
      <c r="AR588" s="6"/>
      <c r="BF588" s="6"/>
      <c r="BT588" s="6"/>
      <c r="CH588" s="6"/>
    </row>
    <row r="589" ht="13.5" customHeight="1">
      <c r="P589" s="6"/>
      <c r="AD589" s="6"/>
      <c r="AR589" s="6"/>
      <c r="BF589" s="6"/>
      <c r="BT589" s="6"/>
      <c r="CH589" s="6"/>
    </row>
    <row r="590" ht="13.5" customHeight="1">
      <c r="P590" s="6"/>
      <c r="AD590" s="6"/>
      <c r="AR590" s="6"/>
      <c r="BF590" s="6"/>
      <c r="BT590" s="6"/>
      <c r="CH590" s="6"/>
    </row>
    <row r="591" ht="13.5" customHeight="1">
      <c r="P591" s="6"/>
      <c r="AD591" s="6"/>
      <c r="AR591" s="6"/>
      <c r="BF591" s="6"/>
      <c r="BT591" s="6"/>
      <c r="CH591" s="6"/>
    </row>
    <row r="592" ht="13.5" customHeight="1">
      <c r="P592" s="6"/>
      <c r="AD592" s="6"/>
      <c r="AR592" s="6"/>
      <c r="BF592" s="6"/>
      <c r="BT592" s="6"/>
      <c r="CH592" s="6"/>
    </row>
    <row r="593" ht="13.5" customHeight="1">
      <c r="P593" s="6"/>
      <c r="AD593" s="6"/>
      <c r="AR593" s="6"/>
      <c r="BF593" s="6"/>
      <c r="BT593" s="6"/>
      <c r="CH593" s="6"/>
    </row>
    <row r="594" ht="13.5" customHeight="1">
      <c r="P594" s="6"/>
      <c r="AD594" s="6"/>
      <c r="AR594" s="6"/>
      <c r="BF594" s="6"/>
      <c r="BT594" s="6"/>
      <c r="CH594" s="6"/>
    </row>
    <row r="595" ht="13.5" customHeight="1">
      <c r="P595" s="6"/>
      <c r="AD595" s="6"/>
      <c r="AR595" s="6"/>
      <c r="BF595" s="6"/>
      <c r="BT595" s="6"/>
      <c r="CH595" s="6"/>
    </row>
    <row r="596" ht="13.5" customHeight="1">
      <c r="P596" s="6"/>
      <c r="AD596" s="6"/>
      <c r="AR596" s="6"/>
      <c r="BF596" s="6"/>
      <c r="BT596" s="6"/>
      <c r="CH596" s="6"/>
    </row>
    <row r="597" ht="13.5" customHeight="1">
      <c r="P597" s="6"/>
      <c r="AD597" s="6"/>
      <c r="AR597" s="6"/>
      <c r="BF597" s="6"/>
      <c r="BT597" s="6"/>
      <c r="CH597" s="6"/>
    </row>
    <row r="598" ht="13.5" customHeight="1">
      <c r="P598" s="6"/>
      <c r="AD598" s="6"/>
      <c r="AR598" s="6"/>
      <c r="BF598" s="6"/>
      <c r="BT598" s="6"/>
      <c r="CH598" s="6"/>
    </row>
    <row r="599" ht="13.5" customHeight="1">
      <c r="P599" s="6"/>
      <c r="AD599" s="6"/>
      <c r="AR599" s="6"/>
      <c r="BF599" s="6"/>
      <c r="BT599" s="6"/>
      <c r="CH599" s="6"/>
    </row>
    <row r="600" ht="13.5" customHeight="1">
      <c r="P600" s="6"/>
      <c r="AD600" s="6"/>
      <c r="AR600" s="6"/>
      <c r="BF600" s="6"/>
      <c r="BT600" s="6"/>
      <c r="CH600" s="6"/>
    </row>
    <row r="601" ht="13.5" customHeight="1">
      <c r="P601" s="6"/>
      <c r="AD601" s="6"/>
      <c r="AR601" s="6"/>
      <c r="BF601" s="6"/>
      <c r="BT601" s="6"/>
      <c r="CH601" s="6"/>
    </row>
    <row r="602" ht="13.5" customHeight="1">
      <c r="P602" s="6"/>
      <c r="AD602" s="6"/>
      <c r="AR602" s="6"/>
      <c r="BF602" s="6"/>
      <c r="BT602" s="6"/>
      <c r="CH602" s="6"/>
    </row>
    <row r="603" ht="13.5" customHeight="1">
      <c r="P603" s="6"/>
      <c r="AD603" s="6"/>
      <c r="AR603" s="6"/>
      <c r="BF603" s="6"/>
      <c r="BT603" s="6"/>
      <c r="CH603" s="6"/>
    </row>
    <row r="604" ht="13.5" customHeight="1">
      <c r="P604" s="6"/>
      <c r="AD604" s="6"/>
      <c r="AR604" s="6"/>
      <c r="BF604" s="6"/>
      <c r="BT604" s="6"/>
      <c r="CH604" s="6"/>
    </row>
    <row r="605" ht="13.5" customHeight="1">
      <c r="P605" s="6"/>
      <c r="AD605" s="6"/>
      <c r="AR605" s="6"/>
      <c r="BF605" s="6"/>
      <c r="BT605" s="6"/>
      <c r="CH605" s="6"/>
    </row>
    <row r="606" ht="13.5" customHeight="1">
      <c r="P606" s="6"/>
      <c r="AD606" s="6"/>
      <c r="AR606" s="6"/>
      <c r="BF606" s="6"/>
      <c r="BT606" s="6"/>
      <c r="CH606" s="6"/>
    </row>
    <row r="607" ht="13.5" customHeight="1">
      <c r="P607" s="6"/>
      <c r="AD607" s="6"/>
      <c r="AR607" s="6"/>
      <c r="BF607" s="6"/>
      <c r="BT607" s="6"/>
      <c r="CH607" s="6"/>
    </row>
    <row r="608" ht="13.5" customHeight="1">
      <c r="P608" s="6"/>
      <c r="AD608" s="6"/>
      <c r="AR608" s="6"/>
      <c r="BF608" s="6"/>
      <c r="BT608" s="6"/>
      <c r="CH608" s="6"/>
    </row>
    <row r="609" ht="13.5" customHeight="1">
      <c r="P609" s="6"/>
      <c r="AD609" s="6"/>
      <c r="AR609" s="6"/>
      <c r="BF609" s="6"/>
      <c r="BT609" s="6"/>
      <c r="CH609" s="6"/>
    </row>
    <row r="610" ht="13.5" customHeight="1">
      <c r="P610" s="6"/>
      <c r="AD610" s="6"/>
      <c r="AR610" s="6"/>
      <c r="BF610" s="6"/>
      <c r="BT610" s="6"/>
      <c r="CH610" s="6"/>
    </row>
    <row r="611" ht="13.5" customHeight="1">
      <c r="P611" s="6"/>
      <c r="AD611" s="6"/>
      <c r="AR611" s="6"/>
      <c r="BF611" s="6"/>
      <c r="BT611" s="6"/>
      <c r="CH611" s="6"/>
    </row>
    <row r="612" ht="13.5" customHeight="1">
      <c r="P612" s="6"/>
      <c r="AD612" s="6"/>
      <c r="AR612" s="6"/>
      <c r="BF612" s="6"/>
      <c r="BT612" s="6"/>
      <c r="CH612" s="6"/>
    </row>
    <row r="613" ht="13.5" customHeight="1">
      <c r="P613" s="6"/>
      <c r="AD613" s="6"/>
      <c r="AR613" s="6"/>
      <c r="BF613" s="6"/>
      <c r="BT613" s="6"/>
      <c r="CH613" s="6"/>
    </row>
    <row r="614" ht="13.5" customHeight="1">
      <c r="P614" s="6"/>
      <c r="AD614" s="6"/>
      <c r="AR614" s="6"/>
      <c r="BF614" s="6"/>
      <c r="BT614" s="6"/>
      <c r="CH614" s="6"/>
    </row>
    <row r="615" ht="13.5" customHeight="1">
      <c r="P615" s="6"/>
      <c r="AD615" s="6"/>
      <c r="AR615" s="6"/>
      <c r="BF615" s="6"/>
      <c r="BT615" s="6"/>
      <c r="CH615" s="6"/>
    </row>
    <row r="616" ht="13.5" customHeight="1">
      <c r="P616" s="6"/>
      <c r="AD616" s="6"/>
      <c r="AR616" s="6"/>
      <c r="BF616" s="6"/>
      <c r="BT616" s="6"/>
      <c r="CH616" s="6"/>
    </row>
    <row r="617" ht="13.5" customHeight="1">
      <c r="P617" s="6"/>
      <c r="AD617" s="6"/>
      <c r="AR617" s="6"/>
      <c r="BF617" s="6"/>
      <c r="BT617" s="6"/>
      <c r="CH617" s="6"/>
    </row>
    <row r="618" ht="13.5" customHeight="1">
      <c r="P618" s="6"/>
      <c r="AD618" s="6"/>
      <c r="AR618" s="6"/>
      <c r="BF618" s="6"/>
      <c r="BT618" s="6"/>
      <c r="CH618" s="6"/>
    </row>
    <row r="619" ht="13.5" customHeight="1">
      <c r="P619" s="6"/>
      <c r="AD619" s="6"/>
      <c r="AR619" s="6"/>
      <c r="BF619" s="6"/>
      <c r="BT619" s="6"/>
      <c r="CH619" s="6"/>
    </row>
    <row r="620" ht="13.5" customHeight="1">
      <c r="P620" s="6"/>
      <c r="AD620" s="6"/>
      <c r="AR620" s="6"/>
      <c r="BF620" s="6"/>
      <c r="BT620" s="6"/>
      <c r="CH620" s="6"/>
    </row>
    <row r="621" ht="13.5" customHeight="1">
      <c r="P621" s="6"/>
      <c r="AD621" s="6"/>
      <c r="AR621" s="6"/>
      <c r="BF621" s="6"/>
      <c r="BT621" s="6"/>
      <c r="CH621" s="6"/>
    </row>
    <row r="622" ht="13.5" customHeight="1">
      <c r="P622" s="6"/>
      <c r="AD622" s="6"/>
      <c r="AR622" s="6"/>
      <c r="BF622" s="6"/>
      <c r="BT622" s="6"/>
      <c r="CH622" s="6"/>
    </row>
    <row r="623" ht="13.5" customHeight="1">
      <c r="P623" s="6"/>
      <c r="AD623" s="6"/>
      <c r="AR623" s="6"/>
      <c r="BF623" s="6"/>
      <c r="BT623" s="6"/>
      <c r="CH623" s="6"/>
    </row>
    <row r="624" ht="13.5" customHeight="1">
      <c r="P624" s="6"/>
      <c r="AD624" s="6"/>
      <c r="AR624" s="6"/>
      <c r="BF624" s="6"/>
      <c r="BT624" s="6"/>
      <c r="CH624" s="6"/>
    </row>
    <row r="625" ht="13.5" customHeight="1">
      <c r="P625" s="6"/>
      <c r="AD625" s="6"/>
      <c r="AR625" s="6"/>
      <c r="BF625" s="6"/>
      <c r="BT625" s="6"/>
      <c r="CH625" s="6"/>
    </row>
    <row r="626" ht="13.5" customHeight="1">
      <c r="P626" s="6"/>
      <c r="AD626" s="6"/>
      <c r="AR626" s="6"/>
      <c r="BF626" s="6"/>
      <c r="BT626" s="6"/>
      <c r="CH626" s="6"/>
    </row>
    <row r="627" ht="13.5" customHeight="1">
      <c r="P627" s="6"/>
      <c r="AD627" s="6"/>
      <c r="AR627" s="6"/>
      <c r="BF627" s="6"/>
      <c r="BT627" s="6"/>
      <c r="CH627" s="6"/>
    </row>
    <row r="628" ht="13.5" customHeight="1">
      <c r="P628" s="6"/>
      <c r="AD628" s="6"/>
      <c r="AR628" s="6"/>
      <c r="BF628" s="6"/>
      <c r="BT628" s="6"/>
      <c r="CH628" s="6"/>
    </row>
    <row r="629" ht="13.5" customHeight="1">
      <c r="P629" s="6"/>
      <c r="AD629" s="6"/>
      <c r="AR629" s="6"/>
      <c r="BF629" s="6"/>
      <c r="BT629" s="6"/>
      <c r="CH629" s="6"/>
    </row>
    <row r="630" ht="13.5" customHeight="1">
      <c r="P630" s="6"/>
      <c r="AD630" s="6"/>
      <c r="AR630" s="6"/>
      <c r="BF630" s="6"/>
      <c r="BT630" s="6"/>
      <c r="CH630" s="6"/>
    </row>
    <row r="631" ht="13.5" customHeight="1">
      <c r="P631" s="6"/>
      <c r="AD631" s="6"/>
      <c r="AR631" s="6"/>
      <c r="BF631" s="6"/>
      <c r="BT631" s="6"/>
      <c r="CH631" s="6"/>
    </row>
    <row r="632" ht="13.5" customHeight="1">
      <c r="P632" s="6"/>
      <c r="AD632" s="6"/>
      <c r="AR632" s="6"/>
      <c r="BF632" s="6"/>
      <c r="BT632" s="6"/>
      <c r="CH632" s="6"/>
    </row>
    <row r="633" ht="13.5" customHeight="1">
      <c r="P633" s="6"/>
      <c r="AD633" s="6"/>
      <c r="AR633" s="6"/>
      <c r="BF633" s="6"/>
      <c r="BT633" s="6"/>
      <c r="CH633" s="6"/>
    </row>
    <row r="634" ht="13.5" customHeight="1">
      <c r="P634" s="6"/>
      <c r="AD634" s="6"/>
      <c r="AR634" s="6"/>
      <c r="BF634" s="6"/>
      <c r="BT634" s="6"/>
      <c r="CH634" s="6"/>
    </row>
    <row r="635" ht="13.5" customHeight="1">
      <c r="P635" s="6"/>
      <c r="AD635" s="6"/>
      <c r="AR635" s="6"/>
      <c r="BF635" s="6"/>
      <c r="BT635" s="6"/>
      <c r="CH635" s="6"/>
    </row>
    <row r="636" ht="13.5" customHeight="1">
      <c r="P636" s="6"/>
      <c r="AD636" s="6"/>
      <c r="AR636" s="6"/>
      <c r="BF636" s="6"/>
      <c r="BT636" s="6"/>
      <c r="CH636" s="6"/>
    </row>
    <row r="637" ht="13.5" customHeight="1">
      <c r="P637" s="6"/>
      <c r="AD637" s="6"/>
      <c r="AR637" s="6"/>
      <c r="BF637" s="6"/>
      <c r="BT637" s="6"/>
      <c r="CH637" s="6"/>
    </row>
    <row r="638" ht="13.5" customHeight="1">
      <c r="P638" s="6"/>
      <c r="AD638" s="6"/>
      <c r="AR638" s="6"/>
      <c r="BF638" s="6"/>
      <c r="BT638" s="6"/>
      <c r="CH638" s="6"/>
    </row>
    <row r="639" ht="13.5" customHeight="1">
      <c r="P639" s="6"/>
      <c r="AD639" s="6"/>
      <c r="AR639" s="6"/>
      <c r="BF639" s="6"/>
      <c r="BT639" s="6"/>
      <c r="CH639" s="6"/>
    </row>
    <row r="640" ht="13.5" customHeight="1">
      <c r="P640" s="6"/>
      <c r="AD640" s="6"/>
      <c r="AR640" s="6"/>
      <c r="BF640" s="6"/>
      <c r="BT640" s="6"/>
      <c r="CH640" s="6"/>
    </row>
    <row r="641" ht="13.5" customHeight="1">
      <c r="P641" s="6"/>
      <c r="AD641" s="6"/>
      <c r="AR641" s="6"/>
      <c r="BF641" s="6"/>
      <c r="BT641" s="6"/>
      <c r="CH641" s="6"/>
    </row>
    <row r="642" ht="13.5" customHeight="1">
      <c r="P642" s="6"/>
      <c r="AD642" s="6"/>
      <c r="AR642" s="6"/>
      <c r="BF642" s="6"/>
      <c r="BT642" s="6"/>
      <c r="CH642" s="6"/>
    </row>
    <row r="643" ht="13.5" customHeight="1">
      <c r="P643" s="6"/>
      <c r="AD643" s="6"/>
      <c r="AR643" s="6"/>
      <c r="BF643" s="6"/>
      <c r="BT643" s="6"/>
      <c r="CH643" s="6"/>
    </row>
    <row r="644" ht="13.5" customHeight="1">
      <c r="P644" s="6"/>
      <c r="AD644" s="6"/>
      <c r="AR644" s="6"/>
      <c r="BF644" s="6"/>
      <c r="BT644" s="6"/>
      <c r="CH644" s="6"/>
    </row>
    <row r="645" ht="13.5" customHeight="1">
      <c r="P645" s="6"/>
      <c r="AD645" s="6"/>
      <c r="AR645" s="6"/>
      <c r="BF645" s="6"/>
      <c r="BT645" s="6"/>
      <c r="CH645" s="6"/>
    </row>
    <row r="646" ht="13.5" customHeight="1">
      <c r="P646" s="6"/>
      <c r="AD646" s="6"/>
      <c r="AR646" s="6"/>
      <c r="BF646" s="6"/>
      <c r="BT646" s="6"/>
      <c r="CH646" s="6"/>
    </row>
    <row r="647" ht="13.5" customHeight="1">
      <c r="P647" s="6"/>
      <c r="AD647" s="6"/>
      <c r="AR647" s="6"/>
      <c r="BF647" s="6"/>
      <c r="BT647" s="6"/>
      <c r="CH647" s="6"/>
    </row>
    <row r="648" ht="13.5" customHeight="1">
      <c r="P648" s="6"/>
      <c r="AD648" s="6"/>
      <c r="AR648" s="6"/>
      <c r="BF648" s="6"/>
      <c r="BT648" s="6"/>
      <c r="CH648" s="6"/>
    </row>
    <row r="649" ht="13.5" customHeight="1">
      <c r="P649" s="6"/>
      <c r="AD649" s="6"/>
      <c r="AR649" s="6"/>
      <c r="BF649" s="6"/>
      <c r="BT649" s="6"/>
      <c r="CH649" s="6"/>
    </row>
    <row r="650" ht="13.5" customHeight="1">
      <c r="P650" s="6"/>
      <c r="AD650" s="6"/>
      <c r="AR650" s="6"/>
      <c r="BF650" s="6"/>
      <c r="BT650" s="6"/>
      <c r="CH650" s="6"/>
    </row>
    <row r="651" ht="13.5" customHeight="1">
      <c r="P651" s="6"/>
      <c r="AD651" s="6"/>
      <c r="AR651" s="6"/>
      <c r="BF651" s="6"/>
      <c r="BT651" s="6"/>
      <c r="CH651" s="6"/>
    </row>
    <row r="652" ht="13.5" customHeight="1">
      <c r="P652" s="6"/>
      <c r="AD652" s="6"/>
      <c r="AR652" s="6"/>
      <c r="BF652" s="6"/>
      <c r="BT652" s="6"/>
      <c r="CH652" s="6"/>
    </row>
    <row r="653" ht="13.5" customHeight="1">
      <c r="P653" s="6"/>
      <c r="AD653" s="6"/>
      <c r="AR653" s="6"/>
      <c r="BF653" s="6"/>
      <c r="BT653" s="6"/>
      <c r="CH653" s="6"/>
    </row>
    <row r="654" ht="13.5" customHeight="1">
      <c r="P654" s="6"/>
      <c r="AD654" s="6"/>
      <c r="AR654" s="6"/>
      <c r="BF654" s="6"/>
      <c r="BT654" s="6"/>
      <c r="CH654" s="6"/>
    </row>
    <row r="655" ht="13.5" customHeight="1">
      <c r="P655" s="6"/>
      <c r="AD655" s="6"/>
      <c r="AR655" s="6"/>
      <c r="BF655" s="6"/>
      <c r="BT655" s="6"/>
      <c r="CH655" s="6"/>
    </row>
    <row r="656" ht="13.5" customHeight="1">
      <c r="P656" s="6"/>
      <c r="AD656" s="6"/>
      <c r="AR656" s="6"/>
      <c r="BF656" s="6"/>
      <c r="BT656" s="6"/>
      <c r="CH656" s="6"/>
    </row>
    <row r="657" ht="13.5" customHeight="1">
      <c r="P657" s="6"/>
      <c r="AD657" s="6"/>
      <c r="AR657" s="6"/>
      <c r="BF657" s="6"/>
      <c r="BT657" s="6"/>
      <c r="CH657" s="6"/>
    </row>
    <row r="658" ht="13.5" customHeight="1">
      <c r="P658" s="6"/>
      <c r="AD658" s="6"/>
      <c r="AR658" s="6"/>
      <c r="BF658" s="6"/>
      <c r="BT658" s="6"/>
      <c r="CH658" s="6"/>
    </row>
    <row r="659" ht="13.5" customHeight="1">
      <c r="P659" s="6"/>
      <c r="AD659" s="6"/>
      <c r="AR659" s="6"/>
      <c r="BF659" s="6"/>
      <c r="BT659" s="6"/>
      <c r="CH659" s="6"/>
    </row>
    <row r="660" ht="13.5" customHeight="1">
      <c r="P660" s="6"/>
      <c r="AD660" s="6"/>
      <c r="AR660" s="6"/>
      <c r="BF660" s="6"/>
      <c r="BT660" s="6"/>
      <c r="CH660" s="6"/>
    </row>
    <row r="661" ht="13.5" customHeight="1">
      <c r="P661" s="6"/>
      <c r="AD661" s="6"/>
      <c r="AR661" s="6"/>
      <c r="BF661" s="6"/>
      <c r="BT661" s="6"/>
      <c r="CH661" s="6"/>
    </row>
    <row r="662" ht="13.5" customHeight="1">
      <c r="P662" s="6"/>
      <c r="AD662" s="6"/>
      <c r="AR662" s="6"/>
      <c r="BF662" s="6"/>
      <c r="BT662" s="6"/>
      <c r="CH662" s="6"/>
    </row>
    <row r="663" ht="13.5" customHeight="1">
      <c r="P663" s="6"/>
      <c r="AD663" s="6"/>
      <c r="AR663" s="6"/>
      <c r="BF663" s="6"/>
      <c r="BT663" s="6"/>
      <c r="CH663" s="6"/>
    </row>
    <row r="664" ht="13.5" customHeight="1">
      <c r="P664" s="6"/>
      <c r="AD664" s="6"/>
      <c r="AR664" s="6"/>
      <c r="BF664" s="6"/>
      <c r="BT664" s="6"/>
      <c r="CH664" s="6"/>
    </row>
    <row r="665" ht="13.5" customHeight="1">
      <c r="P665" s="6"/>
      <c r="AD665" s="6"/>
      <c r="AR665" s="6"/>
      <c r="BF665" s="6"/>
      <c r="BT665" s="6"/>
      <c r="CH665" s="6"/>
    </row>
    <row r="666" ht="13.5" customHeight="1">
      <c r="P666" s="6"/>
      <c r="AD666" s="6"/>
      <c r="AR666" s="6"/>
      <c r="BF666" s="6"/>
      <c r="BT666" s="6"/>
      <c r="CH666" s="6"/>
    </row>
    <row r="667" ht="13.5" customHeight="1">
      <c r="P667" s="6"/>
      <c r="AD667" s="6"/>
      <c r="AR667" s="6"/>
      <c r="BF667" s="6"/>
      <c r="BT667" s="6"/>
      <c r="CH667" s="6"/>
    </row>
    <row r="668" ht="13.5" customHeight="1">
      <c r="P668" s="6"/>
      <c r="AD668" s="6"/>
      <c r="AR668" s="6"/>
      <c r="BF668" s="6"/>
      <c r="BT668" s="6"/>
      <c r="CH668" s="6"/>
    </row>
    <row r="669" ht="13.5" customHeight="1">
      <c r="P669" s="6"/>
      <c r="AD669" s="6"/>
      <c r="AR669" s="6"/>
      <c r="BF669" s="6"/>
      <c r="BT669" s="6"/>
      <c r="CH669" s="6"/>
    </row>
    <row r="670" ht="13.5" customHeight="1">
      <c r="P670" s="6"/>
      <c r="AD670" s="6"/>
      <c r="AR670" s="6"/>
      <c r="BF670" s="6"/>
      <c r="BT670" s="6"/>
      <c r="CH670" s="6"/>
    </row>
    <row r="671" ht="13.5" customHeight="1">
      <c r="P671" s="6"/>
      <c r="AD671" s="6"/>
      <c r="AR671" s="6"/>
      <c r="BF671" s="6"/>
      <c r="BT671" s="6"/>
      <c r="CH671" s="6"/>
    </row>
    <row r="672" ht="13.5" customHeight="1">
      <c r="P672" s="6"/>
      <c r="AD672" s="6"/>
      <c r="AR672" s="6"/>
      <c r="BF672" s="6"/>
      <c r="BT672" s="6"/>
      <c r="CH672" s="6"/>
    </row>
    <row r="673" ht="13.5" customHeight="1">
      <c r="P673" s="6"/>
      <c r="AD673" s="6"/>
      <c r="AR673" s="6"/>
      <c r="BF673" s="6"/>
      <c r="BT673" s="6"/>
      <c r="CH673" s="6"/>
    </row>
    <row r="674" ht="13.5" customHeight="1">
      <c r="P674" s="6"/>
      <c r="AD674" s="6"/>
      <c r="AR674" s="6"/>
      <c r="BF674" s="6"/>
      <c r="BT674" s="6"/>
      <c r="CH674" s="6"/>
    </row>
    <row r="675" ht="13.5" customHeight="1">
      <c r="P675" s="6"/>
      <c r="AD675" s="6"/>
      <c r="AR675" s="6"/>
      <c r="BF675" s="6"/>
      <c r="BT675" s="6"/>
      <c r="CH675" s="6"/>
    </row>
    <row r="676" ht="13.5" customHeight="1">
      <c r="P676" s="6"/>
      <c r="AD676" s="6"/>
      <c r="AR676" s="6"/>
      <c r="BF676" s="6"/>
      <c r="BT676" s="6"/>
      <c r="CH676" s="6"/>
    </row>
    <row r="677" ht="13.5" customHeight="1">
      <c r="P677" s="6"/>
      <c r="AD677" s="6"/>
      <c r="AR677" s="6"/>
      <c r="BF677" s="6"/>
      <c r="BT677" s="6"/>
      <c r="CH677" s="6"/>
    </row>
    <row r="678" ht="13.5" customHeight="1">
      <c r="P678" s="6"/>
      <c r="AD678" s="6"/>
      <c r="AR678" s="6"/>
      <c r="BF678" s="6"/>
      <c r="BT678" s="6"/>
      <c r="CH678" s="6"/>
    </row>
    <row r="679" ht="13.5" customHeight="1">
      <c r="P679" s="6"/>
      <c r="AD679" s="6"/>
      <c r="AR679" s="6"/>
      <c r="BF679" s="6"/>
      <c r="BT679" s="6"/>
      <c r="CH679" s="6"/>
    </row>
    <row r="680" ht="13.5" customHeight="1">
      <c r="P680" s="6"/>
      <c r="AD680" s="6"/>
      <c r="AR680" s="6"/>
      <c r="BF680" s="6"/>
      <c r="BT680" s="6"/>
      <c r="CH680" s="6"/>
    </row>
    <row r="681" ht="13.5" customHeight="1">
      <c r="P681" s="6"/>
      <c r="AD681" s="6"/>
      <c r="AR681" s="6"/>
      <c r="BF681" s="6"/>
      <c r="BT681" s="6"/>
      <c r="CH681" s="6"/>
    </row>
    <row r="682" ht="13.5" customHeight="1">
      <c r="P682" s="6"/>
      <c r="AD682" s="6"/>
      <c r="AR682" s="6"/>
      <c r="BF682" s="6"/>
      <c r="BT682" s="6"/>
      <c r="CH682" s="6"/>
    </row>
    <row r="683" ht="13.5" customHeight="1">
      <c r="P683" s="6"/>
      <c r="AD683" s="6"/>
      <c r="AR683" s="6"/>
      <c r="BF683" s="6"/>
      <c r="BT683" s="6"/>
      <c r="CH683" s="6"/>
    </row>
    <row r="684" ht="13.5" customHeight="1">
      <c r="P684" s="6"/>
      <c r="AD684" s="6"/>
      <c r="AR684" s="6"/>
      <c r="BF684" s="6"/>
      <c r="BT684" s="6"/>
      <c r="CH684" s="6"/>
    </row>
    <row r="685" ht="13.5" customHeight="1">
      <c r="P685" s="6"/>
      <c r="AD685" s="6"/>
      <c r="AR685" s="6"/>
      <c r="BF685" s="6"/>
      <c r="BT685" s="6"/>
      <c r="CH685" s="6"/>
    </row>
    <row r="686" ht="13.5" customHeight="1">
      <c r="P686" s="6"/>
      <c r="AD686" s="6"/>
      <c r="AR686" s="6"/>
      <c r="BF686" s="6"/>
      <c r="BT686" s="6"/>
      <c r="CH686" s="6"/>
    </row>
    <row r="687" ht="13.5" customHeight="1">
      <c r="P687" s="6"/>
      <c r="AD687" s="6"/>
      <c r="AR687" s="6"/>
      <c r="BF687" s="6"/>
      <c r="BT687" s="6"/>
      <c r="CH687" s="6"/>
    </row>
    <row r="688" ht="13.5" customHeight="1">
      <c r="P688" s="6"/>
      <c r="AD688" s="6"/>
      <c r="AR688" s="6"/>
      <c r="BF688" s="6"/>
      <c r="BT688" s="6"/>
      <c r="CH688" s="6"/>
    </row>
    <row r="689" ht="13.5" customHeight="1">
      <c r="P689" s="6"/>
      <c r="AD689" s="6"/>
      <c r="AR689" s="6"/>
      <c r="BF689" s="6"/>
      <c r="BT689" s="6"/>
      <c r="CH689" s="6"/>
    </row>
    <row r="690" ht="13.5" customHeight="1">
      <c r="P690" s="6"/>
      <c r="AD690" s="6"/>
      <c r="AR690" s="6"/>
      <c r="BF690" s="6"/>
      <c r="BT690" s="6"/>
      <c r="CH690" s="6"/>
    </row>
    <row r="691" ht="13.5" customHeight="1">
      <c r="P691" s="6"/>
      <c r="AD691" s="6"/>
      <c r="AR691" s="6"/>
      <c r="BF691" s="6"/>
      <c r="BT691" s="6"/>
      <c r="CH691" s="6"/>
    </row>
    <row r="692" ht="13.5" customHeight="1">
      <c r="P692" s="6"/>
      <c r="AD692" s="6"/>
      <c r="AR692" s="6"/>
      <c r="BF692" s="6"/>
      <c r="BT692" s="6"/>
      <c r="CH692" s="6"/>
    </row>
    <row r="693" ht="13.5" customHeight="1">
      <c r="P693" s="6"/>
      <c r="AD693" s="6"/>
      <c r="AR693" s="6"/>
      <c r="BF693" s="6"/>
      <c r="BT693" s="6"/>
      <c r="CH693" s="6"/>
    </row>
    <row r="694" ht="13.5" customHeight="1">
      <c r="P694" s="6"/>
      <c r="AD694" s="6"/>
      <c r="AR694" s="6"/>
      <c r="BF694" s="6"/>
      <c r="BT694" s="6"/>
      <c r="CH694" s="6"/>
    </row>
    <row r="695" ht="13.5" customHeight="1">
      <c r="P695" s="6"/>
      <c r="AD695" s="6"/>
      <c r="AR695" s="6"/>
      <c r="BF695" s="6"/>
      <c r="BT695" s="6"/>
      <c r="CH695" s="6"/>
    </row>
    <row r="696" ht="13.5" customHeight="1">
      <c r="P696" s="6"/>
      <c r="AD696" s="6"/>
      <c r="AR696" s="6"/>
      <c r="BF696" s="6"/>
      <c r="BT696" s="6"/>
      <c r="CH696" s="6"/>
    </row>
    <row r="697" ht="13.5" customHeight="1">
      <c r="P697" s="6"/>
      <c r="AD697" s="6"/>
      <c r="AR697" s="6"/>
      <c r="BF697" s="6"/>
      <c r="BT697" s="6"/>
      <c r="CH697" s="6"/>
    </row>
    <row r="698" ht="13.5" customHeight="1">
      <c r="P698" s="6"/>
      <c r="AD698" s="6"/>
      <c r="AR698" s="6"/>
      <c r="BF698" s="6"/>
      <c r="BT698" s="6"/>
      <c r="CH698" s="6"/>
    </row>
    <row r="699" ht="13.5" customHeight="1">
      <c r="P699" s="6"/>
      <c r="AD699" s="6"/>
      <c r="AR699" s="6"/>
      <c r="BF699" s="6"/>
      <c r="BT699" s="6"/>
      <c r="CH699" s="6"/>
    </row>
    <row r="700" ht="13.5" customHeight="1">
      <c r="P700" s="6"/>
      <c r="AD700" s="6"/>
      <c r="AR700" s="6"/>
      <c r="BF700" s="6"/>
      <c r="BT700" s="6"/>
      <c r="CH700" s="6"/>
    </row>
    <row r="701" ht="13.5" customHeight="1">
      <c r="P701" s="6"/>
      <c r="AD701" s="6"/>
      <c r="AR701" s="6"/>
      <c r="BF701" s="6"/>
      <c r="BT701" s="6"/>
      <c r="CH701" s="6"/>
    </row>
    <row r="702" ht="13.5" customHeight="1">
      <c r="P702" s="6"/>
      <c r="AD702" s="6"/>
      <c r="AR702" s="6"/>
      <c r="BF702" s="6"/>
      <c r="BT702" s="6"/>
      <c r="CH702" s="6"/>
    </row>
    <row r="703" ht="13.5" customHeight="1">
      <c r="P703" s="6"/>
      <c r="AD703" s="6"/>
      <c r="AR703" s="6"/>
      <c r="BF703" s="6"/>
      <c r="BT703" s="6"/>
      <c r="CH703" s="6"/>
    </row>
    <row r="704" ht="13.5" customHeight="1">
      <c r="P704" s="6"/>
      <c r="AD704" s="6"/>
      <c r="AR704" s="6"/>
      <c r="BF704" s="6"/>
      <c r="BT704" s="6"/>
      <c r="CH704" s="6"/>
    </row>
    <row r="705" ht="13.5" customHeight="1">
      <c r="P705" s="6"/>
      <c r="AD705" s="6"/>
      <c r="AR705" s="6"/>
      <c r="BF705" s="6"/>
      <c r="BT705" s="6"/>
      <c r="CH705" s="6"/>
    </row>
    <row r="706" ht="13.5" customHeight="1">
      <c r="P706" s="6"/>
      <c r="AD706" s="6"/>
      <c r="AR706" s="6"/>
      <c r="BF706" s="6"/>
      <c r="BT706" s="6"/>
      <c r="CH706" s="6"/>
    </row>
    <row r="707" ht="13.5" customHeight="1">
      <c r="P707" s="6"/>
      <c r="AD707" s="6"/>
      <c r="AR707" s="6"/>
      <c r="BF707" s="6"/>
      <c r="BT707" s="6"/>
      <c r="CH707" s="6"/>
    </row>
    <row r="708" ht="13.5" customHeight="1">
      <c r="P708" s="6"/>
      <c r="AD708" s="6"/>
      <c r="AR708" s="6"/>
      <c r="BF708" s="6"/>
      <c r="BT708" s="6"/>
      <c r="CH708" s="6"/>
    </row>
    <row r="709" ht="13.5" customHeight="1">
      <c r="P709" s="6"/>
      <c r="AD709" s="6"/>
      <c r="AR709" s="6"/>
      <c r="BF709" s="6"/>
      <c r="BT709" s="6"/>
      <c r="CH709" s="6"/>
    </row>
    <row r="710" ht="13.5" customHeight="1">
      <c r="P710" s="6"/>
      <c r="AD710" s="6"/>
      <c r="AR710" s="6"/>
      <c r="BF710" s="6"/>
      <c r="BT710" s="6"/>
      <c r="CH710" s="6"/>
    </row>
    <row r="711" ht="13.5" customHeight="1">
      <c r="P711" s="6"/>
      <c r="AD711" s="6"/>
      <c r="AR711" s="6"/>
      <c r="BF711" s="6"/>
      <c r="BT711" s="6"/>
      <c r="CH711" s="6"/>
    </row>
    <row r="712" ht="13.5" customHeight="1">
      <c r="P712" s="6"/>
      <c r="AD712" s="6"/>
      <c r="AR712" s="6"/>
      <c r="BF712" s="6"/>
      <c r="BT712" s="6"/>
      <c r="CH712" s="6"/>
    </row>
    <row r="713" ht="13.5" customHeight="1">
      <c r="P713" s="6"/>
      <c r="AD713" s="6"/>
      <c r="AR713" s="6"/>
      <c r="BF713" s="6"/>
      <c r="BT713" s="6"/>
      <c r="CH713" s="6"/>
    </row>
    <row r="714" ht="13.5" customHeight="1">
      <c r="P714" s="6"/>
      <c r="AD714" s="6"/>
      <c r="AR714" s="6"/>
      <c r="BF714" s="6"/>
      <c r="BT714" s="6"/>
      <c r="CH714" s="6"/>
    </row>
    <row r="715" ht="13.5" customHeight="1">
      <c r="P715" s="6"/>
      <c r="AD715" s="6"/>
      <c r="AR715" s="6"/>
      <c r="BF715" s="6"/>
      <c r="BT715" s="6"/>
      <c r="CH715" s="6"/>
    </row>
    <row r="716" ht="13.5" customHeight="1">
      <c r="P716" s="6"/>
      <c r="AD716" s="6"/>
      <c r="AR716" s="6"/>
      <c r="BF716" s="6"/>
      <c r="BT716" s="6"/>
      <c r="CH716" s="6"/>
    </row>
    <row r="717" ht="13.5" customHeight="1">
      <c r="P717" s="6"/>
      <c r="AD717" s="6"/>
      <c r="AR717" s="6"/>
      <c r="BF717" s="6"/>
      <c r="BT717" s="6"/>
      <c r="CH717" s="6"/>
    </row>
    <row r="718" ht="13.5" customHeight="1">
      <c r="P718" s="6"/>
      <c r="AD718" s="6"/>
      <c r="AR718" s="6"/>
      <c r="BF718" s="6"/>
      <c r="BT718" s="6"/>
      <c r="CH718" s="6"/>
    </row>
    <row r="719" ht="13.5" customHeight="1">
      <c r="P719" s="6"/>
      <c r="AD719" s="6"/>
      <c r="AR719" s="6"/>
      <c r="BF719" s="6"/>
      <c r="BT719" s="6"/>
      <c r="CH719" s="6"/>
    </row>
    <row r="720" ht="13.5" customHeight="1">
      <c r="P720" s="6"/>
      <c r="AD720" s="6"/>
      <c r="AR720" s="6"/>
      <c r="BF720" s="6"/>
      <c r="BT720" s="6"/>
      <c r="CH720" s="6"/>
    </row>
    <row r="721" ht="13.5" customHeight="1">
      <c r="P721" s="6"/>
      <c r="AD721" s="6"/>
      <c r="AR721" s="6"/>
      <c r="BF721" s="6"/>
      <c r="BT721" s="6"/>
      <c r="CH721" s="6"/>
    </row>
    <row r="722" ht="13.5" customHeight="1">
      <c r="P722" s="6"/>
      <c r="AD722" s="6"/>
      <c r="AR722" s="6"/>
      <c r="BF722" s="6"/>
      <c r="BT722" s="6"/>
      <c r="CH722" s="6"/>
    </row>
    <row r="723" ht="13.5" customHeight="1">
      <c r="P723" s="6"/>
      <c r="AD723" s="6"/>
      <c r="AR723" s="6"/>
      <c r="BF723" s="6"/>
      <c r="BT723" s="6"/>
      <c r="CH723" s="6"/>
    </row>
    <row r="724" ht="13.5" customHeight="1">
      <c r="P724" s="6"/>
      <c r="AD724" s="6"/>
      <c r="AR724" s="6"/>
      <c r="BF724" s="6"/>
      <c r="BT724" s="6"/>
      <c r="CH724" s="6"/>
    </row>
    <row r="725" ht="13.5" customHeight="1">
      <c r="P725" s="6"/>
      <c r="AD725" s="6"/>
      <c r="AR725" s="6"/>
      <c r="BF725" s="6"/>
      <c r="BT725" s="6"/>
      <c r="CH725" s="6"/>
    </row>
    <row r="726" ht="13.5" customHeight="1">
      <c r="P726" s="6"/>
      <c r="AD726" s="6"/>
      <c r="AR726" s="6"/>
      <c r="BF726" s="6"/>
      <c r="BT726" s="6"/>
      <c r="CH726" s="6"/>
    </row>
    <row r="727" ht="13.5" customHeight="1">
      <c r="P727" s="6"/>
      <c r="AD727" s="6"/>
      <c r="AR727" s="6"/>
      <c r="BF727" s="6"/>
      <c r="BT727" s="6"/>
      <c r="CH727" s="6"/>
    </row>
    <row r="728" ht="13.5" customHeight="1">
      <c r="P728" s="6"/>
      <c r="AD728" s="6"/>
      <c r="AR728" s="6"/>
      <c r="BF728" s="6"/>
      <c r="BT728" s="6"/>
      <c r="CH728" s="6"/>
    </row>
    <row r="729" ht="13.5" customHeight="1">
      <c r="P729" s="6"/>
      <c r="AD729" s="6"/>
      <c r="AR729" s="6"/>
      <c r="BF729" s="6"/>
      <c r="BT729" s="6"/>
      <c r="CH729" s="6"/>
    </row>
    <row r="730" ht="13.5" customHeight="1">
      <c r="P730" s="6"/>
      <c r="AD730" s="6"/>
      <c r="AR730" s="6"/>
      <c r="BF730" s="6"/>
      <c r="BT730" s="6"/>
      <c r="CH730" s="6"/>
    </row>
    <row r="731" ht="13.5" customHeight="1">
      <c r="P731" s="6"/>
      <c r="AD731" s="6"/>
      <c r="AR731" s="6"/>
      <c r="BF731" s="6"/>
      <c r="BT731" s="6"/>
      <c r="CH731" s="6"/>
    </row>
    <row r="732" ht="13.5" customHeight="1">
      <c r="P732" s="6"/>
      <c r="AD732" s="6"/>
      <c r="AR732" s="6"/>
      <c r="BF732" s="6"/>
      <c r="BT732" s="6"/>
      <c r="CH732" s="6"/>
    </row>
    <row r="733" ht="13.5" customHeight="1">
      <c r="P733" s="6"/>
      <c r="AD733" s="6"/>
      <c r="AR733" s="6"/>
      <c r="BF733" s="6"/>
      <c r="BT733" s="6"/>
      <c r="CH733" s="6"/>
    </row>
    <row r="734" ht="13.5" customHeight="1">
      <c r="P734" s="6"/>
      <c r="AD734" s="6"/>
      <c r="AR734" s="6"/>
      <c r="BF734" s="6"/>
      <c r="BT734" s="6"/>
      <c r="CH734" s="6"/>
    </row>
    <row r="735" ht="13.5" customHeight="1">
      <c r="P735" s="6"/>
      <c r="AD735" s="6"/>
      <c r="AR735" s="6"/>
      <c r="BF735" s="6"/>
      <c r="BT735" s="6"/>
      <c r="CH735" s="6"/>
    </row>
    <row r="736" ht="13.5" customHeight="1">
      <c r="P736" s="6"/>
      <c r="AD736" s="6"/>
      <c r="AR736" s="6"/>
      <c r="BF736" s="6"/>
      <c r="BT736" s="6"/>
      <c r="CH736" s="6"/>
    </row>
    <row r="737" ht="13.5" customHeight="1">
      <c r="P737" s="6"/>
      <c r="AD737" s="6"/>
      <c r="AR737" s="6"/>
      <c r="BF737" s="6"/>
      <c r="BT737" s="6"/>
      <c r="CH737" s="6"/>
    </row>
    <row r="738" ht="13.5" customHeight="1">
      <c r="P738" s="6"/>
      <c r="AD738" s="6"/>
      <c r="AR738" s="6"/>
      <c r="BF738" s="6"/>
      <c r="BT738" s="6"/>
      <c r="CH738" s="6"/>
    </row>
    <row r="739" ht="13.5" customHeight="1">
      <c r="P739" s="6"/>
      <c r="AD739" s="6"/>
      <c r="AR739" s="6"/>
      <c r="BF739" s="6"/>
      <c r="BT739" s="6"/>
      <c r="CH739" s="6"/>
    </row>
    <row r="740" ht="13.5" customHeight="1">
      <c r="P740" s="6"/>
      <c r="AD740" s="6"/>
      <c r="AR740" s="6"/>
      <c r="BF740" s="6"/>
      <c r="BT740" s="6"/>
      <c r="CH740" s="6"/>
    </row>
    <row r="741" ht="13.5" customHeight="1">
      <c r="P741" s="6"/>
      <c r="AD741" s="6"/>
      <c r="AR741" s="6"/>
      <c r="BF741" s="6"/>
      <c r="BT741" s="6"/>
      <c r="CH741" s="6"/>
    </row>
    <row r="742" ht="13.5" customHeight="1">
      <c r="P742" s="6"/>
      <c r="AD742" s="6"/>
      <c r="AR742" s="6"/>
      <c r="BF742" s="6"/>
      <c r="BT742" s="6"/>
      <c r="CH742" s="6"/>
    </row>
    <row r="743" ht="13.5" customHeight="1">
      <c r="P743" s="6"/>
      <c r="AD743" s="6"/>
      <c r="AR743" s="6"/>
      <c r="BF743" s="6"/>
      <c r="BT743" s="6"/>
      <c r="CH743" s="6"/>
    </row>
    <row r="744" ht="13.5" customHeight="1">
      <c r="P744" s="6"/>
      <c r="AD744" s="6"/>
      <c r="AR744" s="6"/>
      <c r="BF744" s="6"/>
      <c r="BT744" s="6"/>
      <c r="CH744" s="6"/>
    </row>
    <row r="745" ht="13.5" customHeight="1">
      <c r="P745" s="6"/>
      <c r="AD745" s="6"/>
      <c r="AR745" s="6"/>
      <c r="BF745" s="6"/>
      <c r="BT745" s="6"/>
      <c r="CH745" s="6"/>
    </row>
    <row r="746" ht="13.5" customHeight="1">
      <c r="P746" s="6"/>
      <c r="AD746" s="6"/>
      <c r="AR746" s="6"/>
      <c r="BF746" s="6"/>
      <c r="BT746" s="6"/>
      <c r="CH746" s="6"/>
    </row>
    <row r="747" ht="13.5" customHeight="1">
      <c r="P747" s="6"/>
      <c r="AD747" s="6"/>
      <c r="AR747" s="6"/>
      <c r="BF747" s="6"/>
      <c r="BT747" s="6"/>
      <c r="CH747" s="6"/>
    </row>
    <row r="748" ht="13.5" customHeight="1">
      <c r="P748" s="6"/>
      <c r="AD748" s="6"/>
      <c r="AR748" s="6"/>
      <c r="BF748" s="6"/>
      <c r="BT748" s="6"/>
      <c r="CH748" s="6"/>
    </row>
    <row r="749" ht="13.5" customHeight="1">
      <c r="P749" s="6"/>
      <c r="AD749" s="6"/>
      <c r="AR749" s="6"/>
      <c r="BF749" s="6"/>
      <c r="BT749" s="6"/>
      <c r="CH749" s="6"/>
    </row>
    <row r="750" ht="13.5" customHeight="1">
      <c r="P750" s="6"/>
      <c r="AD750" s="6"/>
      <c r="AR750" s="6"/>
      <c r="BF750" s="6"/>
      <c r="BT750" s="6"/>
      <c r="CH750" s="6"/>
    </row>
    <row r="751" ht="13.5" customHeight="1">
      <c r="P751" s="6"/>
      <c r="AD751" s="6"/>
      <c r="AR751" s="6"/>
      <c r="BF751" s="6"/>
      <c r="BT751" s="6"/>
      <c r="CH751" s="6"/>
    </row>
    <row r="752" ht="13.5" customHeight="1">
      <c r="P752" s="6"/>
      <c r="AD752" s="6"/>
      <c r="AR752" s="6"/>
      <c r="BF752" s="6"/>
      <c r="BT752" s="6"/>
      <c r="CH752" s="6"/>
    </row>
    <row r="753" ht="13.5" customHeight="1">
      <c r="P753" s="6"/>
      <c r="AD753" s="6"/>
      <c r="AR753" s="6"/>
      <c r="BF753" s="6"/>
      <c r="BT753" s="6"/>
      <c r="CH753" s="6"/>
    </row>
    <row r="754" ht="13.5" customHeight="1">
      <c r="P754" s="6"/>
      <c r="AD754" s="6"/>
      <c r="AR754" s="6"/>
      <c r="BF754" s="6"/>
      <c r="BT754" s="6"/>
      <c r="CH754" s="6"/>
    </row>
    <row r="755" ht="13.5" customHeight="1">
      <c r="P755" s="6"/>
      <c r="AD755" s="6"/>
      <c r="AR755" s="6"/>
      <c r="BF755" s="6"/>
      <c r="BT755" s="6"/>
      <c r="CH755" s="6"/>
    </row>
    <row r="756" ht="13.5" customHeight="1">
      <c r="P756" s="6"/>
      <c r="AD756" s="6"/>
      <c r="AR756" s="6"/>
      <c r="BF756" s="6"/>
      <c r="BT756" s="6"/>
      <c r="CH756" s="6"/>
    </row>
    <row r="757" ht="13.5" customHeight="1">
      <c r="P757" s="6"/>
      <c r="AD757" s="6"/>
      <c r="AR757" s="6"/>
      <c r="BF757" s="6"/>
      <c r="BT757" s="6"/>
      <c r="CH757" s="6"/>
    </row>
    <row r="758" ht="13.5" customHeight="1">
      <c r="P758" s="6"/>
      <c r="AD758" s="6"/>
      <c r="AR758" s="6"/>
      <c r="BF758" s="6"/>
      <c r="BT758" s="6"/>
      <c r="CH758" s="6"/>
    </row>
    <row r="759" ht="13.5" customHeight="1">
      <c r="P759" s="6"/>
      <c r="AD759" s="6"/>
      <c r="AR759" s="6"/>
      <c r="BF759" s="6"/>
      <c r="BT759" s="6"/>
      <c r="CH759" s="6"/>
    </row>
    <row r="760" ht="13.5" customHeight="1">
      <c r="P760" s="6"/>
      <c r="AD760" s="6"/>
      <c r="AR760" s="6"/>
      <c r="BF760" s="6"/>
      <c r="BT760" s="6"/>
      <c r="CH760" s="6"/>
    </row>
    <row r="761" ht="13.5" customHeight="1">
      <c r="P761" s="6"/>
      <c r="AD761" s="6"/>
      <c r="AR761" s="6"/>
      <c r="BF761" s="6"/>
      <c r="BT761" s="6"/>
      <c r="CH761" s="6"/>
    </row>
    <row r="762" ht="13.5" customHeight="1">
      <c r="P762" s="6"/>
      <c r="AD762" s="6"/>
      <c r="AR762" s="6"/>
      <c r="BF762" s="6"/>
      <c r="BT762" s="6"/>
      <c r="CH762" s="6"/>
    </row>
    <row r="763" ht="13.5" customHeight="1">
      <c r="P763" s="6"/>
      <c r="AD763" s="6"/>
      <c r="AR763" s="6"/>
      <c r="BF763" s="6"/>
      <c r="BT763" s="6"/>
      <c r="CH763" s="6"/>
    </row>
    <row r="764" ht="13.5" customHeight="1">
      <c r="P764" s="6"/>
      <c r="AD764" s="6"/>
      <c r="AR764" s="6"/>
      <c r="BF764" s="6"/>
      <c r="BT764" s="6"/>
      <c r="CH764" s="6"/>
    </row>
    <row r="765" ht="13.5" customHeight="1">
      <c r="P765" s="6"/>
      <c r="AD765" s="6"/>
      <c r="AR765" s="6"/>
      <c r="BF765" s="6"/>
      <c r="BT765" s="6"/>
      <c r="CH765" s="6"/>
    </row>
    <row r="766" ht="13.5" customHeight="1">
      <c r="P766" s="6"/>
      <c r="AD766" s="6"/>
      <c r="AR766" s="6"/>
      <c r="BF766" s="6"/>
      <c r="BT766" s="6"/>
      <c r="CH766" s="6"/>
    </row>
    <row r="767" ht="13.5" customHeight="1">
      <c r="P767" s="6"/>
      <c r="AD767" s="6"/>
      <c r="AR767" s="6"/>
      <c r="BF767" s="6"/>
      <c r="BT767" s="6"/>
      <c r="CH767" s="6"/>
    </row>
    <row r="768" ht="13.5" customHeight="1">
      <c r="P768" s="6"/>
      <c r="AD768" s="6"/>
      <c r="AR768" s="6"/>
      <c r="BF768" s="6"/>
      <c r="BT768" s="6"/>
      <c r="CH768" s="6"/>
    </row>
    <row r="769" ht="13.5" customHeight="1">
      <c r="P769" s="6"/>
      <c r="AD769" s="6"/>
      <c r="AR769" s="6"/>
      <c r="BF769" s="6"/>
      <c r="BT769" s="6"/>
      <c r="CH769" s="6"/>
    </row>
    <row r="770" ht="13.5" customHeight="1">
      <c r="P770" s="6"/>
      <c r="AD770" s="6"/>
      <c r="AR770" s="6"/>
      <c r="BF770" s="6"/>
      <c r="BT770" s="6"/>
      <c r="CH770" s="6"/>
    </row>
    <row r="771" ht="13.5" customHeight="1">
      <c r="P771" s="6"/>
      <c r="AD771" s="6"/>
      <c r="AR771" s="6"/>
      <c r="BF771" s="6"/>
      <c r="BT771" s="6"/>
      <c r="CH771" s="6"/>
    </row>
    <row r="772" ht="13.5" customHeight="1">
      <c r="P772" s="6"/>
      <c r="AD772" s="6"/>
      <c r="AR772" s="6"/>
      <c r="BF772" s="6"/>
      <c r="BT772" s="6"/>
      <c r="CH772" s="6"/>
    </row>
    <row r="773" ht="13.5" customHeight="1">
      <c r="P773" s="6"/>
      <c r="AD773" s="6"/>
      <c r="AR773" s="6"/>
      <c r="BF773" s="6"/>
      <c r="BT773" s="6"/>
      <c r="CH773" s="6"/>
    </row>
    <row r="774" ht="13.5" customHeight="1">
      <c r="P774" s="6"/>
      <c r="AD774" s="6"/>
      <c r="AR774" s="6"/>
      <c r="BF774" s="6"/>
      <c r="BT774" s="6"/>
      <c r="CH774" s="6"/>
    </row>
    <row r="775" ht="13.5" customHeight="1">
      <c r="P775" s="6"/>
      <c r="AD775" s="6"/>
      <c r="AR775" s="6"/>
      <c r="BF775" s="6"/>
      <c r="BT775" s="6"/>
      <c r="CH775" s="6"/>
    </row>
    <row r="776" ht="13.5" customHeight="1">
      <c r="P776" s="6"/>
      <c r="AD776" s="6"/>
      <c r="AR776" s="6"/>
      <c r="BF776" s="6"/>
      <c r="BT776" s="6"/>
      <c r="CH776" s="6"/>
    </row>
    <row r="777" ht="13.5" customHeight="1">
      <c r="P777" s="6"/>
      <c r="AD777" s="6"/>
      <c r="AR777" s="6"/>
      <c r="BF777" s="6"/>
      <c r="BT777" s="6"/>
      <c r="CH777" s="6"/>
    </row>
    <row r="778" ht="13.5" customHeight="1">
      <c r="P778" s="6"/>
      <c r="AD778" s="6"/>
      <c r="AR778" s="6"/>
      <c r="BF778" s="6"/>
      <c r="BT778" s="6"/>
      <c r="CH778" s="6"/>
    </row>
    <row r="779" ht="13.5" customHeight="1">
      <c r="P779" s="6"/>
      <c r="AD779" s="6"/>
      <c r="AR779" s="6"/>
      <c r="BF779" s="6"/>
      <c r="BT779" s="6"/>
      <c r="CH779" s="6"/>
    </row>
    <row r="780" ht="13.5" customHeight="1">
      <c r="P780" s="6"/>
      <c r="AD780" s="6"/>
      <c r="AR780" s="6"/>
      <c r="BF780" s="6"/>
      <c r="BT780" s="6"/>
      <c r="CH780" s="6"/>
    </row>
    <row r="781" ht="13.5" customHeight="1">
      <c r="P781" s="6"/>
      <c r="AD781" s="6"/>
      <c r="AR781" s="6"/>
      <c r="BF781" s="6"/>
      <c r="BT781" s="6"/>
      <c r="CH781" s="6"/>
    </row>
    <row r="782" ht="13.5" customHeight="1">
      <c r="P782" s="6"/>
      <c r="AD782" s="6"/>
      <c r="AR782" s="6"/>
      <c r="BF782" s="6"/>
      <c r="BT782" s="6"/>
      <c r="CH782" s="6"/>
    </row>
    <row r="783" ht="13.5" customHeight="1">
      <c r="P783" s="6"/>
      <c r="AD783" s="6"/>
      <c r="AR783" s="6"/>
      <c r="BF783" s="6"/>
      <c r="BT783" s="6"/>
      <c r="CH783" s="6"/>
    </row>
    <row r="784" ht="13.5" customHeight="1">
      <c r="P784" s="6"/>
      <c r="AD784" s="6"/>
      <c r="AR784" s="6"/>
      <c r="BF784" s="6"/>
      <c r="BT784" s="6"/>
      <c r="CH784" s="6"/>
    </row>
    <row r="785" ht="13.5" customHeight="1">
      <c r="P785" s="6"/>
      <c r="AD785" s="6"/>
      <c r="AR785" s="6"/>
      <c r="BF785" s="6"/>
      <c r="BT785" s="6"/>
      <c r="CH785" s="6"/>
    </row>
    <row r="786" ht="13.5" customHeight="1">
      <c r="P786" s="6"/>
      <c r="AD786" s="6"/>
      <c r="AR786" s="6"/>
      <c r="BF786" s="6"/>
      <c r="BT786" s="6"/>
      <c r="CH786" s="6"/>
    </row>
    <row r="787" ht="13.5" customHeight="1">
      <c r="P787" s="6"/>
      <c r="AD787" s="6"/>
      <c r="AR787" s="6"/>
      <c r="BF787" s="6"/>
      <c r="BT787" s="6"/>
      <c r="CH787" s="6"/>
    </row>
    <row r="788" ht="13.5" customHeight="1">
      <c r="P788" s="6"/>
      <c r="AD788" s="6"/>
      <c r="AR788" s="6"/>
      <c r="BF788" s="6"/>
      <c r="BT788" s="6"/>
      <c r="CH788" s="6"/>
    </row>
    <row r="789" ht="13.5" customHeight="1">
      <c r="P789" s="6"/>
      <c r="AD789" s="6"/>
      <c r="AR789" s="6"/>
      <c r="BF789" s="6"/>
      <c r="BT789" s="6"/>
      <c r="CH789" s="6"/>
    </row>
    <row r="790" ht="13.5" customHeight="1">
      <c r="P790" s="6"/>
      <c r="AD790" s="6"/>
      <c r="AR790" s="6"/>
      <c r="BF790" s="6"/>
      <c r="BT790" s="6"/>
      <c r="CH790" s="6"/>
    </row>
    <row r="791" ht="13.5" customHeight="1">
      <c r="P791" s="6"/>
      <c r="AD791" s="6"/>
      <c r="AR791" s="6"/>
      <c r="BF791" s="6"/>
      <c r="BT791" s="6"/>
      <c r="CH791" s="6"/>
    </row>
    <row r="792" ht="13.5" customHeight="1">
      <c r="P792" s="6"/>
      <c r="AD792" s="6"/>
      <c r="AR792" s="6"/>
      <c r="BF792" s="6"/>
      <c r="BT792" s="6"/>
      <c r="CH792" s="6"/>
    </row>
    <row r="793" ht="13.5" customHeight="1">
      <c r="P793" s="6"/>
      <c r="AD793" s="6"/>
      <c r="AR793" s="6"/>
      <c r="BF793" s="6"/>
      <c r="BT793" s="6"/>
      <c r="CH793" s="6"/>
    </row>
    <row r="794" ht="13.5" customHeight="1">
      <c r="P794" s="6"/>
      <c r="AD794" s="6"/>
      <c r="AR794" s="6"/>
      <c r="BF794" s="6"/>
      <c r="BT794" s="6"/>
      <c r="CH794" s="6"/>
    </row>
    <row r="795" ht="13.5" customHeight="1">
      <c r="P795" s="6"/>
      <c r="AD795" s="6"/>
      <c r="AR795" s="6"/>
      <c r="BF795" s="6"/>
      <c r="BT795" s="6"/>
      <c r="CH795" s="6"/>
    </row>
    <row r="796" ht="13.5" customHeight="1">
      <c r="P796" s="6"/>
      <c r="AD796" s="6"/>
      <c r="AR796" s="6"/>
      <c r="BF796" s="6"/>
      <c r="BT796" s="6"/>
      <c r="CH796" s="6"/>
    </row>
    <row r="797" ht="13.5" customHeight="1">
      <c r="P797" s="6"/>
      <c r="AD797" s="6"/>
      <c r="AR797" s="6"/>
      <c r="BF797" s="6"/>
      <c r="BT797" s="6"/>
      <c r="CH797" s="6"/>
    </row>
    <row r="798" ht="13.5" customHeight="1">
      <c r="P798" s="6"/>
      <c r="AD798" s="6"/>
      <c r="AR798" s="6"/>
      <c r="BF798" s="6"/>
      <c r="BT798" s="6"/>
      <c r="CH798" s="6"/>
    </row>
    <row r="799" ht="13.5" customHeight="1">
      <c r="P799" s="6"/>
      <c r="AD799" s="6"/>
      <c r="AR799" s="6"/>
      <c r="BF799" s="6"/>
      <c r="BT799" s="6"/>
      <c r="CH799" s="6"/>
    </row>
    <row r="800" ht="13.5" customHeight="1">
      <c r="P800" s="6"/>
      <c r="AD800" s="6"/>
      <c r="AR800" s="6"/>
      <c r="BF800" s="6"/>
      <c r="BT800" s="6"/>
      <c r="CH800" s="6"/>
    </row>
    <row r="801" ht="13.5" customHeight="1">
      <c r="P801" s="6"/>
      <c r="AD801" s="6"/>
      <c r="AR801" s="6"/>
      <c r="BF801" s="6"/>
      <c r="BT801" s="6"/>
      <c r="CH801" s="6"/>
    </row>
    <row r="802" ht="13.5" customHeight="1">
      <c r="P802" s="6"/>
      <c r="AD802" s="6"/>
      <c r="AR802" s="6"/>
      <c r="BF802" s="6"/>
      <c r="BT802" s="6"/>
      <c r="CH802" s="6"/>
    </row>
    <row r="803" ht="13.5" customHeight="1">
      <c r="P803" s="6"/>
      <c r="AD803" s="6"/>
      <c r="AR803" s="6"/>
      <c r="BF803" s="6"/>
      <c r="BT803" s="6"/>
      <c r="CH803" s="6"/>
    </row>
    <row r="804" ht="13.5" customHeight="1">
      <c r="P804" s="6"/>
      <c r="AD804" s="6"/>
      <c r="AR804" s="6"/>
      <c r="BF804" s="6"/>
      <c r="BT804" s="6"/>
      <c r="CH804" s="6"/>
    </row>
    <row r="805" ht="13.5" customHeight="1">
      <c r="P805" s="6"/>
      <c r="AD805" s="6"/>
      <c r="AR805" s="6"/>
      <c r="BF805" s="6"/>
      <c r="BT805" s="6"/>
      <c r="CH805" s="6"/>
    </row>
    <row r="806" ht="13.5" customHeight="1">
      <c r="P806" s="6"/>
      <c r="AD806" s="6"/>
      <c r="AR806" s="6"/>
      <c r="BF806" s="6"/>
      <c r="BT806" s="6"/>
      <c r="CH806" s="6"/>
    </row>
    <row r="807" ht="13.5" customHeight="1">
      <c r="P807" s="6"/>
      <c r="AD807" s="6"/>
      <c r="AR807" s="6"/>
      <c r="BF807" s="6"/>
      <c r="BT807" s="6"/>
      <c r="CH807" s="6"/>
    </row>
    <row r="808" ht="13.5" customHeight="1">
      <c r="P808" s="6"/>
      <c r="AD808" s="6"/>
      <c r="AR808" s="6"/>
      <c r="BF808" s="6"/>
      <c r="BT808" s="6"/>
      <c r="CH808" s="6"/>
    </row>
    <row r="809" ht="13.5" customHeight="1">
      <c r="P809" s="6"/>
      <c r="AD809" s="6"/>
      <c r="AR809" s="6"/>
      <c r="BF809" s="6"/>
      <c r="BT809" s="6"/>
      <c r="CH809" s="6"/>
    </row>
    <row r="810" ht="13.5" customHeight="1">
      <c r="P810" s="6"/>
      <c r="AD810" s="6"/>
      <c r="AR810" s="6"/>
      <c r="BF810" s="6"/>
      <c r="BT810" s="6"/>
      <c r="CH810" s="6"/>
    </row>
    <row r="811" ht="13.5" customHeight="1">
      <c r="P811" s="6"/>
      <c r="AD811" s="6"/>
      <c r="AR811" s="6"/>
      <c r="BF811" s="6"/>
      <c r="BT811" s="6"/>
      <c r="CH811" s="6"/>
    </row>
    <row r="812" ht="13.5" customHeight="1">
      <c r="P812" s="6"/>
      <c r="AD812" s="6"/>
      <c r="AR812" s="6"/>
      <c r="BF812" s="6"/>
      <c r="BT812" s="6"/>
      <c r="CH812" s="6"/>
    </row>
    <row r="813" ht="13.5" customHeight="1">
      <c r="P813" s="6"/>
      <c r="AD813" s="6"/>
      <c r="AR813" s="6"/>
      <c r="BF813" s="6"/>
      <c r="BT813" s="6"/>
      <c r="CH813" s="6"/>
    </row>
    <row r="814" ht="13.5" customHeight="1">
      <c r="P814" s="6"/>
      <c r="AD814" s="6"/>
      <c r="AR814" s="6"/>
      <c r="BF814" s="6"/>
      <c r="BT814" s="6"/>
      <c r="CH814" s="6"/>
    </row>
    <row r="815" ht="13.5" customHeight="1">
      <c r="P815" s="6"/>
      <c r="AD815" s="6"/>
      <c r="AR815" s="6"/>
      <c r="BF815" s="6"/>
      <c r="BT815" s="6"/>
      <c r="CH815" s="6"/>
    </row>
    <row r="816" ht="13.5" customHeight="1">
      <c r="P816" s="6"/>
      <c r="AD816" s="6"/>
      <c r="AR816" s="6"/>
      <c r="BF816" s="6"/>
      <c r="BT816" s="6"/>
      <c r="CH816" s="6"/>
    </row>
    <row r="817" ht="13.5" customHeight="1">
      <c r="P817" s="6"/>
      <c r="AD817" s="6"/>
      <c r="AR817" s="6"/>
      <c r="BF817" s="6"/>
      <c r="BT817" s="6"/>
      <c r="CH817" s="6"/>
    </row>
    <row r="818" ht="13.5" customHeight="1">
      <c r="P818" s="6"/>
      <c r="AD818" s="6"/>
      <c r="AR818" s="6"/>
      <c r="BF818" s="6"/>
      <c r="BT818" s="6"/>
      <c r="CH818" s="6"/>
    </row>
    <row r="819" ht="13.5" customHeight="1">
      <c r="P819" s="6"/>
      <c r="AD819" s="6"/>
      <c r="AR819" s="6"/>
      <c r="BF819" s="6"/>
      <c r="BT819" s="6"/>
      <c r="CH819" s="6"/>
    </row>
    <row r="820" ht="13.5" customHeight="1">
      <c r="P820" s="6"/>
      <c r="AD820" s="6"/>
      <c r="AR820" s="6"/>
      <c r="BF820" s="6"/>
      <c r="BT820" s="6"/>
      <c r="CH820" s="6"/>
    </row>
    <row r="821" ht="13.5" customHeight="1">
      <c r="P821" s="6"/>
      <c r="AD821" s="6"/>
      <c r="AR821" s="6"/>
      <c r="BF821" s="6"/>
      <c r="BT821" s="6"/>
      <c r="CH821" s="6"/>
    </row>
    <row r="822" ht="13.5" customHeight="1">
      <c r="P822" s="6"/>
      <c r="AD822" s="6"/>
      <c r="AR822" s="6"/>
      <c r="BF822" s="6"/>
      <c r="BT822" s="6"/>
      <c r="CH822" s="6"/>
    </row>
    <row r="823" ht="13.5" customHeight="1">
      <c r="P823" s="6"/>
      <c r="AD823" s="6"/>
      <c r="AR823" s="6"/>
      <c r="BF823" s="6"/>
      <c r="BT823" s="6"/>
      <c r="CH823" s="6"/>
    </row>
    <row r="824" ht="13.5" customHeight="1">
      <c r="P824" s="6"/>
      <c r="AD824" s="6"/>
      <c r="AR824" s="6"/>
      <c r="BF824" s="6"/>
      <c r="BT824" s="6"/>
      <c r="CH824" s="6"/>
    </row>
    <row r="825" ht="13.5" customHeight="1">
      <c r="P825" s="6"/>
      <c r="AD825" s="6"/>
      <c r="AR825" s="6"/>
      <c r="BF825" s="6"/>
      <c r="BT825" s="6"/>
      <c r="CH825" s="6"/>
    </row>
    <row r="826" ht="13.5" customHeight="1">
      <c r="P826" s="6"/>
      <c r="AD826" s="6"/>
      <c r="AR826" s="6"/>
      <c r="BF826" s="6"/>
      <c r="BT826" s="6"/>
      <c r="CH826" s="6"/>
    </row>
    <row r="827" ht="13.5" customHeight="1">
      <c r="P827" s="6"/>
      <c r="AD827" s="6"/>
      <c r="AR827" s="6"/>
      <c r="BF827" s="6"/>
      <c r="BT827" s="6"/>
      <c r="CH827" s="6"/>
    </row>
    <row r="828" ht="13.5" customHeight="1">
      <c r="P828" s="6"/>
      <c r="AD828" s="6"/>
      <c r="AR828" s="6"/>
      <c r="BF828" s="6"/>
      <c r="BT828" s="6"/>
      <c r="CH828" s="6"/>
    </row>
    <row r="829" ht="13.5" customHeight="1">
      <c r="P829" s="6"/>
      <c r="AD829" s="6"/>
      <c r="AR829" s="6"/>
      <c r="BF829" s="6"/>
      <c r="BT829" s="6"/>
      <c r="CH829" s="6"/>
    </row>
    <row r="830" ht="13.5" customHeight="1">
      <c r="P830" s="6"/>
      <c r="AD830" s="6"/>
      <c r="AR830" s="6"/>
      <c r="BF830" s="6"/>
      <c r="BT830" s="6"/>
      <c r="CH830" s="6"/>
    </row>
    <row r="831" ht="13.5" customHeight="1">
      <c r="P831" s="6"/>
      <c r="AD831" s="6"/>
      <c r="AR831" s="6"/>
      <c r="BF831" s="6"/>
      <c r="BT831" s="6"/>
      <c r="CH831" s="6"/>
    </row>
    <row r="832" ht="13.5" customHeight="1">
      <c r="P832" s="6"/>
      <c r="AD832" s="6"/>
      <c r="AR832" s="6"/>
      <c r="BF832" s="6"/>
      <c r="BT832" s="6"/>
      <c r="CH832" s="6"/>
    </row>
    <row r="833" ht="13.5" customHeight="1">
      <c r="P833" s="6"/>
      <c r="AD833" s="6"/>
      <c r="AR833" s="6"/>
      <c r="BF833" s="6"/>
      <c r="BT833" s="6"/>
      <c r="CH833" s="6"/>
    </row>
    <row r="834" ht="13.5" customHeight="1">
      <c r="P834" s="6"/>
      <c r="AD834" s="6"/>
      <c r="AR834" s="6"/>
      <c r="BF834" s="6"/>
      <c r="BT834" s="6"/>
      <c r="CH834" s="6"/>
    </row>
    <row r="835" ht="13.5" customHeight="1">
      <c r="P835" s="6"/>
      <c r="AD835" s="6"/>
      <c r="AR835" s="6"/>
      <c r="BF835" s="6"/>
      <c r="BT835" s="6"/>
      <c r="CH835" s="6"/>
    </row>
    <row r="836" ht="13.5" customHeight="1">
      <c r="P836" s="6"/>
      <c r="AD836" s="6"/>
      <c r="AR836" s="6"/>
      <c r="BF836" s="6"/>
      <c r="BT836" s="6"/>
      <c r="CH836" s="6"/>
    </row>
    <row r="837" ht="13.5" customHeight="1">
      <c r="P837" s="6"/>
      <c r="AD837" s="6"/>
      <c r="AR837" s="6"/>
      <c r="BF837" s="6"/>
      <c r="BT837" s="6"/>
      <c r="CH837" s="6"/>
    </row>
    <row r="838" ht="13.5" customHeight="1">
      <c r="P838" s="6"/>
      <c r="AD838" s="6"/>
      <c r="AR838" s="6"/>
      <c r="BF838" s="6"/>
      <c r="BT838" s="6"/>
      <c r="CH838" s="6"/>
    </row>
    <row r="839" ht="13.5" customHeight="1">
      <c r="P839" s="6"/>
      <c r="AD839" s="6"/>
      <c r="AR839" s="6"/>
      <c r="BF839" s="6"/>
      <c r="BT839" s="6"/>
      <c r="CH839" s="6"/>
    </row>
    <row r="840" ht="13.5" customHeight="1">
      <c r="P840" s="6"/>
      <c r="AD840" s="6"/>
      <c r="AR840" s="6"/>
      <c r="BF840" s="6"/>
      <c r="BT840" s="6"/>
      <c r="CH840" s="6"/>
    </row>
    <row r="841" ht="13.5" customHeight="1">
      <c r="P841" s="6"/>
      <c r="AD841" s="6"/>
      <c r="AR841" s="6"/>
      <c r="BF841" s="6"/>
      <c r="BT841" s="6"/>
      <c r="CH841" s="6"/>
    </row>
    <row r="842" ht="13.5" customHeight="1">
      <c r="P842" s="6"/>
      <c r="AD842" s="6"/>
      <c r="AR842" s="6"/>
      <c r="BF842" s="6"/>
      <c r="BT842" s="6"/>
      <c r="CH842" s="6"/>
    </row>
    <row r="843" ht="13.5" customHeight="1">
      <c r="P843" s="6"/>
      <c r="AD843" s="6"/>
      <c r="AR843" s="6"/>
      <c r="BF843" s="6"/>
      <c r="BT843" s="6"/>
      <c r="CH843" s="6"/>
    </row>
    <row r="844" ht="13.5" customHeight="1">
      <c r="P844" s="6"/>
      <c r="AD844" s="6"/>
      <c r="AR844" s="6"/>
      <c r="BF844" s="6"/>
      <c r="BT844" s="6"/>
      <c r="CH844" s="6"/>
    </row>
    <row r="845" ht="13.5" customHeight="1">
      <c r="P845" s="6"/>
      <c r="AD845" s="6"/>
      <c r="AR845" s="6"/>
      <c r="BF845" s="6"/>
      <c r="BT845" s="6"/>
      <c r="CH845" s="6"/>
    </row>
    <row r="846" ht="13.5" customHeight="1">
      <c r="P846" s="6"/>
      <c r="AD846" s="6"/>
      <c r="AR846" s="6"/>
      <c r="BF846" s="6"/>
      <c r="BT846" s="6"/>
      <c r="CH846" s="6"/>
    </row>
    <row r="847" ht="13.5" customHeight="1">
      <c r="P847" s="6"/>
      <c r="AD847" s="6"/>
      <c r="AR847" s="6"/>
      <c r="BF847" s="6"/>
      <c r="BT847" s="6"/>
      <c r="CH847" s="6"/>
    </row>
    <row r="848" ht="13.5" customHeight="1">
      <c r="P848" s="6"/>
      <c r="AD848" s="6"/>
      <c r="AR848" s="6"/>
      <c r="BF848" s="6"/>
      <c r="BT848" s="6"/>
      <c r="CH848" s="6"/>
    </row>
    <row r="849" ht="13.5" customHeight="1">
      <c r="P849" s="6"/>
      <c r="AD849" s="6"/>
      <c r="AR849" s="6"/>
      <c r="BF849" s="6"/>
      <c r="BT849" s="6"/>
      <c r="CH849" s="6"/>
    </row>
    <row r="850" ht="13.5" customHeight="1">
      <c r="P850" s="6"/>
      <c r="AD850" s="6"/>
      <c r="AR850" s="6"/>
      <c r="BF850" s="6"/>
      <c r="BT850" s="6"/>
      <c r="CH850" s="6"/>
    </row>
    <row r="851" ht="13.5" customHeight="1">
      <c r="P851" s="6"/>
      <c r="AD851" s="6"/>
      <c r="AR851" s="6"/>
      <c r="BF851" s="6"/>
      <c r="BT851" s="6"/>
      <c r="CH851" s="6"/>
    </row>
    <row r="852" ht="13.5" customHeight="1">
      <c r="P852" s="6"/>
      <c r="AD852" s="6"/>
      <c r="AR852" s="6"/>
      <c r="BF852" s="6"/>
      <c r="BT852" s="6"/>
      <c r="CH852" s="6"/>
    </row>
    <row r="853" ht="13.5" customHeight="1">
      <c r="P853" s="6"/>
      <c r="AD853" s="6"/>
      <c r="AR853" s="6"/>
      <c r="BF853" s="6"/>
      <c r="BT853" s="6"/>
      <c r="CH853" s="6"/>
    </row>
    <row r="854" ht="13.5" customHeight="1">
      <c r="P854" s="6"/>
      <c r="AD854" s="6"/>
      <c r="AR854" s="6"/>
      <c r="BF854" s="6"/>
      <c r="BT854" s="6"/>
      <c r="CH854" s="6"/>
    </row>
    <row r="855" ht="13.5" customHeight="1">
      <c r="P855" s="6"/>
      <c r="AD855" s="6"/>
      <c r="AR855" s="6"/>
      <c r="BF855" s="6"/>
      <c r="BT855" s="6"/>
      <c r="CH855" s="6"/>
    </row>
    <row r="856" ht="13.5" customHeight="1">
      <c r="P856" s="6"/>
      <c r="AD856" s="6"/>
      <c r="AR856" s="6"/>
      <c r="BF856" s="6"/>
      <c r="BT856" s="6"/>
      <c r="CH856" s="6"/>
    </row>
    <row r="857" ht="13.5" customHeight="1">
      <c r="P857" s="6"/>
      <c r="AD857" s="6"/>
      <c r="AR857" s="6"/>
      <c r="BF857" s="6"/>
      <c r="BT857" s="6"/>
      <c r="CH857" s="6"/>
    </row>
    <row r="858" ht="13.5" customHeight="1">
      <c r="P858" s="6"/>
      <c r="AD858" s="6"/>
      <c r="AR858" s="6"/>
      <c r="BF858" s="6"/>
      <c r="BT858" s="6"/>
      <c r="CH858" s="6"/>
    </row>
    <row r="859" ht="13.5" customHeight="1">
      <c r="P859" s="6"/>
      <c r="AD859" s="6"/>
      <c r="AR859" s="6"/>
      <c r="BF859" s="6"/>
      <c r="BT859" s="6"/>
      <c r="CH859" s="6"/>
    </row>
    <row r="860" ht="13.5" customHeight="1">
      <c r="P860" s="6"/>
      <c r="AD860" s="6"/>
      <c r="AR860" s="6"/>
      <c r="BF860" s="6"/>
      <c r="BT860" s="6"/>
      <c r="CH860" s="6"/>
    </row>
    <row r="861" ht="13.5" customHeight="1">
      <c r="P861" s="6"/>
      <c r="AD861" s="6"/>
      <c r="AR861" s="6"/>
      <c r="BF861" s="6"/>
      <c r="BT861" s="6"/>
      <c r="CH861" s="6"/>
    </row>
    <row r="862" ht="13.5" customHeight="1">
      <c r="P862" s="6"/>
      <c r="AD862" s="6"/>
      <c r="AR862" s="6"/>
      <c r="BF862" s="6"/>
      <c r="BT862" s="6"/>
      <c r="CH862" s="6"/>
    </row>
    <row r="863" ht="13.5" customHeight="1">
      <c r="P863" s="6"/>
      <c r="AD863" s="6"/>
      <c r="AR863" s="6"/>
      <c r="BF863" s="6"/>
      <c r="BT863" s="6"/>
      <c r="CH863" s="6"/>
    </row>
    <row r="864" ht="13.5" customHeight="1">
      <c r="P864" s="6"/>
      <c r="AD864" s="6"/>
      <c r="AR864" s="6"/>
      <c r="BF864" s="6"/>
      <c r="BT864" s="6"/>
      <c r="CH864" s="6"/>
    </row>
    <row r="865" ht="13.5" customHeight="1">
      <c r="P865" s="6"/>
      <c r="AD865" s="6"/>
      <c r="AR865" s="6"/>
      <c r="BF865" s="6"/>
      <c r="BT865" s="6"/>
      <c r="CH865" s="6"/>
    </row>
    <row r="866" ht="13.5" customHeight="1">
      <c r="P866" s="6"/>
      <c r="AD866" s="6"/>
      <c r="AR866" s="6"/>
      <c r="BF866" s="6"/>
      <c r="BT866" s="6"/>
      <c r="CH866" s="6"/>
    </row>
    <row r="867" ht="13.5" customHeight="1">
      <c r="P867" s="6"/>
      <c r="AD867" s="6"/>
      <c r="AR867" s="6"/>
      <c r="BF867" s="6"/>
      <c r="BT867" s="6"/>
      <c r="CH867" s="6"/>
    </row>
    <row r="868" ht="13.5" customHeight="1">
      <c r="P868" s="6"/>
      <c r="AD868" s="6"/>
      <c r="AR868" s="6"/>
      <c r="BF868" s="6"/>
      <c r="BT868" s="6"/>
      <c r="CH868" s="6"/>
    </row>
    <row r="869" ht="13.5" customHeight="1">
      <c r="P869" s="6"/>
      <c r="AD869" s="6"/>
      <c r="AR869" s="6"/>
      <c r="BF869" s="6"/>
      <c r="BT869" s="6"/>
      <c r="CH869" s="6"/>
    </row>
    <row r="870" ht="13.5" customHeight="1">
      <c r="P870" s="6"/>
      <c r="AD870" s="6"/>
      <c r="AR870" s="6"/>
      <c r="BF870" s="6"/>
      <c r="BT870" s="6"/>
      <c r="CH870" s="6"/>
    </row>
    <row r="871" ht="13.5" customHeight="1">
      <c r="P871" s="6"/>
      <c r="AD871" s="6"/>
      <c r="AR871" s="6"/>
      <c r="BF871" s="6"/>
      <c r="BT871" s="6"/>
      <c r="CH871" s="6"/>
    </row>
    <row r="872" ht="13.5" customHeight="1">
      <c r="P872" s="6"/>
      <c r="AD872" s="6"/>
      <c r="AR872" s="6"/>
      <c r="BF872" s="6"/>
      <c r="BT872" s="6"/>
      <c r="CH872" s="6"/>
    </row>
    <row r="873" ht="13.5" customHeight="1">
      <c r="P873" s="6"/>
      <c r="AD873" s="6"/>
      <c r="AR873" s="6"/>
      <c r="BF873" s="6"/>
      <c r="BT873" s="6"/>
      <c r="CH873" s="6"/>
    </row>
    <row r="874" ht="13.5" customHeight="1">
      <c r="P874" s="6"/>
      <c r="AD874" s="6"/>
      <c r="AR874" s="6"/>
      <c r="BF874" s="6"/>
      <c r="BT874" s="6"/>
      <c r="CH874" s="6"/>
    </row>
    <row r="875" ht="13.5" customHeight="1">
      <c r="P875" s="6"/>
      <c r="AD875" s="6"/>
      <c r="AR875" s="6"/>
      <c r="BF875" s="6"/>
      <c r="BT875" s="6"/>
      <c r="CH875" s="6"/>
    </row>
    <row r="876" ht="13.5" customHeight="1">
      <c r="P876" s="6"/>
      <c r="AD876" s="6"/>
      <c r="AR876" s="6"/>
      <c r="BF876" s="6"/>
      <c r="BT876" s="6"/>
      <c r="CH876" s="6"/>
    </row>
    <row r="877" ht="13.5" customHeight="1">
      <c r="P877" s="6"/>
      <c r="AD877" s="6"/>
      <c r="AR877" s="6"/>
      <c r="BF877" s="6"/>
      <c r="BT877" s="6"/>
      <c r="CH877" s="6"/>
    </row>
    <row r="878" ht="13.5" customHeight="1">
      <c r="P878" s="6"/>
      <c r="AD878" s="6"/>
      <c r="AR878" s="6"/>
      <c r="BF878" s="6"/>
      <c r="BT878" s="6"/>
      <c r="CH878" s="6"/>
    </row>
    <row r="879" ht="13.5" customHeight="1">
      <c r="P879" s="6"/>
      <c r="AD879" s="6"/>
      <c r="AR879" s="6"/>
      <c r="BF879" s="6"/>
      <c r="BT879" s="6"/>
      <c r="CH879" s="6"/>
    </row>
    <row r="880" ht="13.5" customHeight="1">
      <c r="P880" s="6"/>
      <c r="AD880" s="6"/>
      <c r="AR880" s="6"/>
      <c r="BF880" s="6"/>
      <c r="BT880" s="6"/>
      <c r="CH880" s="6"/>
    </row>
    <row r="881" ht="13.5" customHeight="1">
      <c r="P881" s="6"/>
      <c r="AD881" s="6"/>
      <c r="AR881" s="6"/>
      <c r="BF881" s="6"/>
      <c r="BT881" s="6"/>
      <c r="CH881" s="6"/>
    </row>
    <row r="882" ht="13.5" customHeight="1">
      <c r="P882" s="6"/>
      <c r="AD882" s="6"/>
      <c r="AR882" s="6"/>
      <c r="BF882" s="6"/>
      <c r="BT882" s="6"/>
      <c r="CH882" s="6"/>
    </row>
    <row r="883" ht="13.5" customHeight="1">
      <c r="P883" s="6"/>
      <c r="AD883" s="6"/>
      <c r="AR883" s="6"/>
      <c r="BF883" s="6"/>
      <c r="BT883" s="6"/>
      <c r="CH883" s="6"/>
    </row>
    <row r="884" ht="13.5" customHeight="1">
      <c r="P884" s="6"/>
      <c r="AD884" s="6"/>
      <c r="AR884" s="6"/>
      <c r="BF884" s="6"/>
      <c r="BT884" s="6"/>
      <c r="CH884" s="6"/>
    </row>
    <row r="885" ht="13.5" customHeight="1">
      <c r="P885" s="6"/>
      <c r="AD885" s="6"/>
      <c r="AR885" s="6"/>
      <c r="BF885" s="6"/>
      <c r="BT885" s="6"/>
      <c r="CH885" s="6"/>
    </row>
    <row r="886" ht="13.5" customHeight="1">
      <c r="P886" s="6"/>
      <c r="AD886" s="6"/>
      <c r="AR886" s="6"/>
      <c r="BF886" s="6"/>
      <c r="BT886" s="6"/>
      <c r="CH886" s="6"/>
    </row>
    <row r="887" ht="13.5" customHeight="1">
      <c r="P887" s="6"/>
      <c r="AD887" s="6"/>
      <c r="AR887" s="6"/>
      <c r="BF887" s="6"/>
      <c r="BT887" s="6"/>
      <c r="CH887" s="6"/>
    </row>
    <row r="888" ht="13.5" customHeight="1">
      <c r="P888" s="6"/>
      <c r="AD888" s="6"/>
      <c r="AR888" s="6"/>
      <c r="BF888" s="6"/>
      <c r="BT888" s="6"/>
      <c r="CH888" s="6"/>
    </row>
    <row r="889" ht="13.5" customHeight="1">
      <c r="P889" s="6"/>
      <c r="AD889" s="6"/>
      <c r="AR889" s="6"/>
      <c r="BF889" s="6"/>
      <c r="BT889" s="6"/>
      <c r="CH889" s="6"/>
    </row>
    <row r="890" ht="13.5" customHeight="1">
      <c r="P890" s="6"/>
      <c r="AD890" s="6"/>
      <c r="AR890" s="6"/>
      <c r="BF890" s="6"/>
      <c r="BT890" s="6"/>
      <c r="CH890" s="6"/>
    </row>
    <row r="891" ht="13.5" customHeight="1">
      <c r="P891" s="6"/>
      <c r="AD891" s="6"/>
      <c r="AR891" s="6"/>
      <c r="BF891" s="6"/>
      <c r="BT891" s="6"/>
      <c r="CH891" s="6"/>
    </row>
    <row r="892" ht="13.5" customHeight="1">
      <c r="P892" s="6"/>
      <c r="AD892" s="6"/>
      <c r="AR892" s="6"/>
      <c r="BF892" s="6"/>
      <c r="BT892" s="6"/>
      <c r="CH892" s="6"/>
    </row>
    <row r="893" ht="13.5" customHeight="1">
      <c r="P893" s="6"/>
      <c r="AD893" s="6"/>
      <c r="AR893" s="6"/>
      <c r="BF893" s="6"/>
      <c r="BT893" s="6"/>
      <c r="CH893" s="6"/>
    </row>
    <row r="894" ht="13.5" customHeight="1">
      <c r="P894" s="6"/>
      <c r="AD894" s="6"/>
      <c r="AR894" s="6"/>
      <c r="BF894" s="6"/>
      <c r="BT894" s="6"/>
      <c r="CH894" s="6"/>
    </row>
    <row r="895" ht="13.5" customHeight="1">
      <c r="P895" s="6"/>
      <c r="AD895" s="6"/>
      <c r="AR895" s="6"/>
      <c r="BF895" s="6"/>
      <c r="BT895" s="6"/>
      <c r="CH895" s="6"/>
    </row>
    <row r="896" ht="13.5" customHeight="1">
      <c r="P896" s="6"/>
      <c r="AD896" s="6"/>
      <c r="AR896" s="6"/>
      <c r="BF896" s="6"/>
      <c r="BT896" s="6"/>
      <c r="CH896" s="6"/>
    </row>
    <row r="897" ht="13.5" customHeight="1">
      <c r="P897" s="6"/>
      <c r="AD897" s="6"/>
      <c r="AR897" s="6"/>
      <c r="BF897" s="6"/>
      <c r="BT897" s="6"/>
      <c r="CH897" s="6"/>
    </row>
    <row r="898" ht="13.5" customHeight="1">
      <c r="P898" s="6"/>
      <c r="AD898" s="6"/>
      <c r="AR898" s="6"/>
      <c r="BF898" s="6"/>
      <c r="BT898" s="6"/>
      <c r="CH898" s="6"/>
    </row>
    <row r="899" ht="13.5" customHeight="1">
      <c r="P899" s="6"/>
      <c r="AD899" s="6"/>
      <c r="AR899" s="6"/>
      <c r="BF899" s="6"/>
      <c r="BT899" s="6"/>
      <c r="CH899" s="6"/>
    </row>
    <row r="900" ht="13.5" customHeight="1">
      <c r="P900" s="6"/>
      <c r="AD900" s="6"/>
      <c r="AR900" s="6"/>
      <c r="BF900" s="6"/>
      <c r="BT900" s="6"/>
      <c r="CH900" s="6"/>
    </row>
    <row r="901" ht="13.5" customHeight="1">
      <c r="P901" s="6"/>
      <c r="AD901" s="6"/>
      <c r="AR901" s="6"/>
      <c r="BF901" s="6"/>
      <c r="BT901" s="6"/>
      <c r="CH901" s="6"/>
    </row>
    <row r="902" ht="13.5" customHeight="1">
      <c r="P902" s="6"/>
      <c r="AD902" s="6"/>
      <c r="AR902" s="6"/>
      <c r="BF902" s="6"/>
      <c r="BT902" s="6"/>
      <c r="CH902" s="6"/>
    </row>
    <row r="903" ht="13.5" customHeight="1">
      <c r="P903" s="6"/>
      <c r="AD903" s="6"/>
      <c r="AR903" s="6"/>
      <c r="BF903" s="6"/>
      <c r="BT903" s="6"/>
      <c r="CH903" s="6"/>
    </row>
    <row r="904" ht="13.5" customHeight="1">
      <c r="P904" s="6"/>
      <c r="AD904" s="6"/>
      <c r="AR904" s="6"/>
      <c r="BF904" s="6"/>
      <c r="BT904" s="6"/>
      <c r="CH904" s="6"/>
    </row>
    <row r="905" ht="13.5" customHeight="1">
      <c r="P905" s="6"/>
      <c r="AD905" s="6"/>
      <c r="AR905" s="6"/>
      <c r="BF905" s="6"/>
      <c r="BT905" s="6"/>
      <c r="CH905" s="6"/>
    </row>
    <row r="906" ht="13.5" customHeight="1">
      <c r="P906" s="6"/>
      <c r="AD906" s="6"/>
      <c r="AR906" s="6"/>
      <c r="BF906" s="6"/>
      <c r="BT906" s="6"/>
      <c r="CH906" s="6"/>
    </row>
    <row r="907" ht="13.5" customHeight="1">
      <c r="P907" s="6"/>
      <c r="AD907" s="6"/>
      <c r="AR907" s="6"/>
      <c r="BF907" s="6"/>
      <c r="BT907" s="6"/>
      <c r="CH907" s="6"/>
    </row>
    <row r="908" ht="13.5" customHeight="1">
      <c r="P908" s="6"/>
      <c r="AD908" s="6"/>
      <c r="AR908" s="6"/>
      <c r="BF908" s="6"/>
      <c r="BT908" s="6"/>
      <c r="CH908" s="6"/>
    </row>
    <row r="909" ht="13.5" customHeight="1">
      <c r="P909" s="6"/>
      <c r="AD909" s="6"/>
      <c r="AR909" s="6"/>
      <c r="BF909" s="6"/>
      <c r="BT909" s="6"/>
      <c r="CH909" s="6"/>
    </row>
    <row r="910" ht="13.5" customHeight="1">
      <c r="P910" s="6"/>
      <c r="AD910" s="6"/>
      <c r="AR910" s="6"/>
      <c r="BF910" s="6"/>
      <c r="BT910" s="6"/>
      <c r="CH910" s="6"/>
    </row>
    <row r="911" ht="13.5" customHeight="1">
      <c r="P911" s="6"/>
      <c r="AD911" s="6"/>
      <c r="AR911" s="6"/>
      <c r="BF911" s="6"/>
      <c r="BT911" s="6"/>
      <c r="CH911" s="6"/>
    </row>
    <row r="912" ht="13.5" customHeight="1">
      <c r="P912" s="6"/>
      <c r="AD912" s="6"/>
      <c r="AR912" s="6"/>
      <c r="BF912" s="6"/>
      <c r="BT912" s="6"/>
      <c r="CH912" s="6"/>
    </row>
    <row r="913" ht="13.5" customHeight="1">
      <c r="P913" s="6"/>
      <c r="AD913" s="6"/>
      <c r="AR913" s="6"/>
      <c r="BF913" s="6"/>
      <c r="BT913" s="6"/>
      <c r="CH913" s="6"/>
    </row>
    <row r="914" ht="13.5" customHeight="1">
      <c r="P914" s="6"/>
      <c r="AD914" s="6"/>
      <c r="AR914" s="6"/>
      <c r="BF914" s="6"/>
      <c r="BT914" s="6"/>
      <c r="CH914" s="6"/>
    </row>
    <row r="915" ht="13.5" customHeight="1">
      <c r="P915" s="6"/>
      <c r="AD915" s="6"/>
      <c r="AR915" s="6"/>
      <c r="BF915" s="6"/>
      <c r="BT915" s="6"/>
      <c r="CH915" s="6"/>
    </row>
    <row r="916" ht="13.5" customHeight="1">
      <c r="P916" s="6"/>
      <c r="AD916" s="6"/>
      <c r="AR916" s="6"/>
      <c r="BF916" s="6"/>
      <c r="BT916" s="6"/>
      <c r="CH916" s="6"/>
    </row>
    <row r="917" ht="13.5" customHeight="1">
      <c r="P917" s="6"/>
      <c r="AD917" s="6"/>
      <c r="AR917" s="6"/>
      <c r="BF917" s="6"/>
      <c r="BT917" s="6"/>
      <c r="CH917" s="6"/>
    </row>
    <row r="918" ht="13.5" customHeight="1">
      <c r="P918" s="6"/>
      <c r="AD918" s="6"/>
      <c r="AR918" s="6"/>
      <c r="BF918" s="6"/>
      <c r="BT918" s="6"/>
      <c r="CH918" s="6"/>
    </row>
    <row r="919" ht="13.5" customHeight="1">
      <c r="P919" s="6"/>
      <c r="AD919" s="6"/>
      <c r="AR919" s="6"/>
      <c r="BF919" s="6"/>
      <c r="BT919" s="6"/>
      <c r="CH919" s="6"/>
    </row>
    <row r="920" ht="13.5" customHeight="1">
      <c r="P920" s="6"/>
      <c r="AD920" s="6"/>
      <c r="AR920" s="6"/>
      <c r="BF920" s="6"/>
      <c r="BT920" s="6"/>
      <c r="CH920" s="6"/>
    </row>
    <row r="921" ht="13.5" customHeight="1">
      <c r="P921" s="6"/>
      <c r="AD921" s="6"/>
      <c r="AR921" s="6"/>
      <c r="BF921" s="6"/>
      <c r="BT921" s="6"/>
      <c r="CH921" s="6"/>
    </row>
    <row r="922" ht="13.5" customHeight="1">
      <c r="P922" s="6"/>
      <c r="AD922" s="6"/>
      <c r="AR922" s="6"/>
      <c r="BF922" s="6"/>
      <c r="BT922" s="6"/>
      <c r="CH922" s="6"/>
    </row>
    <row r="923" ht="13.5" customHeight="1">
      <c r="P923" s="6"/>
      <c r="AD923" s="6"/>
      <c r="AR923" s="6"/>
      <c r="BF923" s="6"/>
      <c r="BT923" s="6"/>
      <c r="CH923" s="6"/>
    </row>
    <row r="924" ht="13.5" customHeight="1">
      <c r="P924" s="6"/>
      <c r="AD924" s="6"/>
      <c r="AR924" s="6"/>
      <c r="BF924" s="6"/>
      <c r="BT924" s="6"/>
      <c r="CH924" s="6"/>
    </row>
    <row r="925" ht="13.5" customHeight="1">
      <c r="P925" s="6"/>
      <c r="AD925" s="6"/>
      <c r="AR925" s="6"/>
      <c r="BF925" s="6"/>
      <c r="BT925" s="6"/>
      <c r="CH925" s="6"/>
    </row>
    <row r="926" ht="13.5" customHeight="1">
      <c r="P926" s="6"/>
      <c r="AD926" s="6"/>
      <c r="AR926" s="6"/>
      <c r="BF926" s="6"/>
      <c r="BT926" s="6"/>
      <c r="CH926" s="6"/>
    </row>
    <row r="927" ht="13.5" customHeight="1">
      <c r="P927" s="6"/>
      <c r="AD927" s="6"/>
      <c r="AR927" s="6"/>
      <c r="BF927" s="6"/>
      <c r="BT927" s="6"/>
      <c r="CH927" s="6"/>
    </row>
    <row r="928" ht="13.5" customHeight="1">
      <c r="P928" s="6"/>
      <c r="AD928" s="6"/>
      <c r="AR928" s="6"/>
      <c r="BF928" s="6"/>
      <c r="BT928" s="6"/>
      <c r="CH928" s="6"/>
    </row>
    <row r="929" ht="13.5" customHeight="1">
      <c r="P929" s="6"/>
      <c r="AD929" s="6"/>
      <c r="AR929" s="6"/>
      <c r="BF929" s="6"/>
      <c r="BT929" s="6"/>
      <c r="CH929" s="6"/>
    </row>
    <row r="930" ht="13.5" customHeight="1">
      <c r="P930" s="6"/>
      <c r="AD930" s="6"/>
      <c r="AR930" s="6"/>
      <c r="BF930" s="6"/>
      <c r="BT930" s="6"/>
      <c r="CH930" s="6"/>
    </row>
    <row r="931" ht="13.5" customHeight="1">
      <c r="P931" s="6"/>
      <c r="AD931" s="6"/>
      <c r="AR931" s="6"/>
      <c r="BF931" s="6"/>
      <c r="BT931" s="6"/>
      <c r="CH931" s="6"/>
    </row>
    <row r="932" ht="13.5" customHeight="1">
      <c r="P932" s="6"/>
      <c r="AD932" s="6"/>
      <c r="AR932" s="6"/>
      <c r="BF932" s="6"/>
      <c r="BT932" s="6"/>
      <c r="CH932" s="6"/>
    </row>
    <row r="933" ht="13.5" customHeight="1">
      <c r="P933" s="6"/>
      <c r="AD933" s="6"/>
      <c r="AR933" s="6"/>
      <c r="BF933" s="6"/>
      <c r="BT933" s="6"/>
      <c r="CH933" s="6"/>
    </row>
    <row r="934" ht="13.5" customHeight="1">
      <c r="P934" s="6"/>
      <c r="AD934" s="6"/>
      <c r="AR934" s="6"/>
      <c r="BF934" s="6"/>
      <c r="BT934" s="6"/>
      <c r="CH934" s="6"/>
    </row>
    <row r="935" ht="13.5" customHeight="1">
      <c r="P935" s="6"/>
      <c r="AD935" s="6"/>
      <c r="AR935" s="6"/>
      <c r="BF935" s="6"/>
      <c r="BT935" s="6"/>
      <c r="CH935" s="6"/>
    </row>
    <row r="936" ht="13.5" customHeight="1">
      <c r="P936" s="6"/>
      <c r="AD936" s="6"/>
      <c r="AR936" s="6"/>
      <c r="BF936" s="6"/>
      <c r="BT936" s="6"/>
      <c r="CH936" s="6"/>
    </row>
    <row r="937" ht="13.5" customHeight="1">
      <c r="P937" s="6"/>
      <c r="AD937" s="6"/>
      <c r="AR937" s="6"/>
      <c r="BF937" s="6"/>
      <c r="BT937" s="6"/>
      <c r="CH937" s="6"/>
    </row>
    <row r="938" ht="13.5" customHeight="1">
      <c r="P938" s="6"/>
      <c r="AD938" s="6"/>
      <c r="AR938" s="6"/>
      <c r="BF938" s="6"/>
      <c r="BT938" s="6"/>
      <c r="CH938" s="6"/>
    </row>
    <row r="939" ht="13.5" customHeight="1">
      <c r="P939" s="6"/>
      <c r="AD939" s="6"/>
      <c r="AR939" s="6"/>
      <c r="BF939" s="6"/>
      <c r="BT939" s="6"/>
      <c r="CH939" s="6"/>
    </row>
    <row r="940" ht="13.5" customHeight="1">
      <c r="P940" s="6"/>
      <c r="AD940" s="6"/>
      <c r="AR940" s="6"/>
      <c r="BF940" s="6"/>
      <c r="BT940" s="6"/>
      <c r="CH940" s="6"/>
    </row>
    <row r="941" ht="13.5" customHeight="1">
      <c r="P941" s="6"/>
      <c r="AD941" s="6"/>
      <c r="AR941" s="6"/>
      <c r="BF941" s="6"/>
      <c r="BT941" s="6"/>
      <c r="CH941" s="6"/>
    </row>
    <row r="942" ht="13.5" customHeight="1">
      <c r="P942" s="6"/>
      <c r="AD942" s="6"/>
      <c r="AR942" s="6"/>
      <c r="BF942" s="6"/>
      <c r="BT942" s="6"/>
      <c r="CH942" s="6"/>
    </row>
    <row r="943" ht="13.5" customHeight="1">
      <c r="P943" s="6"/>
      <c r="AD943" s="6"/>
      <c r="AR943" s="6"/>
      <c r="BF943" s="6"/>
      <c r="BT943" s="6"/>
      <c r="CH943" s="6"/>
    </row>
    <row r="944" ht="13.5" customHeight="1">
      <c r="P944" s="6"/>
      <c r="AD944" s="6"/>
      <c r="AR944" s="6"/>
      <c r="BF944" s="6"/>
      <c r="BT944" s="6"/>
      <c r="CH944" s="6"/>
    </row>
    <row r="945" ht="13.5" customHeight="1">
      <c r="P945" s="6"/>
      <c r="AD945" s="6"/>
      <c r="AR945" s="6"/>
      <c r="BF945" s="6"/>
      <c r="BT945" s="6"/>
      <c r="CH945" s="6"/>
    </row>
    <row r="946" ht="13.5" customHeight="1">
      <c r="P946" s="6"/>
      <c r="AD946" s="6"/>
      <c r="AR946" s="6"/>
      <c r="BF946" s="6"/>
      <c r="BT946" s="6"/>
      <c r="CH946" s="6"/>
    </row>
    <row r="947" ht="13.5" customHeight="1">
      <c r="P947" s="6"/>
      <c r="AD947" s="6"/>
      <c r="AR947" s="6"/>
      <c r="BF947" s="6"/>
      <c r="BT947" s="6"/>
      <c r="CH947" s="6"/>
    </row>
    <row r="948" ht="13.5" customHeight="1">
      <c r="P948" s="6"/>
      <c r="AD948" s="6"/>
      <c r="AR948" s="6"/>
      <c r="BF948" s="6"/>
      <c r="BT948" s="6"/>
      <c r="CH948" s="6"/>
    </row>
    <row r="949" ht="13.5" customHeight="1">
      <c r="P949" s="6"/>
      <c r="AD949" s="6"/>
      <c r="AR949" s="6"/>
      <c r="BF949" s="6"/>
      <c r="BT949" s="6"/>
      <c r="CH949" s="6"/>
    </row>
    <row r="950" ht="13.5" customHeight="1">
      <c r="P950" s="6"/>
      <c r="AD950" s="6"/>
      <c r="AR950" s="6"/>
      <c r="BF950" s="6"/>
      <c r="BT950" s="6"/>
      <c r="CH950" s="6"/>
    </row>
    <row r="951" ht="13.5" customHeight="1">
      <c r="P951" s="6"/>
      <c r="AD951" s="6"/>
      <c r="AR951" s="6"/>
      <c r="BF951" s="6"/>
      <c r="BT951" s="6"/>
      <c r="CH951" s="6"/>
    </row>
    <row r="952" ht="13.5" customHeight="1">
      <c r="P952" s="6"/>
      <c r="AD952" s="6"/>
      <c r="AR952" s="6"/>
      <c r="BF952" s="6"/>
      <c r="BT952" s="6"/>
      <c r="CH952" s="6"/>
    </row>
    <row r="953" ht="13.5" customHeight="1">
      <c r="P953" s="6"/>
      <c r="AD953" s="6"/>
      <c r="AR953" s="6"/>
      <c r="BF953" s="6"/>
      <c r="BT953" s="6"/>
      <c r="CH953" s="6"/>
    </row>
    <row r="954" ht="13.5" customHeight="1">
      <c r="P954" s="6"/>
      <c r="AD954" s="6"/>
      <c r="AR954" s="6"/>
      <c r="BF954" s="6"/>
      <c r="BT954" s="6"/>
      <c r="CH954" s="6"/>
    </row>
    <row r="955" ht="13.5" customHeight="1">
      <c r="P955" s="6"/>
      <c r="AD955" s="6"/>
      <c r="AR955" s="6"/>
      <c r="BF955" s="6"/>
      <c r="BT955" s="6"/>
      <c r="CH955" s="6"/>
    </row>
    <row r="956" ht="13.5" customHeight="1">
      <c r="P956" s="6"/>
      <c r="AD956" s="6"/>
      <c r="AR956" s="6"/>
      <c r="BF956" s="6"/>
      <c r="BT956" s="6"/>
      <c r="CH956" s="6"/>
    </row>
    <row r="957" ht="13.5" customHeight="1">
      <c r="P957" s="6"/>
      <c r="AD957" s="6"/>
      <c r="AR957" s="6"/>
      <c r="BF957" s="6"/>
      <c r="BT957" s="6"/>
      <c r="CH957" s="6"/>
    </row>
    <row r="958" ht="13.5" customHeight="1">
      <c r="P958" s="6"/>
      <c r="AD958" s="6"/>
      <c r="AR958" s="6"/>
      <c r="BF958" s="6"/>
      <c r="BT958" s="6"/>
      <c r="CH958" s="6"/>
    </row>
    <row r="959" ht="13.5" customHeight="1">
      <c r="P959" s="6"/>
      <c r="AD959" s="6"/>
      <c r="AR959" s="6"/>
      <c r="BF959" s="6"/>
      <c r="BT959" s="6"/>
      <c r="CH959" s="6"/>
    </row>
    <row r="960" ht="13.5" customHeight="1">
      <c r="P960" s="6"/>
      <c r="AD960" s="6"/>
      <c r="AR960" s="6"/>
      <c r="BF960" s="6"/>
      <c r="BT960" s="6"/>
      <c r="CH960" s="6"/>
    </row>
    <row r="961" ht="13.5" customHeight="1">
      <c r="P961" s="6"/>
      <c r="AD961" s="6"/>
      <c r="AR961" s="6"/>
      <c r="BF961" s="6"/>
      <c r="BT961" s="6"/>
      <c r="CH961" s="6"/>
    </row>
    <row r="962" ht="13.5" customHeight="1">
      <c r="P962" s="6"/>
      <c r="AD962" s="6"/>
      <c r="AR962" s="6"/>
      <c r="BF962" s="6"/>
      <c r="BT962" s="6"/>
      <c r="CH962" s="6"/>
    </row>
    <row r="963" ht="13.5" customHeight="1">
      <c r="P963" s="6"/>
      <c r="AD963" s="6"/>
      <c r="AR963" s="6"/>
      <c r="BF963" s="6"/>
      <c r="BT963" s="6"/>
      <c r="CH963" s="6"/>
    </row>
    <row r="964" ht="13.5" customHeight="1">
      <c r="P964" s="6"/>
      <c r="AD964" s="6"/>
      <c r="AR964" s="6"/>
      <c r="BF964" s="6"/>
      <c r="BT964" s="6"/>
      <c r="CH964" s="6"/>
    </row>
    <row r="965" ht="13.5" customHeight="1">
      <c r="P965" s="6"/>
      <c r="AD965" s="6"/>
      <c r="AR965" s="6"/>
      <c r="BF965" s="6"/>
      <c r="BT965" s="6"/>
      <c r="CH965" s="6"/>
    </row>
    <row r="966" ht="13.5" customHeight="1">
      <c r="P966" s="6"/>
      <c r="AD966" s="6"/>
      <c r="AR966" s="6"/>
      <c r="BF966" s="6"/>
      <c r="BT966" s="6"/>
      <c r="CH966" s="6"/>
    </row>
    <row r="967" ht="13.5" customHeight="1">
      <c r="P967" s="6"/>
      <c r="AD967" s="6"/>
      <c r="AR967" s="6"/>
      <c r="BF967" s="6"/>
      <c r="BT967" s="6"/>
      <c r="CH967" s="6"/>
    </row>
    <row r="968" ht="13.5" customHeight="1">
      <c r="P968" s="6"/>
      <c r="AD968" s="6"/>
      <c r="AR968" s="6"/>
      <c r="BF968" s="6"/>
      <c r="BT968" s="6"/>
      <c r="CH968" s="6"/>
    </row>
    <row r="969" ht="13.5" customHeight="1">
      <c r="P969" s="6"/>
      <c r="AD969" s="6"/>
      <c r="AR969" s="6"/>
      <c r="BF969" s="6"/>
      <c r="BT969" s="6"/>
      <c r="CH969" s="6"/>
    </row>
    <row r="970" ht="13.5" customHeight="1">
      <c r="P970" s="6"/>
      <c r="AD970" s="6"/>
      <c r="AR970" s="6"/>
      <c r="BF970" s="6"/>
      <c r="BT970" s="6"/>
      <c r="CH970" s="6"/>
    </row>
    <row r="971" ht="13.5" customHeight="1">
      <c r="P971" s="6"/>
      <c r="AD971" s="6"/>
      <c r="AR971" s="6"/>
      <c r="BF971" s="6"/>
      <c r="BT971" s="6"/>
      <c r="CH971" s="6"/>
    </row>
    <row r="972" ht="13.5" customHeight="1">
      <c r="P972" s="6"/>
      <c r="AD972" s="6"/>
      <c r="AR972" s="6"/>
      <c r="BF972" s="6"/>
      <c r="BT972" s="6"/>
      <c r="CH972" s="6"/>
    </row>
    <row r="973" ht="13.5" customHeight="1">
      <c r="P973" s="6"/>
      <c r="AD973" s="6"/>
      <c r="AR973" s="6"/>
      <c r="BF973" s="6"/>
      <c r="BT973" s="6"/>
      <c r="CH973" s="6"/>
    </row>
    <row r="974" ht="13.5" customHeight="1">
      <c r="P974" s="6"/>
      <c r="AD974" s="6"/>
      <c r="AR974" s="6"/>
      <c r="BF974" s="6"/>
      <c r="BT974" s="6"/>
      <c r="CH974" s="6"/>
    </row>
    <row r="975" ht="13.5" customHeight="1">
      <c r="P975" s="6"/>
      <c r="AD975" s="6"/>
      <c r="AR975" s="6"/>
      <c r="BF975" s="6"/>
      <c r="BT975" s="6"/>
      <c r="CH975" s="6"/>
    </row>
    <row r="976" ht="13.5" customHeight="1">
      <c r="P976" s="6"/>
      <c r="AD976" s="6"/>
      <c r="AR976" s="6"/>
      <c r="BF976" s="6"/>
      <c r="BT976" s="6"/>
      <c r="CH976" s="6"/>
    </row>
    <row r="977" ht="13.5" customHeight="1">
      <c r="P977" s="6"/>
      <c r="AD977" s="6"/>
      <c r="AR977" s="6"/>
      <c r="BF977" s="6"/>
      <c r="BT977" s="6"/>
      <c r="CH977" s="6"/>
    </row>
    <row r="978" ht="13.5" customHeight="1">
      <c r="P978" s="6"/>
      <c r="AD978" s="6"/>
      <c r="AR978" s="6"/>
      <c r="BF978" s="6"/>
      <c r="BT978" s="6"/>
      <c r="CH978" s="6"/>
    </row>
    <row r="979" ht="13.5" customHeight="1">
      <c r="P979" s="6"/>
      <c r="AD979" s="6"/>
      <c r="AR979" s="6"/>
      <c r="BF979" s="6"/>
      <c r="BT979" s="6"/>
      <c r="CH979" s="6"/>
    </row>
    <row r="980" ht="13.5" customHeight="1">
      <c r="P980" s="6"/>
      <c r="AD980" s="6"/>
      <c r="AR980" s="6"/>
      <c r="BF980" s="6"/>
      <c r="BT980" s="6"/>
      <c r="CH980" s="6"/>
    </row>
    <row r="981" ht="13.5" customHeight="1">
      <c r="P981" s="6"/>
      <c r="AD981" s="6"/>
      <c r="AR981" s="6"/>
      <c r="BF981" s="6"/>
      <c r="BT981" s="6"/>
      <c r="CH981" s="6"/>
    </row>
    <row r="982" ht="13.5" customHeight="1">
      <c r="P982" s="6"/>
      <c r="AD982" s="6"/>
      <c r="AR982" s="6"/>
      <c r="BF982" s="6"/>
      <c r="BT982" s="6"/>
      <c r="CH982" s="6"/>
    </row>
    <row r="983" ht="13.5" customHeight="1">
      <c r="P983" s="6"/>
      <c r="AD983" s="6"/>
      <c r="AR983" s="6"/>
      <c r="BF983" s="6"/>
      <c r="BT983" s="6"/>
      <c r="CH983" s="6"/>
    </row>
    <row r="984" ht="13.5" customHeight="1">
      <c r="P984" s="6"/>
      <c r="AD984" s="6"/>
      <c r="AR984" s="6"/>
      <c r="BF984" s="6"/>
      <c r="BT984" s="6"/>
      <c r="CH984" s="6"/>
    </row>
    <row r="985" ht="13.5" customHeight="1">
      <c r="P985" s="6"/>
      <c r="AD985" s="6"/>
      <c r="AR985" s="6"/>
      <c r="BF985" s="6"/>
      <c r="BT985" s="6"/>
      <c r="CH985" s="6"/>
    </row>
    <row r="986" ht="13.5" customHeight="1">
      <c r="P986" s="6"/>
      <c r="AD986" s="6"/>
      <c r="AR986" s="6"/>
      <c r="BF986" s="6"/>
      <c r="BT986" s="6"/>
      <c r="CH986" s="6"/>
    </row>
    <row r="987" ht="13.5" customHeight="1">
      <c r="P987" s="6"/>
      <c r="AD987" s="6"/>
      <c r="AR987" s="6"/>
      <c r="BF987" s="6"/>
      <c r="BT987" s="6"/>
      <c r="CH987" s="6"/>
    </row>
    <row r="988" ht="13.5" customHeight="1">
      <c r="P988" s="6"/>
      <c r="AD988" s="6"/>
      <c r="AR988" s="6"/>
      <c r="BF988" s="6"/>
      <c r="BT988" s="6"/>
      <c r="CH988" s="6"/>
    </row>
    <row r="989" ht="13.5" customHeight="1">
      <c r="P989" s="6"/>
      <c r="AD989" s="6"/>
      <c r="AR989" s="6"/>
      <c r="BF989" s="6"/>
      <c r="BT989" s="6"/>
      <c r="CH989" s="6"/>
    </row>
    <row r="990" ht="13.5" customHeight="1">
      <c r="P990" s="6"/>
      <c r="AD990" s="6"/>
      <c r="AR990" s="6"/>
      <c r="BF990" s="6"/>
      <c r="BT990" s="6"/>
      <c r="CH990" s="6"/>
    </row>
    <row r="991" ht="13.5" customHeight="1">
      <c r="P991" s="6"/>
      <c r="AD991" s="6"/>
      <c r="AR991" s="6"/>
      <c r="BF991" s="6"/>
      <c r="BT991" s="6"/>
      <c r="CH991" s="6"/>
    </row>
    <row r="992" ht="13.5" customHeight="1">
      <c r="P992" s="6"/>
      <c r="AD992" s="6"/>
      <c r="AR992" s="6"/>
      <c r="BF992" s="6"/>
      <c r="BT992" s="6"/>
      <c r="CH992" s="6"/>
    </row>
    <row r="993" ht="13.5" customHeight="1">
      <c r="P993" s="6"/>
      <c r="AD993" s="6"/>
      <c r="AR993" s="6"/>
      <c r="BF993" s="6"/>
      <c r="BT993" s="6"/>
      <c r="CH993" s="6"/>
    </row>
    <row r="994" ht="13.5" customHeight="1">
      <c r="P994" s="6"/>
      <c r="AD994" s="6"/>
      <c r="AR994" s="6"/>
      <c r="BF994" s="6"/>
      <c r="BT994" s="6"/>
      <c r="CH994" s="6"/>
    </row>
    <row r="995" ht="13.5" customHeight="1">
      <c r="P995" s="6"/>
      <c r="AD995" s="6"/>
      <c r="AR995" s="6"/>
      <c r="BF995" s="6"/>
      <c r="BT995" s="6"/>
      <c r="CH995" s="6"/>
    </row>
    <row r="996" ht="13.5" customHeight="1">
      <c r="P996" s="6"/>
      <c r="AD996" s="6"/>
      <c r="AR996" s="6"/>
      <c r="BF996" s="6"/>
      <c r="BT996" s="6"/>
      <c r="CH996" s="6"/>
    </row>
    <row r="997" ht="13.5" customHeight="1">
      <c r="P997" s="6"/>
      <c r="AD997" s="6"/>
      <c r="AR997" s="6"/>
      <c r="BF997" s="6"/>
      <c r="BT997" s="6"/>
      <c r="CH997" s="6"/>
    </row>
    <row r="998" ht="13.5" customHeight="1">
      <c r="P998" s="6"/>
      <c r="AD998" s="6"/>
      <c r="AR998" s="6"/>
      <c r="BF998" s="6"/>
      <c r="BT998" s="6"/>
      <c r="CH998" s="6"/>
    </row>
    <row r="999" ht="13.5" customHeight="1">
      <c r="P999" s="6"/>
      <c r="AD999" s="6"/>
      <c r="AR999" s="6"/>
      <c r="BF999" s="6"/>
      <c r="BT999" s="6"/>
      <c r="CH999" s="6"/>
    </row>
    <row r="1000" ht="13.5" customHeight="1">
      <c r="P1000" s="6"/>
      <c r="AD1000" s="6"/>
      <c r="AR1000" s="6"/>
      <c r="BF1000" s="6"/>
      <c r="BT1000" s="6"/>
      <c r="CH1000" s="6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0E9D4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 outlineLevelCol="1"/>
  <cols>
    <col customWidth="1" min="1" max="1" width="8.63"/>
    <col customWidth="1" min="2" max="3" width="18.63"/>
    <col customWidth="1" min="4" max="15" width="12.88" outlineLevel="1"/>
    <col customWidth="1" min="16" max="16" width="12.88"/>
    <col customWidth="1" min="17" max="17" width="1.63"/>
    <col customWidth="1" min="18" max="29" width="12.88" outlineLevel="1"/>
    <col customWidth="1" min="30" max="30" width="12.88"/>
    <col customWidth="1" min="31" max="31" width="1.13"/>
    <col customWidth="1" min="32" max="43" width="12.88" outlineLevel="1"/>
    <col customWidth="1" min="44" max="44" width="12.88"/>
    <col customWidth="1" min="45" max="45" width="1.13"/>
    <col customWidth="1" min="46" max="57" width="12.88" outlineLevel="1"/>
    <col customWidth="1" min="58" max="58" width="12.88"/>
    <col customWidth="1" min="59" max="59" width="1.13"/>
    <col customWidth="1" min="60" max="71" width="12.88" outlineLevel="1"/>
    <col customWidth="1" min="72" max="72" width="12.88"/>
    <col customWidth="1" min="73" max="73" width="1.5"/>
    <col customWidth="1" min="74" max="85" width="12.88" outlineLevel="1"/>
    <col customWidth="1" min="86" max="86" width="12.88"/>
    <col customWidth="1" min="87" max="87" width="1.13"/>
  </cols>
  <sheetData>
    <row r="1" ht="20.25" customHeight="1">
      <c r="B1" s="2" t="s">
        <v>0</v>
      </c>
      <c r="C1" s="2"/>
      <c r="D1" s="3" t="str">
        <f>+COMP</f>
        <v>ZHY</v>
      </c>
      <c r="E1" s="3" t="str">
        <f>+COMP</f>
        <v>ZHY</v>
      </c>
      <c r="F1" s="3" t="str">
        <f>+COMP</f>
        <v>ZHY</v>
      </c>
      <c r="G1" s="3" t="str">
        <f>+COMP</f>
        <v>ZHY</v>
      </c>
      <c r="H1" s="3" t="str">
        <f>+COMP</f>
        <v>ZHY</v>
      </c>
      <c r="I1" s="3" t="str">
        <f>+COMP</f>
        <v>ZHY</v>
      </c>
      <c r="J1" s="3" t="str">
        <f>+COMP</f>
        <v>ZHY</v>
      </c>
      <c r="K1" s="3" t="str">
        <f>+COMP</f>
        <v>ZHY</v>
      </c>
      <c r="L1" s="3" t="str">
        <f>+COMP</f>
        <v>ZHY</v>
      </c>
      <c r="M1" s="3" t="str">
        <f>+COMP</f>
        <v>ZHY</v>
      </c>
      <c r="N1" s="3" t="str">
        <f>+COMP</f>
        <v>ZHY</v>
      </c>
      <c r="O1" s="3" t="str">
        <f>+COMP</f>
        <v>ZHY</v>
      </c>
      <c r="P1" s="3" t="str">
        <f>+COMP</f>
        <v>ZHY</v>
      </c>
      <c r="R1" s="3" t="str">
        <f>+COMP</f>
        <v>ZHY</v>
      </c>
      <c r="S1" s="3" t="str">
        <f>+COMP</f>
        <v>ZHY</v>
      </c>
      <c r="T1" s="3" t="str">
        <f>+COMP</f>
        <v>ZHY</v>
      </c>
      <c r="U1" s="3" t="str">
        <f>+COMP</f>
        <v>ZHY</v>
      </c>
      <c r="V1" s="3" t="str">
        <f>+COMP</f>
        <v>ZHY</v>
      </c>
      <c r="W1" s="3" t="str">
        <f>+COMP</f>
        <v>ZHY</v>
      </c>
      <c r="X1" s="3" t="str">
        <f>+COMP</f>
        <v>ZHY</v>
      </c>
      <c r="Y1" s="3" t="str">
        <f>+COMP</f>
        <v>ZHY</v>
      </c>
      <c r="Z1" s="3" t="str">
        <f>+COMP</f>
        <v>ZHY</v>
      </c>
      <c r="AA1" s="3" t="str">
        <f>+COMP</f>
        <v>ZHY</v>
      </c>
      <c r="AB1" s="3" t="str">
        <f>+COMP</f>
        <v>ZHY</v>
      </c>
      <c r="AC1" s="3" t="str">
        <f>+COMP</f>
        <v>ZHY</v>
      </c>
      <c r="AD1" s="3" t="str">
        <f>+COMP</f>
        <v>ZHY</v>
      </c>
      <c r="AF1" s="3" t="str">
        <f>+COMP</f>
        <v>ZHY</v>
      </c>
      <c r="AG1" s="3" t="str">
        <f>+COMP</f>
        <v>ZHY</v>
      </c>
      <c r="AH1" s="3" t="str">
        <f>+COMP</f>
        <v>ZHY</v>
      </c>
      <c r="AI1" s="3" t="str">
        <f>+COMP</f>
        <v>ZHY</v>
      </c>
      <c r="AJ1" s="3" t="str">
        <f>+COMP</f>
        <v>ZHY</v>
      </c>
      <c r="AK1" s="3" t="str">
        <f>+COMP</f>
        <v>ZHY</v>
      </c>
      <c r="AL1" s="3" t="str">
        <f>+COMP</f>
        <v>ZHY</v>
      </c>
      <c r="AM1" s="3" t="str">
        <f>+COMP</f>
        <v>ZHY</v>
      </c>
      <c r="AN1" s="3" t="str">
        <f>+COMP</f>
        <v>ZHY</v>
      </c>
      <c r="AO1" s="3" t="str">
        <f>+COMP</f>
        <v>ZHY</v>
      </c>
      <c r="AP1" s="3" t="str">
        <f>+COMP</f>
        <v>ZHY</v>
      </c>
      <c r="AQ1" s="3" t="str">
        <f>+COMP</f>
        <v>ZHY</v>
      </c>
      <c r="AR1" s="3" t="str">
        <f>+COMP</f>
        <v>ZHY</v>
      </c>
      <c r="AT1" s="3" t="str">
        <f>+COMP</f>
        <v>ZHY</v>
      </c>
      <c r="AU1" s="3" t="str">
        <f>+COMP</f>
        <v>ZHY</v>
      </c>
      <c r="AV1" s="3" t="str">
        <f>+COMP</f>
        <v>ZHY</v>
      </c>
      <c r="AW1" s="3" t="str">
        <f>+COMP</f>
        <v>ZHY</v>
      </c>
      <c r="AX1" s="3" t="str">
        <f>+COMP</f>
        <v>ZHY</v>
      </c>
      <c r="AY1" s="3" t="str">
        <f>+COMP</f>
        <v>ZHY</v>
      </c>
      <c r="AZ1" s="3" t="str">
        <f>+COMP</f>
        <v>ZHY</v>
      </c>
      <c r="BA1" s="3" t="str">
        <f>+COMP</f>
        <v>ZHY</v>
      </c>
      <c r="BB1" s="3" t="str">
        <f>+COMP</f>
        <v>ZHY</v>
      </c>
      <c r="BC1" s="3" t="str">
        <f>+COMP</f>
        <v>ZHY</v>
      </c>
      <c r="BD1" s="3" t="str">
        <f>+COMP</f>
        <v>ZHY</v>
      </c>
      <c r="BE1" s="3" t="str">
        <f>+COMP</f>
        <v>ZHY</v>
      </c>
      <c r="BF1" s="3" t="str">
        <f>+COMP</f>
        <v>ZHY</v>
      </c>
      <c r="BH1" s="3" t="str">
        <f>+COMP</f>
        <v>ZHY</v>
      </c>
      <c r="BI1" s="3" t="str">
        <f>+COMP</f>
        <v>ZHY</v>
      </c>
      <c r="BJ1" s="3" t="str">
        <f>+COMP</f>
        <v>ZHY</v>
      </c>
      <c r="BK1" s="3" t="str">
        <f>+COMP</f>
        <v>ZHY</v>
      </c>
      <c r="BL1" s="3" t="str">
        <f>+COMP</f>
        <v>ZHY</v>
      </c>
      <c r="BM1" s="3" t="str">
        <f>+COMP</f>
        <v>ZHY</v>
      </c>
      <c r="BN1" s="3" t="str">
        <f>+COMP</f>
        <v>ZHY</v>
      </c>
      <c r="BO1" s="3" t="str">
        <f>+COMP</f>
        <v>ZHY</v>
      </c>
      <c r="BP1" s="3" t="str">
        <f>+COMP</f>
        <v>ZHY</v>
      </c>
      <c r="BQ1" s="3" t="str">
        <f>+COMP</f>
        <v>ZHY</v>
      </c>
      <c r="BR1" s="3" t="str">
        <f>+COMP</f>
        <v>ZHY</v>
      </c>
      <c r="BS1" s="3" t="str">
        <f>+COMP</f>
        <v>ZHY</v>
      </c>
      <c r="BT1" s="3" t="str">
        <f>+COMP</f>
        <v>ZHY</v>
      </c>
      <c r="BV1" s="3" t="str">
        <f>+COMP</f>
        <v>ZHY</v>
      </c>
      <c r="BW1" s="3" t="str">
        <f>+COMP</f>
        <v>ZHY</v>
      </c>
      <c r="BX1" s="3" t="str">
        <f>+COMP</f>
        <v>ZHY</v>
      </c>
      <c r="BY1" s="3" t="str">
        <f>+COMP</f>
        <v>ZHY</v>
      </c>
      <c r="BZ1" s="3" t="str">
        <f>+COMP</f>
        <v>ZHY</v>
      </c>
      <c r="CA1" s="3" t="str">
        <f>+COMP</f>
        <v>ZHY</v>
      </c>
      <c r="CB1" s="3" t="str">
        <f>+COMP</f>
        <v>ZHY</v>
      </c>
      <c r="CC1" s="3" t="str">
        <f>+COMP</f>
        <v>ZHY</v>
      </c>
      <c r="CD1" s="3" t="str">
        <f>+COMP</f>
        <v>ZHY</v>
      </c>
      <c r="CE1" s="3" t="str">
        <f>+COMP</f>
        <v>ZHY</v>
      </c>
      <c r="CF1" s="3" t="str">
        <f>+COMP</f>
        <v>ZHY</v>
      </c>
      <c r="CG1" s="3" t="str">
        <f>+COMP</f>
        <v>ZHY</v>
      </c>
      <c r="CH1" s="3" t="str">
        <f>+COMP</f>
        <v>ZHY</v>
      </c>
    </row>
    <row r="2" ht="20.25" customHeight="1">
      <c r="B2" s="2" t="s">
        <v>1</v>
      </c>
      <c r="C2" s="2"/>
      <c r="D2" s="3">
        <f>+YEAR</f>
        <v>2025</v>
      </c>
      <c r="E2" s="3">
        <f>+YEAR</f>
        <v>2025</v>
      </c>
      <c r="F2" s="3">
        <f>+YEAR</f>
        <v>2025</v>
      </c>
      <c r="G2" s="3">
        <f>+YEAR</f>
        <v>2025</v>
      </c>
      <c r="H2" s="3">
        <f>+YEAR</f>
        <v>2025</v>
      </c>
      <c r="I2" s="3">
        <f>+YEAR</f>
        <v>2025</v>
      </c>
      <c r="J2" s="3">
        <f>+YEAR</f>
        <v>2025</v>
      </c>
      <c r="K2" s="3">
        <f>+YEAR</f>
        <v>2025</v>
      </c>
      <c r="L2" s="3">
        <f>+YEAR</f>
        <v>2025</v>
      </c>
      <c r="M2" s="3">
        <f>+YEAR</f>
        <v>2025</v>
      </c>
      <c r="N2" s="3">
        <f>+YEAR</f>
        <v>2025</v>
      </c>
      <c r="O2" s="3">
        <f>+YEAR</f>
        <v>2025</v>
      </c>
      <c r="P2" s="3">
        <f>+YEAR</f>
        <v>2025</v>
      </c>
      <c r="R2" s="3">
        <f>+YEAR_1</f>
        <v>2026</v>
      </c>
      <c r="S2" s="3">
        <f>+YEAR_1</f>
        <v>2026</v>
      </c>
      <c r="T2" s="3">
        <f>+YEAR_1</f>
        <v>2026</v>
      </c>
      <c r="U2" s="3">
        <f>+YEAR_1</f>
        <v>2026</v>
      </c>
      <c r="V2" s="3">
        <f>+YEAR_1</f>
        <v>2026</v>
      </c>
      <c r="W2" s="3">
        <f>+YEAR_1</f>
        <v>2026</v>
      </c>
      <c r="X2" s="3">
        <f>+YEAR_1</f>
        <v>2026</v>
      </c>
      <c r="Y2" s="3">
        <f>+YEAR_1</f>
        <v>2026</v>
      </c>
      <c r="Z2" s="3">
        <f>+YEAR_1</f>
        <v>2026</v>
      </c>
      <c r="AA2" s="3">
        <f>+YEAR_1</f>
        <v>2026</v>
      </c>
      <c r="AB2" s="3">
        <f>+YEAR_1</f>
        <v>2026</v>
      </c>
      <c r="AC2" s="3">
        <f>+YEAR_1</f>
        <v>2026</v>
      </c>
      <c r="AD2" s="3">
        <f>+YEAR+1</f>
        <v>2026</v>
      </c>
      <c r="AF2" s="3">
        <f>+YEAR_2</f>
        <v>2027</v>
      </c>
      <c r="AG2" s="3">
        <f>+YEAR_2</f>
        <v>2027</v>
      </c>
      <c r="AH2" s="3">
        <f>+YEAR_2</f>
        <v>2027</v>
      </c>
      <c r="AI2" s="3">
        <f>+YEAR_2</f>
        <v>2027</v>
      </c>
      <c r="AJ2" s="3">
        <f>+YEAR_2</f>
        <v>2027</v>
      </c>
      <c r="AK2" s="3">
        <f>+YEAR_2</f>
        <v>2027</v>
      </c>
      <c r="AL2" s="3">
        <f>+YEAR_2</f>
        <v>2027</v>
      </c>
      <c r="AM2" s="3">
        <f>+YEAR_2</f>
        <v>2027</v>
      </c>
      <c r="AN2" s="3">
        <f>+YEAR_2</f>
        <v>2027</v>
      </c>
      <c r="AO2" s="3">
        <f>+YEAR_2</f>
        <v>2027</v>
      </c>
      <c r="AP2" s="3">
        <f>+YEAR_2</f>
        <v>2027</v>
      </c>
      <c r="AQ2" s="3">
        <f>+YEAR_2</f>
        <v>2027</v>
      </c>
      <c r="AR2" s="3">
        <f>+YEAR+2</f>
        <v>2027</v>
      </c>
      <c r="AT2" s="3">
        <f>+YEAR_3</f>
        <v>2028</v>
      </c>
      <c r="AU2" s="3">
        <f>+YEAR_3</f>
        <v>2028</v>
      </c>
      <c r="AV2" s="3">
        <f>+YEAR_3</f>
        <v>2028</v>
      </c>
      <c r="AW2" s="3">
        <f>+YEAR_3</f>
        <v>2028</v>
      </c>
      <c r="AX2" s="3">
        <f>+YEAR_3</f>
        <v>2028</v>
      </c>
      <c r="AY2" s="3">
        <f>+YEAR_3</f>
        <v>2028</v>
      </c>
      <c r="AZ2" s="3">
        <f>+YEAR_3</f>
        <v>2028</v>
      </c>
      <c r="BA2" s="3">
        <f>+YEAR_3</f>
        <v>2028</v>
      </c>
      <c r="BB2" s="3">
        <f>+YEAR_3</f>
        <v>2028</v>
      </c>
      <c r="BC2" s="3">
        <f>+YEAR_3</f>
        <v>2028</v>
      </c>
      <c r="BD2" s="3">
        <f>+YEAR_3</f>
        <v>2028</v>
      </c>
      <c r="BE2" s="3">
        <f>+YEAR_3</f>
        <v>2028</v>
      </c>
      <c r="BF2" s="3">
        <f>+YEAR+3</f>
        <v>2028</v>
      </c>
      <c r="BH2" s="3">
        <f>+YEAR_4</f>
        <v>2029</v>
      </c>
      <c r="BI2" s="3">
        <f>+YEAR_4</f>
        <v>2029</v>
      </c>
      <c r="BJ2" s="3">
        <f>+YEAR_4</f>
        <v>2029</v>
      </c>
      <c r="BK2" s="3">
        <f>+YEAR_4</f>
        <v>2029</v>
      </c>
      <c r="BL2" s="3">
        <f>+YEAR_4</f>
        <v>2029</v>
      </c>
      <c r="BM2" s="3">
        <f>+YEAR_4</f>
        <v>2029</v>
      </c>
      <c r="BN2" s="3">
        <f>+YEAR_4</f>
        <v>2029</v>
      </c>
      <c r="BO2" s="3">
        <f>+YEAR_4</f>
        <v>2029</v>
      </c>
      <c r="BP2" s="3">
        <f>+YEAR_4</f>
        <v>2029</v>
      </c>
      <c r="BQ2" s="3">
        <f>+YEAR_4</f>
        <v>2029</v>
      </c>
      <c r="BR2" s="3">
        <f>+YEAR_4</f>
        <v>2029</v>
      </c>
      <c r="BS2" s="3">
        <f>+YEAR_4</f>
        <v>2029</v>
      </c>
      <c r="BT2" s="3">
        <f>+YEAR+4</f>
        <v>2029</v>
      </c>
      <c r="BV2" s="3">
        <f>+YEAR_5</f>
        <v>2030</v>
      </c>
      <c r="BW2" s="3">
        <f>+YEAR_5</f>
        <v>2030</v>
      </c>
      <c r="BX2" s="3">
        <f>+YEAR_5</f>
        <v>2030</v>
      </c>
      <c r="BY2" s="3">
        <f>+YEAR_5</f>
        <v>2030</v>
      </c>
      <c r="BZ2" s="3">
        <f>+YEAR_5</f>
        <v>2030</v>
      </c>
      <c r="CA2" s="3">
        <f>+YEAR_5</f>
        <v>2030</v>
      </c>
      <c r="CB2" s="3">
        <f>+YEAR_5</f>
        <v>2030</v>
      </c>
      <c r="CC2" s="3">
        <f>+YEAR_5</f>
        <v>2030</v>
      </c>
      <c r="CD2" s="3">
        <f>+YEAR_5</f>
        <v>2030</v>
      </c>
      <c r="CE2" s="3">
        <f>+YEAR_5</f>
        <v>2030</v>
      </c>
      <c r="CF2" s="3">
        <f>+YEAR_5</f>
        <v>2030</v>
      </c>
      <c r="CG2" s="3">
        <f>+YEAR_5</f>
        <v>2030</v>
      </c>
      <c r="CH2" s="3">
        <f>+YEAR+5</f>
        <v>2030</v>
      </c>
    </row>
    <row r="3" ht="20.25" customHeight="1">
      <c r="B3" s="2" t="s">
        <v>2</v>
      </c>
      <c r="C3" s="2"/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  <c r="X3" s="3" t="s">
        <v>3</v>
      </c>
      <c r="Y3" s="3" t="s">
        <v>3</v>
      </c>
      <c r="Z3" s="3" t="s">
        <v>3</v>
      </c>
      <c r="AA3" s="3" t="s">
        <v>3</v>
      </c>
      <c r="AB3" s="3" t="s">
        <v>3</v>
      </c>
      <c r="AC3" s="3" t="s">
        <v>3</v>
      </c>
      <c r="AD3" s="3" t="s">
        <v>3</v>
      </c>
      <c r="AF3" s="3" t="s">
        <v>3</v>
      </c>
      <c r="AG3" s="3" t="s">
        <v>3</v>
      </c>
      <c r="AH3" s="3" t="s">
        <v>3</v>
      </c>
      <c r="AI3" s="3" t="s">
        <v>3</v>
      </c>
      <c r="AJ3" s="3" t="s">
        <v>3</v>
      </c>
      <c r="AK3" s="3" t="s">
        <v>3</v>
      </c>
      <c r="AL3" s="3" t="s">
        <v>3</v>
      </c>
      <c r="AM3" s="3" t="s">
        <v>3</v>
      </c>
      <c r="AN3" s="3" t="s">
        <v>3</v>
      </c>
      <c r="AO3" s="3" t="s">
        <v>3</v>
      </c>
      <c r="AP3" s="3" t="s">
        <v>3</v>
      </c>
      <c r="AQ3" s="3" t="s">
        <v>3</v>
      </c>
      <c r="AR3" s="3" t="s">
        <v>3</v>
      </c>
      <c r="AT3" s="3" t="s">
        <v>3</v>
      </c>
      <c r="AU3" s="3" t="s">
        <v>3</v>
      </c>
      <c r="AV3" s="3" t="s">
        <v>3</v>
      </c>
      <c r="AW3" s="3" t="s">
        <v>3</v>
      </c>
      <c r="AX3" s="3" t="s">
        <v>3</v>
      </c>
      <c r="AY3" s="3" t="s">
        <v>3</v>
      </c>
      <c r="AZ3" s="3" t="s">
        <v>3</v>
      </c>
      <c r="BA3" s="3" t="s">
        <v>3</v>
      </c>
      <c r="BB3" s="3" t="s">
        <v>3</v>
      </c>
      <c r="BC3" s="3" t="s">
        <v>3</v>
      </c>
      <c r="BD3" s="3" t="s">
        <v>3</v>
      </c>
      <c r="BE3" s="3" t="s">
        <v>3</v>
      </c>
      <c r="BF3" s="3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3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  <c r="CB3" s="3" t="s">
        <v>3</v>
      </c>
      <c r="CC3" s="3" t="s">
        <v>3</v>
      </c>
      <c r="CD3" s="3" t="s">
        <v>3</v>
      </c>
      <c r="CE3" s="3" t="s">
        <v>3</v>
      </c>
      <c r="CF3" s="3" t="s">
        <v>3</v>
      </c>
      <c r="CG3" s="3" t="s">
        <v>3</v>
      </c>
      <c r="CH3" s="3" t="s">
        <v>3</v>
      </c>
    </row>
    <row r="4" ht="20.25" customHeight="1">
      <c r="B4" s="2" t="s">
        <v>4</v>
      </c>
      <c r="C4" s="2"/>
      <c r="D4" s="3">
        <v>1.0</v>
      </c>
      <c r="E4" s="3">
        <f t="shared" ref="E4:O4" si="1">+D4+1</f>
        <v>2</v>
      </c>
      <c r="F4" s="3">
        <f t="shared" si="1"/>
        <v>3</v>
      </c>
      <c r="G4" s="3">
        <f t="shared" si="1"/>
        <v>4</v>
      </c>
      <c r="H4" s="3">
        <f t="shared" si="1"/>
        <v>5</v>
      </c>
      <c r="I4" s="3">
        <f t="shared" si="1"/>
        <v>6</v>
      </c>
      <c r="J4" s="3">
        <f t="shared" si="1"/>
        <v>7</v>
      </c>
      <c r="K4" s="3">
        <f t="shared" si="1"/>
        <v>8</v>
      </c>
      <c r="L4" s="3">
        <f t="shared" si="1"/>
        <v>9</v>
      </c>
      <c r="M4" s="3">
        <f t="shared" si="1"/>
        <v>10</v>
      </c>
      <c r="N4" s="3">
        <f t="shared" si="1"/>
        <v>11</v>
      </c>
      <c r="O4" s="3">
        <f t="shared" si="1"/>
        <v>12</v>
      </c>
      <c r="P4" s="3" t="s">
        <v>5</v>
      </c>
      <c r="R4" s="3">
        <v>1.0</v>
      </c>
      <c r="S4" s="3">
        <f t="shared" ref="S4:AC4" si="2">+R4+1</f>
        <v>2</v>
      </c>
      <c r="T4" s="3">
        <f t="shared" si="2"/>
        <v>3</v>
      </c>
      <c r="U4" s="3">
        <f t="shared" si="2"/>
        <v>4</v>
      </c>
      <c r="V4" s="3">
        <f t="shared" si="2"/>
        <v>5</v>
      </c>
      <c r="W4" s="3">
        <f t="shared" si="2"/>
        <v>6</v>
      </c>
      <c r="X4" s="3">
        <f t="shared" si="2"/>
        <v>7</v>
      </c>
      <c r="Y4" s="3">
        <f t="shared" si="2"/>
        <v>8</v>
      </c>
      <c r="Z4" s="3">
        <f t="shared" si="2"/>
        <v>9</v>
      </c>
      <c r="AA4" s="3">
        <f t="shared" si="2"/>
        <v>10</v>
      </c>
      <c r="AB4" s="3">
        <f t="shared" si="2"/>
        <v>11</v>
      </c>
      <c r="AC4" s="3">
        <f t="shared" si="2"/>
        <v>12</v>
      </c>
      <c r="AD4" s="3" t="s">
        <v>5</v>
      </c>
      <c r="AF4" s="3">
        <v>1.0</v>
      </c>
      <c r="AG4" s="3">
        <f t="shared" ref="AG4:AQ4" si="3">+AF4+1</f>
        <v>2</v>
      </c>
      <c r="AH4" s="3">
        <f t="shared" si="3"/>
        <v>3</v>
      </c>
      <c r="AI4" s="3">
        <f t="shared" si="3"/>
        <v>4</v>
      </c>
      <c r="AJ4" s="3">
        <f t="shared" si="3"/>
        <v>5</v>
      </c>
      <c r="AK4" s="3">
        <f t="shared" si="3"/>
        <v>6</v>
      </c>
      <c r="AL4" s="3">
        <f t="shared" si="3"/>
        <v>7</v>
      </c>
      <c r="AM4" s="3">
        <f t="shared" si="3"/>
        <v>8</v>
      </c>
      <c r="AN4" s="3">
        <f t="shared" si="3"/>
        <v>9</v>
      </c>
      <c r="AO4" s="3">
        <f t="shared" si="3"/>
        <v>10</v>
      </c>
      <c r="AP4" s="3">
        <f t="shared" si="3"/>
        <v>11</v>
      </c>
      <c r="AQ4" s="3">
        <f t="shared" si="3"/>
        <v>12</v>
      </c>
      <c r="AR4" s="3" t="s">
        <v>5</v>
      </c>
      <c r="AT4" s="3">
        <v>1.0</v>
      </c>
      <c r="AU4" s="3">
        <f t="shared" ref="AU4:BE4" si="4">+AT4+1</f>
        <v>2</v>
      </c>
      <c r="AV4" s="3">
        <f t="shared" si="4"/>
        <v>3</v>
      </c>
      <c r="AW4" s="3">
        <f t="shared" si="4"/>
        <v>4</v>
      </c>
      <c r="AX4" s="3">
        <f t="shared" si="4"/>
        <v>5</v>
      </c>
      <c r="AY4" s="3">
        <f t="shared" si="4"/>
        <v>6</v>
      </c>
      <c r="AZ4" s="3">
        <f t="shared" si="4"/>
        <v>7</v>
      </c>
      <c r="BA4" s="3">
        <f t="shared" si="4"/>
        <v>8</v>
      </c>
      <c r="BB4" s="3">
        <f t="shared" si="4"/>
        <v>9</v>
      </c>
      <c r="BC4" s="3">
        <f t="shared" si="4"/>
        <v>10</v>
      </c>
      <c r="BD4" s="3">
        <f t="shared" si="4"/>
        <v>11</v>
      </c>
      <c r="BE4" s="3">
        <f t="shared" si="4"/>
        <v>12</v>
      </c>
      <c r="BF4" s="3" t="s">
        <v>5</v>
      </c>
      <c r="BH4" s="3">
        <v>1.0</v>
      </c>
      <c r="BI4" s="3">
        <f t="shared" ref="BI4:BS4" si="5">+BH4+1</f>
        <v>2</v>
      </c>
      <c r="BJ4" s="3">
        <f t="shared" si="5"/>
        <v>3</v>
      </c>
      <c r="BK4" s="3">
        <f t="shared" si="5"/>
        <v>4</v>
      </c>
      <c r="BL4" s="3">
        <f t="shared" si="5"/>
        <v>5</v>
      </c>
      <c r="BM4" s="3">
        <f t="shared" si="5"/>
        <v>6</v>
      </c>
      <c r="BN4" s="3">
        <f t="shared" si="5"/>
        <v>7</v>
      </c>
      <c r="BO4" s="3">
        <f t="shared" si="5"/>
        <v>8</v>
      </c>
      <c r="BP4" s="3">
        <f t="shared" si="5"/>
        <v>9</v>
      </c>
      <c r="BQ4" s="3">
        <f t="shared" si="5"/>
        <v>10</v>
      </c>
      <c r="BR4" s="3">
        <f t="shared" si="5"/>
        <v>11</v>
      </c>
      <c r="BS4" s="3">
        <f t="shared" si="5"/>
        <v>12</v>
      </c>
      <c r="BT4" s="3" t="s">
        <v>5</v>
      </c>
      <c r="BV4" s="3">
        <v>1.0</v>
      </c>
      <c r="BW4" s="3">
        <f t="shared" ref="BW4:CF4" si="6">+BV4+1</f>
        <v>2</v>
      </c>
      <c r="BX4" s="3">
        <f t="shared" si="6"/>
        <v>3</v>
      </c>
      <c r="BY4" s="3">
        <f t="shared" si="6"/>
        <v>4</v>
      </c>
      <c r="BZ4" s="3">
        <f t="shared" si="6"/>
        <v>5</v>
      </c>
      <c r="CA4" s="3">
        <f t="shared" si="6"/>
        <v>6</v>
      </c>
      <c r="CB4" s="3">
        <f t="shared" si="6"/>
        <v>7</v>
      </c>
      <c r="CC4" s="3">
        <f t="shared" si="6"/>
        <v>8</v>
      </c>
      <c r="CD4" s="3">
        <f t="shared" si="6"/>
        <v>9</v>
      </c>
      <c r="CE4" s="3">
        <f t="shared" si="6"/>
        <v>10</v>
      </c>
      <c r="CF4" s="3">
        <f t="shared" si="6"/>
        <v>11</v>
      </c>
      <c r="CG4" s="3">
        <f>+CE4+1</f>
        <v>11</v>
      </c>
      <c r="CH4" s="3" t="s">
        <v>5</v>
      </c>
    </row>
    <row r="5" ht="20.25" customHeight="1">
      <c r="B5" s="2" t="s">
        <v>6</v>
      </c>
      <c r="C5" s="2"/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9</v>
      </c>
      <c r="K5" s="3" t="s">
        <v>9</v>
      </c>
      <c r="L5" s="3" t="s">
        <v>9</v>
      </c>
      <c r="M5" s="3" t="s">
        <v>10</v>
      </c>
      <c r="N5" s="3" t="s">
        <v>10</v>
      </c>
      <c r="O5" s="3" t="s">
        <v>10</v>
      </c>
      <c r="P5" s="3"/>
      <c r="R5" s="3" t="s">
        <v>7</v>
      </c>
      <c r="S5" s="3" t="s">
        <v>7</v>
      </c>
      <c r="T5" s="3" t="s">
        <v>7</v>
      </c>
      <c r="U5" s="3" t="s">
        <v>8</v>
      </c>
      <c r="V5" s="3" t="s">
        <v>8</v>
      </c>
      <c r="W5" s="3" t="s">
        <v>8</v>
      </c>
      <c r="X5" s="3" t="s">
        <v>9</v>
      </c>
      <c r="Y5" s="3" t="s">
        <v>9</v>
      </c>
      <c r="Z5" s="3" t="s">
        <v>9</v>
      </c>
      <c r="AA5" s="3" t="s">
        <v>10</v>
      </c>
      <c r="AB5" s="3" t="s">
        <v>10</v>
      </c>
      <c r="AC5" s="3" t="s">
        <v>10</v>
      </c>
      <c r="AD5" s="3"/>
      <c r="AF5" s="3" t="s">
        <v>7</v>
      </c>
      <c r="AG5" s="3" t="s">
        <v>7</v>
      </c>
      <c r="AH5" s="3" t="s">
        <v>7</v>
      </c>
      <c r="AI5" s="3" t="s">
        <v>8</v>
      </c>
      <c r="AJ5" s="3" t="s">
        <v>8</v>
      </c>
      <c r="AK5" s="3" t="s">
        <v>8</v>
      </c>
      <c r="AL5" s="3" t="s">
        <v>9</v>
      </c>
      <c r="AM5" s="3" t="s">
        <v>9</v>
      </c>
      <c r="AN5" s="3" t="s">
        <v>9</v>
      </c>
      <c r="AO5" s="3" t="s">
        <v>10</v>
      </c>
      <c r="AP5" s="3" t="s">
        <v>10</v>
      </c>
      <c r="AQ5" s="3" t="s">
        <v>10</v>
      </c>
      <c r="AR5" s="3"/>
      <c r="AT5" s="3" t="s">
        <v>7</v>
      </c>
      <c r="AU5" s="3" t="s">
        <v>7</v>
      </c>
      <c r="AV5" s="3" t="s">
        <v>7</v>
      </c>
      <c r="AW5" s="3" t="s">
        <v>8</v>
      </c>
      <c r="AX5" s="3" t="s">
        <v>8</v>
      </c>
      <c r="AY5" s="3" t="s">
        <v>8</v>
      </c>
      <c r="AZ5" s="3" t="s">
        <v>9</v>
      </c>
      <c r="BA5" s="3" t="s">
        <v>9</v>
      </c>
      <c r="BB5" s="3" t="s">
        <v>9</v>
      </c>
      <c r="BC5" s="3" t="s">
        <v>10</v>
      </c>
      <c r="BD5" s="3" t="s">
        <v>10</v>
      </c>
      <c r="BE5" s="3" t="s">
        <v>10</v>
      </c>
      <c r="BF5" s="3"/>
      <c r="BH5" s="3" t="s">
        <v>7</v>
      </c>
      <c r="BI5" s="3" t="s">
        <v>7</v>
      </c>
      <c r="BJ5" s="3" t="s">
        <v>7</v>
      </c>
      <c r="BK5" s="3" t="s">
        <v>8</v>
      </c>
      <c r="BL5" s="3" t="s">
        <v>8</v>
      </c>
      <c r="BM5" s="3" t="s">
        <v>8</v>
      </c>
      <c r="BN5" s="3" t="s">
        <v>9</v>
      </c>
      <c r="BO5" s="3" t="s">
        <v>9</v>
      </c>
      <c r="BP5" s="3" t="s">
        <v>9</v>
      </c>
      <c r="BQ5" s="3" t="s">
        <v>10</v>
      </c>
      <c r="BR5" s="3" t="s">
        <v>10</v>
      </c>
      <c r="BS5" s="3" t="s">
        <v>10</v>
      </c>
      <c r="BT5" s="3"/>
      <c r="BV5" s="3" t="s">
        <v>7</v>
      </c>
      <c r="BW5" s="3" t="s">
        <v>7</v>
      </c>
      <c r="BX5" s="3" t="s">
        <v>7</v>
      </c>
      <c r="BY5" s="3" t="s">
        <v>8</v>
      </c>
      <c r="BZ5" s="3" t="s">
        <v>8</v>
      </c>
      <c r="CA5" s="3" t="s">
        <v>8</v>
      </c>
      <c r="CB5" s="3" t="s">
        <v>9</v>
      </c>
      <c r="CC5" s="3" t="s">
        <v>9</v>
      </c>
      <c r="CD5" s="3" t="s">
        <v>9</v>
      </c>
      <c r="CE5" s="3" t="s">
        <v>10</v>
      </c>
      <c r="CF5" s="3" t="s">
        <v>10</v>
      </c>
      <c r="CG5" s="3" t="s">
        <v>10</v>
      </c>
      <c r="CH5" s="3"/>
    </row>
    <row r="6" ht="20.25" customHeight="1">
      <c r="B6" s="2" t="s">
        <v>11</v>
      </c>
      <c r="C6" s="2"/>
      <c r="D6" s="3">
        <f>+IF(D4&lt;=MONTH,1,0)</f>
        <v>1</v>
      </c>
      <c r="E6" s="3">
        <f>+IF(E4&lt;=MONTH,1,0)</f>
        <v>1</v>
      </c>
      <c r="F6" s="3">
        <f>+IF(F4&lt;=MONTH,1,0)</f>
        <v>1</v>
      </c>
      <c r="G6" s="3">
        <f>+IF(G4&lt;=MONTH,1,0)</f>
        <v>1</v>
      </c>
      <c r="H6" s="3">
        <f>+IF(H4&lt;=MONTH,1,0)</f>
        <v>1</v>
      </c>
      <c r="I6" s="3">
        <f>+IF(I4&lt;=MONTH,1,0)</f>
        <v>1</v>
      </c>
      <c r="J6" s="3">
        <f>+IF(J4&lt;=MONTH,1,0)</f>
        <v>1</v>
      </c>
      <c r="K6" s="3">
        <f>+IF(K4&lt;=MONTH,1,0)</f>
        <v>1</v>
      </c>
      <c r="L6" s="3">
        <f>+IF(L4&lt;=MONTH,1,0)</f>
        <v>1</v>
      </c>
      <c r="M6" s="3">
        <f>+IF(M4&lt;=MONTH,1,0)</f>
        <v>1</v>
      </c>
      <c r="N6" s="3">
        <f>+IF(N4&lt;=MONTH,1,0)</f>
        <v>1</v>
      </c>
      <c r="O6" s="3">
        <f>+IF(O4&lt;=MONTH,1,0)</f>
        <v>1</v>
      </c>
      <c r="P6" s="3"/>
      <c r="R6" s="3">
        <f>+IF(R4&lt;=MONTH,1,0)</f>
        <v>1</v>
      </c>
      <c r="S6" s="3">
        <f>+IF(S4&lt;=MONTH,1,0)</f>
        <v>1</v>
      </c>
      <c r="T6" s="3">
        <f>+IF(T4&lt;=MONTH,1,0)</f>
        <v>1</v>
      </c>
      <c r="U6" s="3">
        <f>+IF(U4&lt;=MONTH,1,0)</f>
        <v>1</v>
      </c>
      <c r="V6" s="3">
        <f>+IF(V4&lt;=MONTH,1,0)</f>
        <v>1</v>
      </c>
      <c r="W6" s="3">
        <f>+IF(W4&lt;=MONTH,1,0)</f>
        <v>1</v>
      </c>
      <c r="X6" s="3">
        <f>+IF(X4&lt;=MONTH,1,0)</f>
        <v>1</v>
      </c>
      <c r="Y6" s="3">
        <f>+IF(Y4&lt;=MONTH,1,0)</f>
        <v>1</v>
      </c>
      <c r="Z6" s="3">
        <f>+IF(Z4&lt;=MONTH,1,0)</f>
        <v>1</v>
      </c>
      <c r="AA6" s="3">
        <f>+IF(AA4&lt;=MONTH,1,0)</f>
        <v>1</v>
      </c>
      <c r="AB6" s="3">
        <f>+IF(AB4&lt;=MONTH,1,0)</f>
        <v>1</v>
      </c>
      <c r="AC6" s="3">
        <f>+IF(AC4&lt;=MONTH,1,0)</f>
        <v>1</v>
      </c>
      <c r="AD6" s="3"/>
      <c r="AF6" s="3">
        <f>+IF(AF4&lt;=MONTH,1,0)</f>
        <v>1</v>
      </c>
      <c r="AG6" s="3">
        <f>+IF(AG4&lt;=MONTH,1,0)</f>
        <v>1</v>
      </c>
      <c r="AH6" s="3">
        <f>+IF(AH4&lt;=MONTH,1,0)</f>
        <v>1</v>
      </c>
      <c r="AI6" s="3">
        <f>+IF(AI4&lt;=MONTH,1,0)</f>
        <v>1</v>
      </c>
      <c r="AJ6" s="3">
        <f>+IF(AJ4&lt;=MONTH,1,0)</f>
        <v>1</v>
      </c>
      <c r="AK6" s="3">
        <f>+IF(AK4&lt;=MONTH,1,0)</f>
        <v>1</v>
      </c>
      <c r="AL6" s="3">
        <f>+IF(AL4&lt;=MONTH,1,0)</f>
        <v>1</v>
      </c>
      <c r="AM6" s="3">
        <f>+IF(AM4&lt;=MONTH,1,0)</f>
        <v>1</v>
      </c>
      <c r="AN6" s="3">
        <f>+IF(AN4&lt;=MONTH,1,0)</f>
        <v>1</v>
      </c>
      <c r="AO6" s="3">
        <f>+IF(AO4&lt;=MONTH,1,0)</f>
        <v>1</v>
      </c>
      <c r="AP6" s="3">
        <f>+IF(AP4&lt;=MONTH,1,0)</f>
        <v>1</v>
      </c>
      <c r="AQ6" s="3">
        <f>+IF(AQ4&lt;=MONTH,1,0)</f>
        <v>1</v>
      </c>
      <c r="AR6" s="3"/>
      <c r="AT6" s="3">
        <f>+IF(AT4&lt;=MONTH,1,0)</f>
        <v>1</v>
      </c>
      <c r="AU6" s="3">
        <f>+IF(AU4&lt;=MONTH,1,0)</f>
        <v>1</v>
      </c>
      <c r="AV6" s="3">
        <f>+IF(AV4&lt;=MONTH,1,0)</f>
        <v>1</v>
      </c>
      <c r="AW6" s="3">
        <f>+IF(AW4&lt;=MONTH,1,0)</f>
        <v>1</v>
      </c>
      <c r="AX6" s="3">
        <f>+IF(AX4&lt;=MONTH,1,0)</f>
        <v>1</v>
      </c>
      <c r="AY6" s="3">
        <f>+IF(AY4&lt;=MONTH,1,0)</f>
        <v>1</v>
      </c>
      <c r="AZ6" s="3">
        <f>+IF(AZ4&lt;=MONTH,1,0)</f>
        <v>1</v>
      </c>
      <c r="BA6" s="3">
        <f>+IF(BA4&lt;=MONTH,1,0)</f>
        <v>1</v>
      </c>
      <c r="BB6" s="3">
        <f>+IF(BB4&lt;=MONTH,1,0)</f>
        <v>1</v>
      </c>
      <c r="BC6" s="3">
        <f>+IF(BC4&lt;=MONTH,1,0)</f>
        <v>1</v>
      </c>
      <c r="BD6" s="3">
        <f>+IF(BD4&lt;=MONTH,1,0)</f>
        <v>1</v>
      </c>
      <c r="BE6" s="3">
        <f>+IF(BE4&lt;=MONTH,1,0)</f>
        <v>1</v>
      </c>
      <c r="BF6" s="3"/>
      <c r="BH6" s="3">
        <f>+IF(BH4&lt;=MONTH,1,0)</f>
        <v>1</v>
      </c>
      <c r="BI6" s="3">
        <f>+IF(BI4&lt;=MONTH,1,0)</f>
        <v>1</v>
      </c>
      <c r="BJ6" s="3">
        <f>+IF(BJ4&lt;=MONTH,1,0)</f>
        <v>1</v>
      </c>
      <c r="BK6" s="3">
        <f>+IF(BK4&lt;=MONTH,1,0)</f>
        <v>1</v>
      </c>
      <c r="BL6" s="3">
        <f>+IF(BL4&lt;=MONTH,1,0)</f>
        <v>1</v>
      </c>
      <c r="BM6" s="3">
        <f>+IF(BM4&lt;=MONTH,1,0)</f>
        <v>1</v>
      </c>
      <c r="BN6" s="3">
        <f>+IF(BN4&lt;=MONTH,1,0)</f>
        <v>1</v>
      </c>
      <c r="BO6" s="3">
        <f>+IF(BO4&lt;=MONTH,1,0)</f>
        <v>1</v>
      </c>
      <c r="BP6" s="3">
        <f>+IF(BP4&lt;=MONTH,1,0)</f>
        <v>1</v>
      </c>
      <c r="BQ6" s="3">
        <f>+IF(BQ4&lt;=MONTH,1,0)</f>
        <v>1</v>
      </c>
      <c r="BR6" s="3">
        <f>+IF(BR4&lt;=MONTH,1,0)</f>
        <v>1</v>
      </c>
      <c r="BS6" s="3">
        <f>+IF(BS4&lt;=MONTH,1,0)</f>
        <v>1</v>
      </c>
      <c r="BT6" s="3"/>
      <c r="BV6" s="3">
        <f>+IF(BV4&lt;=MONTH,1,0)</f>
        <v>1</v>
      </c>
      <c r="BW6" s="3">
        <f>+IF(BW4&lt;=MONTH,1,0)</f>
        <v>1</v>
      </c>
      <c r="BX6" s="3">
        <f>+IF(BX4&lt;=MONTH,1,0)</f>
        <v>1</v>
      </c>
      <c r="BY6" s="3">
        <f>+IF(BY4&lt;=MONTH,1,0)</f>
        <v>1</v>
      </c>
      <c r="BZ6" s="3">
        <f>+IF(BZ4&lt;=MONTH,1,0)</f>
        <v>1</v>
      </c>
      <c r="CA6" s="3">
        <f>+IF(CA4&lt;=MONTH,1,0)</f>
        <v>1</v>
      </c>
      <c r="CB6" s="3">
        <f>+IF(CB4&lt;=MONTH,1,0)</f>
        <v>1</v>
      </c>
      <c r="CC6" s="3">
        <f>+IF(CC4&lt;=MONTH,1,0)</f>
        <v>1</v>
      </c>
      <c r="CD6" s="3">
        <f>+IF(CD4&lt;=MONTH,1,0)</f>
        <v>1</v>
      </c>
      <c r="CE6" s="3">
        <f>+IF(CE4&lt;=MONTH,1,0)</f>
        <v>1</v>
      </c>
      <c r="CF6" s="3">
        <f>+IF(CF4&lt;=MONTH,1,0)</f>
        <v>1</v>
      </c>
      <c r="CG6" s="3">
        <f>+IF(CG4&lt;=MONTH,1,0)</f>
        <v>1</v>
      </c>
      <c r="CH6" s="3"/>
    </row>
    <row r="7" ht="31.5" customHeight="1">
      <c r="R7" s="65">
        <f>IND_YEAR_1</f>
        <v>0.056</v>
      </c>
      <c r="S7" s="65" t="s">
        <v>65</v>
      </c>
      <c r="AF7" s="65">
        <f>IND_YEAR_2</f>
        <v>0.051</v>
      </c>
      <c r="AG7" s="65" t="s">
        <v>65</v>
      </c>
      <c r="AT7" s="65">
        <f>IND_YEAR_3</f>
        <v>0.036</v>
      </c>
      <c r="AU7" s="65" t="s">
        <v>65</v>
      </c>
      <c r="BH7" s="65">
        <f>IND_YEAR_4</f>
        <v>0.035</v>
      </c>
      <c r="BI7" s="65" t="s">
        <v>65</v>
      </c>
      <c r="BV7" s="65">
        <f>IND_YEAR_4</f>
        <v>0.035</v>
      </c>
      <c r="BW7" s="65" t="s">
        <v>65</v>
      </c>
    </row>
    <row r="8" ht="13.5" customHeight="1">
      <c r="A8" s="62"/>
      <c r="B8" s="20" t="str">
        <f>+"REVENUES "&amp;COMP</f>
        <v>REVENUES ZHY</v>
      </c>
      <c r="C8" s="20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6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</row>
    <row r="9" ht="13.5" customHeight="1"/>
    <row r="10" ht="21.75" customHeight="1">
      <c r="A10" s="68"/>
      <c r="B10" s="68"/>
      <c r="C10" s="68"/>
      <c r="D10" s="22">
        <f t="shared" ref="D10:P10" si="7">+D2</f>
        <v>2025</v>
      </c>
      <c r="E10" s="22">
        <f t="shared" si="7"/>
        <v>2025</v>
      </c>
      <c r="F10" s="22">
        <f t="shared" si="7"/>
        <v>2025</v>
      </c>
      <c r="G10" s="22">
        <f t="shared" si="7"/>
        <v>2025</v>
      </c>
      <c r="H10" s="22">
        <f t="shared" si="7"/>
        <v>2025</v>
      </c>
      <c r="I10" s="22">
        <f t="shared" si="7"/>
        <v>2025</v>
      </c>
      <c r="J10" s="22">
        <f t="shared" si="7"/>
        <v>2025</v>
      </c>
      <c r="K10" s="22">
        <f t="shared" si="7"/>
        <v>2025</v>
      </c>
      <c r="L10" s="22">
        <f t="shared" si="7"/>
        <v>2025</v>
      </c>
      <c r="M10" s="22">
        <f t="shared" si="7"/>
        <v>2025</v>
      </c>
      <c r="N10" s="22">
        <f t="shared" si="7"/>
        <v>2025</v>
      </c>
      <c r="O10" s="22">
        <f t="shared" si="7"/>
        <v>2025</v>
      </c>
      <c r="P10" s="22">
        <f t="shared" si="7"/>
        <v>2025</v>
      </c>
      <c r="Q10" s="68"/>
      <c r="R10" s="22">
        <f t="shared" ref="R10:AD10" si="8">+R2</f>
        <v>2026</v>
      </c>
      <c r="S10" s="22">
        <f t="shared" si="8"/>
        <v>2026</v>
      </c>
      <c r="T10" s="22">
        <f t="shared" si="8"/>
        <v>2026</v>
      </c>
      <c r="U10" s="22">
        <f t="shared" si="8"/>
        <v>2026</v>
      </c>
      <c r="V10" s="22">
        <f t="shared" si="8"/>
        <v>2026</v>
      </c>
      <c r="W10" s="22">
        <f t="shared" si="8"/>
        <v>2026</v>
      </c>
      <c r="X10" s="22">
        <f t="shared" si="8"/>
        <v>2026</v>
      </c>
      <c r="Y10" s="22">
        <f t="shared" si="8"/>
        <v>2026</v>
      </c>
      <c r="Z10" s="22">
        <f t="shared" si="8"/>
        <v>2026</v>
      </c>
      <c r="AA10" s="22">
        <f t="shared" si="8"/>
        <v>2026</v>
      </c>
      <c r="AB10" s="22">
        <f t="shared" si="8"/>
        <v>2026</v>
      </c>
      <c r="AC10" s="22">
        <f t="shared" si="8"/>
        <v>2026</v>
      </c>
      <c r="AD10" s="22">
        <f t="shared" si="8"/>
        <v>2026</v>
      </c>
      <c r="AE10" s="68"/>
      <c r="AF10" s="22">
        <f t="shared" ref="AF10:AR10" si="9">+AF2</f>
        <v>2027</v>
      </c>
      <c r="AG10" s="22">
        <f t="shared" si="9"/>
        <v>2027</v>
      </c>
      <c r="AH10" s="22">
        <f t="shared" si="9"/>
        <v>2027</v>
      </c>
      <c r="AI10" s="22">
        <f t="shared" si="9"/>
        <v>2027</v>
      </c>
      <c r="AJ10" s="22">
        <f t="shared" si="9"/>
        <v>2027</v>
      </c>
      <c r="AK10" s="22">
        <f t="shared" si="9"/>
        <v>2027</v>
      </c>
      <c r="AL10" s="22">
        <f t="shared" si="9"/>
        <v>2027</v>
      </c>
      <c r="AM10" s="22">
        <f t="shared" si="9"/>
        <v>2027</v>
      </c>
      <c r="AN10" s="22">
        <f t="shared" si="9"/>
        <v>2027</v>
      </c>
      <c r="AO10" s="22">
        <f t="shared" si="9"/>
        <v>2027</v>
      </c>
      <c r="AP10" s="22">
        <f t="shared" si="9"/>
        <v>2027</v>
      </c>
      <c r="AQ10" s="22">
        <f t="shared" si="9"/>
        <v>2027</v>
      </c>
      <c r="AR10" s="21">
        <f t="shared" si="9"/>
        <v>2027</v>
      </c>
      <c r="AS10" s="68"/>
      <c r="AT10" s="22">
        <f t="shared" ref="AT10:BF10" si="10">+AT2</f>
        <v>2028</v>
      </c>
      <c r="AU10" s="22">
        <f t="shared" si="10"/>
        <v>2028</v>
      </c>
      <c r="AV10" s="22">
        <f t="shared" si="10"/>
        <v>2028</v>
      </c>
      <c r="AW10" s="22">
        <f t="shared" si="10"/>
        <v>2028</v>
      </c>
      <c r="AX10" s="22">
        <f t="shared" si="10"/>
        <v>2028</v>
      </c>
      <c r="AY10" s="22">
        <f t="shared" si="10"/>
        <v>2028</v>
      </c>
      <c r="AZ10" s="22">
        <f t="shared" si="10"/>
        <v>2028</v>
      </c>
      <c r="BA10" s="22">
        <f t="shared" si="10"/>
        <v>2028</v>
      </c>
      <c r="BB10" s="22">
        <f t="shared" si="10"/>
        <v>2028</v>
      </c>
      <c r="BC10" s="22">
        <f t="shared" si="10"/>
        <v>2028</v>
      </c>
      <c r="BD10" s="22">
        <f t="shared" si="10"/>
        <v>2028</v>
      </c>
      <c r="BE10" s="22">
        <f t="shared" si="10"/>
        <v>2028</v>
      </c>
      <c r="BF10" s="22">
        <f t="shared" si="10"/>
        <v>2028</v>
      </c>
      <c r="BG10" s="68"/>
      <c r="BH10" s="22">
        <f t="shared" ref="BH10:BT10" si="11">+BH2</f>
        <v>2029</v>
      </c>
      <c r="BI10" s="22">
        <f t="shared" si="11"/>
        <v>2029</v>
      </c>
      <c r="BJ10" s="22">
        <f t="shared" si="11"/>
        <v>2029</v>
      </c>
      <c r="BK10" s="22">
        <f t="shared" si="11"/>
        <v>2029</v>
      </c>
      <c r="BL10" s="22">
        <f t="shared" si="11"/>
        <v>2029</v>
      </c>
      <c r="BM10" s="22">
        <f t="shared" si="11"/>
        <v>2029</v>
      </c>
      <c r="BN10" s="22">
        <f t="shared" si="11"/>
        <v>2029</v>
      </c>
      <c r="BO10" s="22">
        <f t="shared" si="11"/>
        <v>2029</v>
      </c>
      <c r="BP10" s="22">
        <f t="shared" si="11"/>
        <v>2029</v>
      </c>
      <c r="BQ10" s="22">
        <f t="shared" si="11"/>
        <v>2029</v>
      </c>
      <c r="BR10" s="22">
        <f t="shared" si="11"/>
        <v>2029</v>
      </c>
      <c r="BS10" s="22">
        <f t="shared" si="11"/>
        <v>2029</v>
      </c>
      <c r="BT10" s="22">
        <f t="shared" si="11"/>
        <v>2029</v>
      </c>
      <c r="BU10" s="68"/>
      <c r="BV10" s="22">
        <f t="shared" ref="BV10:CH10" si="12">+BV2</f>
        <v>2030</v>
      </c>
      <c r="BW10" s="22">
        <f t="shared" si="12"/>
        <v>2030</v>
      </c>
      <c r="BX10" s="22">
        <f t="shared" si="12"/>
        <v>2030</v>
      </c>
      <c r="BY10" s="22">
        <f t="shared" si="12"/>
        <v>2030</v>
      </c>
      <c r="BZ10" s="22">
        <f t="shared" si="12"/>
        <v>2030</v>
      </c>
      <c r="CA10" s="22">
        <f t="shared" si="12"/>
        <v>2030</v>
      </c>
      <c r="CB10" s="22">
        <f t="shared" si="12"/>
        <v>2030</v>
      </c>
      <c r="CC10" s="22">
        <f t="shared" si="12"/>
        <v>2030</v>
      </c>
      <c r="CD10" s="22">
        <f t="shared" si="12"/>
        <v>2030</v>
      </c>
      <c r="CE10" s="22">
        <f t="shared" si="12"/>
        <v>2030</v>
      </c>
      <c r="CF10" s="22">
        <f t="shared" si="12"/>
        <v>2030</v>
      </c>
      <c r="CG10" s="22">
        <f t="shared" si="12"/>
        <v>2030</v>
      </c>
      <c r="CH10" s="22">
        <f t="shared" si="12"/>
        <v>2030</v>
      </c>
      <c r="CI10" s="68"/>
    </row>
    <row r="11" ht="21.75" customHeight="1">
      <c r="A11" s="68"/>
      <c r="B11" s="68"/>
      <c r="C11" s="68"/>
      <c r="D11" s="22" t="s">
        <v>14</v>
      </c>
      <c r="E11" s="22" t="s">
        <v>15</v>
      </c>
      <c r="F11" s="22" t="s">
        <v>16</v>
      </c>
      <c r="G11" s="22" t="s">
        <v>17</v>
      </c>
      <c r="H11" s="22" t="s">
        <v>18</v>
      </c>
      <c r="I11" s="22" t="s">
        <v>19</v>
      </c>
      <c r="J11" s="22" t="s">
        <v>20</v>
      </c>
      <c r="K11" s="22" t="s">
        <v>21</v>
      </c>
      <c r="L11" s="22" t="s">
        <v>22</v>
      </c>
      <c r="M11" s="22" t="s">
        <v>23</v>
      </c>
      <c r="N11" s="22" t="s">
        <v>24</v>
      </c>
      <c r="O11" s="22" t="s">
        <v>25</v>
      </c>
      <c r="P11" s="22" t="s">
        <v>5</v>
      </c>
      <c r="Q11" s="68"/>
      <c r="R11" s="22" t="s">
        <v>14</v>
      </c>
      <c r="S11" s="22" t="s">
        <v>15</v>
      </c>
      <c r="T11" s="22" t="s">
        <v>16</v>
      </c>
      <c r="U11" s="22" t="s">
        <v>17</v>
      </c>
      <c r="V11" s="22" t="s">
        <v>18</v>
      </c>
      <c r="W11" s="22" t="s">
        <v>19</v>
      </c>
      <c r="X11" s="22" t="s">
        <v>20</v>
      </c>
      <c r="Y11" s="22" t="s">
        <v>21</v>
      </c>
      <c r="Z11" s="22" t="s">
        <v>22</v>
      </c>
      <c r="AA11" s="22" t="s">
        <v>23</v>
      </c>
      <c r="AB11" s="22" t="s">
        <v>24</v>
      </c>
      <c r="AC11" s="22" t="s">
        <v>25</v>
      </c>
      <c r="AD11" s="22" t="s">
        <v>5</v>
      </c>
      <c r="AE11" s="68"/>
      <c r="AF11" s="22" t="s">
        <v>14</v>
      </c>
      <c r="AG11" s="22" t="s">
        <v>15</v>
      </c>
      <c r="AH11" s="22" t="s">
        <v>16</v>
      </c>
      <c r="AI11" s="22" t="s">
        <v>17</v>
      </c>
      <c r="AJ11" s="22" t="s">
        <v>18</v>
      </c>
      <c r="AK11" s="22" t="s">
        <v>19</v>
      </c>
      <c r="AL11" s="22" t="s">
        <v>20</v>
      </c>
      <c r="AM11" s="22" t="s">
        <v>21</v>
      </c>
      <c r="AN11" s="22" t="s">
        <v>22</v>
      </c>
      <c r="AO11" s="22" t="s">
        <v>23</v>
      </c>
      <c r="AP11" s="22" t="s">
        <v>24</v>
      </c>
      <c r="AQ11" s="22" t="s">
        <v>25</v>
      </c>
      <c r="AR11" s="21" t="s">
        <v>5</v>
      </c>
      <c r="AS11" s="68"/>
      <c r="AT11" s="22" t="s">
        <v>14</v>
      </c>
      <c r="AU11" s="22" t="s">
        <v>15</v>
      </c>
      <c r="AV11" s="22" t="s">
        <v>16</v>
      </c>
      <c r="AW11" s="22" t="s">
        <v>17</v>
      </c>
      <c r="AX11" s="22" t="s">
        <v>18</v>
      </c>
      <c r="AY11" s="22" t="s">
        <v>19</v>
      </c>
      <c r="AZ11" s="22" t="s">
        <v>20</v>
      </c>
      <c r="BA11" s="22" t="s">
        <v>21</v>
      </c>
      <c r="BB11" s="22" t="s">
        <v>22</v>
      </c>
      <c r="BC11" s="22" t="s">
        <v>23</v>
      </c>
      <c r="BD11" s="22" t="s">
        <v>24</v>
      </c>
      <c r="BE11" s="22" t="s">
        <v>25</v>
      </c>
      <c r="BF11" s="22" t="s">
        <v>5</v>
      </c>
      <c r="BG11" s="68"/>
      <c r="BH11" s="22" t="s">
        <v>14</v>
      </c>
      <c r="BI11" s="22" t="s">
        <v>15</v>
      </c>
      <c r="BJ11" s="22" t="s">
        <v>16</v>
      </c>
      <c r="BK11" s="22" t="s">
        <v>17</v>
      </c>
      <c r="BL11" s="22" t="s">
        <v>18</v>
      </c>
      <c r="BM11" s="22" t="s">
        <v>19</v>
      </c>
      <c r="BN11" s="22" t="s">
        <v>20</v>
      </c>
      <c r="BO11" s="22" t="s">
        <v>21</v>
      </c>
      <c r="BP11" s="22" t="s">
        <v>22</v>
      </c>
      <c r="BQ11" s="22" t="s">
        <v>23</v>
      </c>
      <c r="BR11" s="22" t="s">
        <v>24</v>
      </c>
      <c r="BS11" s="22" t="s">
        <v>25</v>
      </c>
      <c r="BT11" s="22" t="s">
        <v>5</v>
      </c>
      <c r="BU11" s="68"/>
      <c r="BV11" s="22" t="s">
        <v>14</v>
      </c>
      <c r="BW11" s="22" t="s">
        <v>15</v>
      </c>
      <c r="BX11" s="22" t="s">
        <v>16</v>
      </c>
      <c r="BY11" s="22" t="s">
        <v>17</v>
      </c>
      <c r="BZ11" s="22" t="s">
        <v>18</v>
      </c>
      <c r="CA11" s="22" t="s">
        <v>19</v>
      </c>
      <c r="CB11" s="22" t="s">
        <v>20</v>
      </c>
      <c r="CC11" s="22" t="s">
        <v>21</v>
      </c>
      <c r="CD11" s="22" t="s">
        <v>22</v>
      </c>
      <c r="CE11" s="22" t="s">
        <v>23</v>
      </c>
      <c r="CF11" s="22" t="s">
        <v>24</v>
      </c>
      <c r="CG11" s="22" t="s">
        <v>25</v>
      </c>
      <c r="CH11" s="22" t="s">
        <v>5</v>
      </c>
      <c r="CI11" s="68"/>
    </row>
    <row r="12" ht="21.75" customHeight="1">
      <c r="A12" s="68"/>
      <c r="B12" s="68" t="s">
        <v>148</v>
      </c>
      <c r="C12" s="72" t="s">
        <v>26</v>
      </c>
      <c r="D12" s="75">
        <v>0.0</v>
      </c>
      <c r="E12" s="75">
        <v>0.0</v>
      </c>
      <c r="F12" s="75">
        <v>0.0</v>
      </c>
      <c r="G12" s="75">
        <v>0.0</v>
      </c>
      <c r="H12" s="75">
        <v>0.0</v>
      </c>
      <c r="I12" s="75">
        <v>0.0</v>
      </c>
      <c r="J12" s="75">
        <v>0.0</v>
      </c>
      <c r="K12" s="75">
        <v>0.0</v>
      </c>
      <c r="L12" s="72">
        <f>Products_A!F16</f>
        <v>525</v>
      </c>
      <c r="M12" s="72">
        <f>Products_A!G16</f>
        <v>693</v>
      </c>
      <c r="N12" s="72">
        <f>Products_A!H16</f>
        <v>997.5</v>
      </c>
      <c r="O12" s="72">
        <f>Products_A!I16</f>
        <v>1386</v>
      </c>
      <c r="P12" s="72">
        <f t="shared" ref="P12:P21" si="18">SUM(D12:O12)</f>
        <v>3601.5</v>
      </c>
      <c r="Q12" s="68"/>
      <c r="R12" s="72">
        <f>Products_A!J16</f>
        <v>1680</v>
      </c>
      <c r="S12" s="72">
        <f>Products_A!K16</f>
        <v>2100</v>
      </c>
      <c r="T12" s="72">
        <f>Products_A!L16</f>
        <v>3150</v>
      </c>
      <c r="U12" s="72">
        <f>Products_A!M16</f>
        <v>4200</v>
      </c>
      <c r="V12" s="72">
        <f>Products_A!N16</f>
        <v>5250</v>
      </c>
      <c r="W12" s="72">
        <f>Products_A!O16</f>
        <v>6993</v>
      </c>
      <c r="X12" s="72">
        <f>Products_A!P16</f>
        <v>8925</v>
      </c>
      <c r="Y12" s="72">
        <f>Products_A!Q16</f>
        <v>10500</v>
      </c>
      <c r="Z12" s="72">
        <f t="shared" ref="Z12:AC12" si="13">Y12</f>
        <v>10500</v>
      </c>
      <c r="AA12" s="72">
        <f t="shared" si="13"/>
        <v>10500</v>
      </c>
      <c r="AB12" s="72">
        <f t="shared" si="13"/>
        <v>10500</v>
      </c>
      <c r="AC12" s="72">
        <f t="shared" si="13"/>
        <v>10500</v>
      </c>
      <c r="AD12" s="72">
        <f t="shared" ref="AD12:AD21" si="20">SUM(R12:AC12)</f>
        <v>84798</v>
      </c>
      <c r="AE12" s="68"/>
      <c r="AF12" s="72">
        <f t="shared" ref="AF12:AF21" si="21">AC12*(1+$AF$7)</f>
        <v>11035.5</v>
      </c>
      <c r="AG12" s="72">
        <f t="shared" ref="AG12:AQ12" si="14">AF12</f>
        <v>11035.5</v>
      </c>
      <c r="AH12" s="72">
        <f t="shared" si="14"/>
        <v>11035.5</v>
      </c>
      <c r="AI12" s="72">
        <f t="shared" si="14"/>
        <v>11035.5</v>
      </c>
      <c r="AJ12" s="72">
        <f t="shared" si="14"/>
        <v>11035.5</v>
      </c>
      <c r="AK12" s="72">
        <f t="shared" si="14"/>
        <v>11035.5</v>
      </c>
      <c r="AL12" s="72">
        <f t="shared" si="14"/>
        <v>11035.5</v>
      </c>
      <c r="AM12" s="72">
        <f t="shared" si="14"/>
        <v>11035.5</v>
      </c>
      <c r="AN12" s="72">
        <f t="shared" si="14"/>
        <v>11035.5</v>
      </c>
      <c r="AO12" s="72">
        <f t="shared" si="14"/>
        <v>11035.5</v>
      </c>
      <c r="AP12" s="72">
        <f t="shared" si="14"/>
        <v>11035.5</v>
      </c>
      <c r="AQ12" s="72">
        <f t="shared" si="14"/>
        <v>11035.5</v>
      </c>
      <c r="AR12" s="72">
        <f t="shared" ref="AR12:AR21" si="23">SUM(AF12:AQ12)</f>
        <v>132426</v>
      </c>
      <c r="AS12" s="73"/>
      <c r="AT12" s="72">
        <f t="shared" ref="AT12:AT21" si="24">AQ12*(1+$AT$7)</f>
        <v>11432.778</v>
      </c>
      <c r="AU12" s="72">
        <f t="shared" ref="AU12:BE12" si="15">AT12</f>
        <v>11432.778</v>
      </c>
      <c r="AV12" s="72">
        <f t="shared" si="15"/>
        <v>11432.778</v>
      </c>
      <c r="AW12" s="72">
        <f t="shared" si="15"/>
        <v>11432.778</v>
      </c>
      <c r="AX12" s="72">
        <f t="shared" si="15"/>
        <v>11432.778</v>
      </c>
      <c r="AY12" s="72">
        <f t="shared" si="15"/>
        <v>11432.778</v>
      </c>
      <c r="AZ12" s="72">
        <f t="shared" si="15"/>
        <v>11432.778</v>
      </c>
      <c r="BA12" s="72">
        <f t="shared" si="15"/>
        <v>11432.778</v>
      </c>
      <c r="BB12" s="72">
        <f t="shared" si="15"/>
        <v>11432.778</v>
      </c>
      <c r="BC12" s="72">
        <f t="shared" si="15"/>
        <v>11432.778</v>
      </c>
      <c r="BD12" s="72">
        <f t="shared" si="15"/>
        <v>11432.778</v>
      </c>
      <c r="BE12" s="72">
        <f t="shared" si="15"/>
        <v>11432.778</v>
      </c>
      <c r="BF12" s="72">
        <f t="shared" ref="BF12:BF21" si="26">SUM(AT12:BE12)</f>
        <v>137193.336</v>
      </c>
      <c r="BG12" s="73"/>
      <c r="BH12" s="72">
        <f t="shared" ref="BH12:BH21" si="27">BE12*(1+$BH$7)</f>
        <v>11832.92523</v>
      </c>
      <c r="BI12" s="72">
        <f t="shared" ref="BI12:BS12" si="16">BH12</f>
        <v>11832.92523</v>
      </c>
      <c r="BJ12" s="72">
        <f t="shared" si="16"/>
        <v>11832.92523</v>
      </c>
      <c r="BK12" s="72">
        <f t="shared" si="16"/>
        <v>11832.92523</v>
      </c>
      <c r="BL12" s="72">
        <f t="shared" si="16"/>
        <v>11832.92523</v>
      </c>
      <c r="BM12" s="72">
        <f t="shared" si="16"/>
        <v>11832.92523</v>
      </c>
      <c r="BN12" s="72">
        <f t="shared" si="16"/>
        <v>11832.92523</v>
      </c>
      <c r="BO12" s="72">
        <f t="shared" si="16"/>
        <v>11832.92523</v>
      </c>
      <c r="BP12" s="72">
        <f t="shared" si="16"/>
        <v>11832.92523</v>
      </c>
      <c r="BQ12" s="72">
        <f t="shared" si="16"/>
        <v>11832.92523</v>
      </c>
      <c r="BR12" s="72">
        <f t="shared" si="16"/>
        <v>11832.92523</v>
      </c>
      <c r="BS12" s="72">
        <f t="shared" si="16"/>
        <v>11832.92523</v>
      </c>
      <c r="BT12" s="72">
        <f t="shared" ref="BT12:BT21" si="29">SUM(BH12:BS12)</f>
        <v>141995.1028</v>
      </c>
      <c r="BU12" s="73"/>
      <c r="BV12" s="72">
        <f t="shared" ref="BV12:BV21" si="30">BS12*(1+$BV$7)</f>
        <v>12247.07761</v>
      </c>
      <c r="BW12" s="72">
        <f t="shared" ref="BW12:CG12" si="17">BV12</f>
        <v>12247.07761</v>
      </c>
      <c r="BX12" s="72">
        <f t="shared" si="17"/>
        <v>12247.07761</v>
      </c>
      <c r="BY12" s="72">
        <f t="shared" si="17"/>
        <v>12247.07761</v>
      </c>
      <c r="BZ12" s="72">
        <f t="shared" si="17"/>
        <v>12247.07761</v>
      </c>
      <c r="CA12" s="72">
        <f t="shared" si="17"/>
        <v>12247.07761</v>
      </c>
      <c r="CB12" s="72">
        <f t="shared" si="17"/>
        <v>12247.07761</v>
      </c>
      <c r="CC12" s="72">
        <f t="shared" si="17"/>
        <v>12247.07761</v>
      </c>
      <c r="CD12" s="72">
        <f t="shared" si="17"/>
        <v>12247.07761</v>
      </c>
      <c r="CE12" s="72">
        <f t="shared" si="17"/>
        <v>12247.07761</v>
      </c>
      <c r="CF12" s="72">
        <f t="shared" si="17"/>
        <v>12247.07761</v>
      </c>
      <c r="CG12" s="72">
        <f t="shared" si="17"/>
        <v>12247.07761</v>
      </c>
      <c r="CH12" s="72">
        <f t="shared" ref="CH12:CH21" si="32">SUM(BV12:CG12)</f>
        <v>146964.9314</v>
      </c>
      <c r="CI12" s="73"/>
    </row>
    <row r="13" ht="21.75" customHeight="1">
      <c r="A13" s="68"/>
      <c r="B13" s="68" t="s">
        <v>149</v>
      </c>
      <c r="C13" s="72" t="s">
        <v>27</v>
      </c>
      <c r="D13" s="75">
        <v>0.0</v>
      </c>
      <c r="E13" s="75">
        <v>0.0</v>
      </c>
      <c r="F13" s="75">
        <v>0.0</v>
      </c>
      <c r="G13" s="75">
        <v>0.0</v>
      </c>
      <c r="H13" s="75">
        <v>0.0</v>
      </c>
      <c r="I13" s="75">
        <v>0.0</v>
      </c>
      <c r="J13" s="75">
        <v>0.0</v>
      </c>
      <c r="K13" s="75">
        <v>0.0</v>
      </c>
      <c r="L13" s="72">
        <f>Products_A!F31</f>
        <v>525</v>
      </c>
      <c r="M13" s="72">
        <f>Products_A!G31</f>
        <v>693</v>
      </c>
      <c r="N13" s="72">
        <f>Products_A!H31</f>
        <v>997.5</v>
      </c>
      <c r="O13" s="72">
        <f>Products_A!I31</f>
        <v>1386</v>
      </c>
      <c r="P13" s="72">
        <f t="shared" si="18"/>
        <v>3601.5</v>
      </c>
      <c r="Q13" s="68"/>
      <c r="R13" s="72">
        <f>Products_A!J31</f>
        <v>1680</v>
      </c>
      <c r="S13" s="72">
        <f>Products_A!K31</f>
        <v>2100</v>
      </c>
      <c r="T13" s="72">
        <f>Products_A!L31</f>
        <v>3150</v>
      </c>
      <c r="U13" s="72">
        <f>Products_A!M31</f>
        <v>4200</v>
      </c>
      <c r="V13" s="72">
        <f>Products_A!N31</f>
        <v>5250</v>
      </c>
      <c r="W13" s="72">
        <f>Products_A!O31</f>
        <v>6993</v>
      </c>
      <c r="X13" s="72">
        <f>Products_A!P31</f>
        <v>8925</v>
      </c>
      <c r="Y13" s="72">
        <f>Products_A!Q31</f>
        <v>10500</v>
      </c>
      <c r="Z13" s="72">
        <f t="shared" ref="Z13:AC13" si="19">Y13</f>
        <v>10500</v>
      </c>
      <c r="AA13" s="72">
        <f t="shared" si="19"/>
        <v>10500</v>
      </c>
      <c r="AB13" s="72">
        <f t="shared" si="19"/>
        <v>10500</v>
      </c>
      <c r="AC13" s="72">
        <f t="shared" si="19"/>
        <v>10500</v>
      </c>
      <c r="AD13" s="72">
        <f t="shared" si="20"/>
        <v>84798</v>
      </c>
      <c r="AE13" s="68"/>
      <c r="AF13" s="72">
        <f t="shared" si="21"/>
        <v>11035.5</v>
      </c>
      <c r="AG13" s="72">
        <f t="shared" ref="AG13:AQ13" si="22">AF13</f>
        <v>11035.5</v>
      </c>
      <c r="AH13" s="72">
        <f t="shared" si="22"/>
        <v>11035.5</v>
      </c>
      <c r="AI13" s="72">
        <f t="shared" si="22"/>
        <v>11035.5</v>
      </c>
      <c r="AJ13" s="72">
        <f t="shared" si="22"/>
        <v>11035.5</v>
      </c>
      <c r="AK13" s="72">
        <f t="shared" si="22"/>
        <v>11035.5</v>
      </c>
      <c r="AL13" s="72">
        <f t="shared" si="22"/>
        <v>11035.5</v>
      </c>
      <c r="AM13" s="72">
        <f t="shared" si="22"/>
        <v>11035.5</v>
      </c>
      <c r="AN13" s="72">
        <f t="shared" si="22"/>
        <v>11035.5</v>
      </c>
      <c r="AO13" s="72">
        <f t="shared" si="22"/>
        <v>11035.5</v>
      </c>
      <c r="AP13" s="72">
        <f t="shared" si="22"/>
        <v>11035.5</v>
      </c>
      <c r="AQ13" s="72">
        <f t="shared" si="22"/>
        <v>11035.5</v>
      </c>
      <c r="AR13" s="72">
        <f t="shared" si="23"/>
        <v>132426</v>
      </c>
      <c r="AS13" s="73"/>
      <c r="AT13" s="72">
        <f t="shared" si="24"/>
        <v>11432.778</v>
      </c>
      <c r="AU13" s="72">
        <f t="shared" ref="AU13:BE13" si="25">AT13</f>
        <v>11432.778</v>
      </c>
      <c r="AV13" s="72">
        <f t="shared" si="25"/>
        <v>11432.778</v>
      </c>
      <c r="AW13" s="72">
        <f t="shared" si="25"/>
        <v>11432.778</v>
      </c>
      <c r="AX13" s="72">
        <f t="shared" si="25"/>
        <v>11432.778</v>
      </c>
      <c r="AY13" s="72">
        <f t="shared" si="25"/>
        <v>11432.778</v>
      </c>
      <c r="AZ13" s="72">
        <f t="shared" si="25"/>
        <v>11432.778</v>
      </c>
      <c r="BA13" s="72">
        <f t="shared" si="25"/>
        <v>11432.778</v>
      </c>
      <c r="BB13" s="72">
        <f t="shared" si="25"/>
        <v>11432.778</v>
      </c>
      <c r="BC13" s="72">
        <f t="shared" si="25"/>
        <v>11432.778</v>
      </c>
      <c r="BD13" s="72">
        <f t="shared" si="25"/>
        <v>11432.778</v>
      </c>
      <c r="BE13" s="72">
        <f t="shared" si="25"/>
        <v>11432.778</v>
      </c>
      <c r="BF13" s="72">
        <f t="shared" si="26"/>
        <v>137193.336</v>
      </c>
      <c r="BG13" s="73"/>
      <c r="BH13" s="72">
        <f t="shared" si="27"/>
        <v>11832.92523</v>
      </c>
      <c r="BI13" s="72">
        <f t="shared" ref="BI13:BS13" si="28">BH13</f>
        <v>11832.92523</v>
      </c>
      <c r="BJ13" s="72">
        <f t="shared" si="28"/>
        <v>11832.92523</v>
      </c>
      <c r="BK13" s="72">
        <f t="shared" si="28"/>
        <v>11832.92523</v>
      </c>
      <c r="BL13" s="72">
        <f t="shared" si="28"/>
        <v>11832.92523</v>
      </c>
      <c r="BM13" s="72">
        <f t="shared" si="28"/>
        <v>11832.92523</v>
      </c>
      <c r="BN13" s="72">
        <f t="shared" si="28"/>
        <v>11832.92523</v>
      </c>
      <c r="BO13" s="72">
        <f t="shared" si="28"/>
        <v>11832.92523</v>
      </c>
      <c r="BP13" s="72">
        <f t="shared" si="28"/>
        <v>11832.92523</v>
      </c>
      <c r="BQ13" s="72">
        <f t="shared" si="28"/>
        <v>11832.92523</v>
      </c>
      <c r="BR13" s="72">
        <f t="shared" si="28"/>
        <v>11832.92523</v>
      </c>
      <c r="BS13" s="72">
        <f t="shared" si="28"/>
        <v>11832.92523</v>
      </c>
      <c r="BT13" s="72">
        <f t="shared" si="29"/>
        <v>141995.1028</v>
      </c>
      <c r="BU13" s="73"/>
      <c r="BV13" s="72">
        <f t="shared" si="30"/>
        <v>12247.07761</v>
      </c>
      <c r="BW13" s="72">
        <f t="shared" ref="BW13:CG13" si="31">BV13</f>
        <v>12247.07761</v>
      </c>
      <c r="BX13" s="72">
        <f t="shared" si="31"/>
        <v>12247.07761</v>
      </c>
      <c r="BY13" s="72">
        <f t="shared" si="31"/>
        <v>12247.07761</v>
      </c>
      <c r="BZ13" s="72">
        <f t="shared" si="31"/>
        <v>12247.07761</v>
      </c>
      <c r="CA13" s="72">
        <f t="shared" si="31"/>
        <v>12247.07761</v>
      </c>
      <c r="CB13" s="72">
        <f t="shared" si="31"/>
        <v>12247.07761</v>
      </c>
      <c r="CC13" s="72">
        <f t="shared" si="31"/>
        <v>12247.07761</v>
      </c>
      <c r="CD13" s="72">
        <f t="shared" si="31"/>
        <v>12247.07761</v>
      </c>
      <c r="CE13" s="72">
        <f t="shared" si="31"/>
        <v>12247.07761</v>
      </c>
      <c r="CF13" s="72">
        <f t="shared" si="31"/>
        <v>12247.07761</v>
      </c>
      <c r="CG13" s="72">
        <f t="shared" si="31"/>
        <v>12247.07761</v>
      </c>
      <c r="CH13" s="72">
        <f t="shared" si="32"/>
        <v>146964.9314</v>
      </c>
      <c r="CI13" s="73"/>
    </row>
    <row r="14" ht="21.75" customHeight="1">
      <c r="A14" s="68"/>
      <c r="B14" s="68" t="s">
        <v>150</v>
      </c>
      <c r="C14" s="72" t="s">
        <v>28</v>
      </c>
      <c r="D14" s="75">
        <v>0.0</v>
      </c>
      <c r="E14" s="75">
        <v>0.0</v>
      </c>
      <c r="F14" s="75">
        <v>0.0</v>
      </c>
      <c r="G14" s="75">
        <v>0.0</v>
      </c>
      <c r="H14" s="75">
        <v>0.0</v>
      </c>
      <c r="I14" s="75">
        <v>0.0</v>
      </c>
      <c r="J14" s="75">
        <v>0.0</v>
      </c>
      <c r="K14" s="75">
        <v>0.0</v>
      </c>
      <c r="L14" s="72">
        <f>Products_A!F46</f>
        <v>525</v>
      </c>
      <c r="M14" s="72">
        <f>Products_A!G46</f>
        <v>693</v>
      </c>
      <c r="N14" s="72">
        <f>Products_A!H46</f>
        <v>997.5</v>
      </c>
      <c r="O14" s="72">
        <f>Products_A!I46</f>
        <v>1386</v>
      </c>
      <c r="P14" s="72">
        <f t="shared" si="18"/>
        <v>3601.5</v>
      </c>
      <c r="Q14" s="68"/>
      <c r="R14" s="72">
        <f>Products_A!J46</f>
        <v>1680</v>
      </c>
      <c r="S14" s="72">
        <f>Products_A!K46</f>
        <v>2100</v>
      </c>
      <c r="T14" s="72">
        <f>Products_A!L46</f>
        <v>3150</v>
      </c>
      <c r="U14" s="72">
        <f>Products_A!M46</f>
        <v>4200</v>
      </c>
      <c r="V14" s="72">
        <f>Products_A!N46</f>
        <v>5250</v>
      </c>
      <c r="W14" s="72">
        <f>Products_A!O46</f>
        <v>6993</v>
      </c>
      <c r="X14" s="72">
        <f>Products_A!P46</f>
        <v>8925</v>
      </c>
      <c r="Y14" s="72">
        <f>Products_A!Q46</f>
        <v>10500</v>
      </c>
      <c r="Z14" s="72">
        <f t="shared" ref="Z14:AC14" si="33">Y14</f>
        <v>10500</v>
      </c>
      <c r="AA14" s="72">
        <f t="shared" si="33"/>
        <v>10500</v>
      </c>
      <c r="AB14" s="72">
        <f t="shared" si="33"/>
        <v>10500</v>
      </c>
      <c r="AC14" s="72">
        <f t="shared" si="33"/>
        <v>10500</v>
      </c>
      <c r="AD14" s="72">
        <f t="shared" si="20"/>
        <v>84798</v>
      </c>
      <c r="AE14" s="68"/>
      <c r="AF14" s="72">
        <f t="shared" si="21"/>
        <v>11035.5</v>
      </c>
      <c r="AG14" s="72">
        <f t="shared" ref="AG14:AQ14" si="34">AF14</f>
        <v>11035.5</v>
      </c>
      <c r="AH14" s="72">
        <f t="shared" si="34"/>
        <v>11035.5</v>
      </c>
      <c r="AI14" s="72">
        <f t="shared" si="34"/>
        <v>11035.5</v>
      </c>
      <c r="AJ14" s="72">
        <f t="shared" si="34"/>
        <v>11035.5</v>
      </c>
      <c r="AK14" s="72">
        <f t="shared" si="34"/>
        <v>11035.5</v>
      </c>
      <c r="AL14" s="72">
        <f t="shared" si="34"/>
        <v>11035.5</v>
      </c>
      <c r="AM14" s="72">
        <f t="shared" si="34"/>
        <v>11035.5</v>
      </c>
      <c r="AN14" s="72">
        <f t="shared" si="34"/>
        <v>11035.5</v>
      </c>
      <c r="AO14" s="72">
        <f t="shared" si="34"/>
        <v>11035.5</v>
      </c>
      <c r="AP14" s="72">
        <f t="shared" si="34"/>
        <v>11035.5</v>
      </c>
      <c r="AQ14" s="72">
        <f t="shared" si="34"/>
        <v>11035.5</v>
      </c>
      <c r="AR14" s="72">
        <f t="shared" si="23"/>
        <v>132426</v>
      </c>
      <c r="AS14" s="73"/>
      <c r="AT14" s="72">
        <f t="shared" si="24"/>
        <v>11432.778</v>
      </c>
      <c r="AU14" s="72">
        <f t="shared" ref="AU14:BE14" si="35">AT14</f>
        <v>11432.778</v>
      </c>
      <c r="AV14" s="72">
        <f t="shared" si="35"/>
        <v>11432.778</v>
      </c>
      <c r="AW14" s="72">
        <f t="shared" si="35"/>
        <v>11432.778</v>
      </c>
      <c r="AX14" s="72">
        <f t="shared" si="35"/>
        <v>11432.778</v>
      </c>
      <c r="AY14" s="72">
        <f t="shared" si="35"/>
        <v>11432.778</v>
      </c>
      <c r="AZ14" s="72">
        <f t="shared" si="35"/>
        <v>11432.778</v>
      </c>
      <c r="BA14" s="72">
        <f t="shared" si="35"/>
        <v>11432.778</v>
      </c>
      <c r="BB14" s="72">
        <f t="shared" si="35"/>
        <v>11432.778</v>
      </c>
      <c r="BC14" s="72">
        <f t="shared" si="35"/>
        <v>11432.778</v>
      </c>
      <c r="BD14" s="72">
        <f t="shared" si="35"/>
        <v>11432.778</v>
      </c>
      <c r="BE14" s="72">
        <f t="shared" si="35"/>
        <v>11432.778</v>
      </c>
      <c r="BF14" s="72">
        <f t="shared" si="26"/>
        <v>137193.336</v>
      </c>
      <c r="BG14" s="73"/>
      <c r="BH14" s="72">
        <f t="shared" si="27"/>
        <v>11832.92523</v>
      </c>
      <c r="BI14" s="72">
        <f t="shared" ref="BI14:BS14" si="36">BH14</f>
        <v>11832.92523</v>
      </c>
      <c r="BJ14" s="72">
        <f t="shared" si="36"/>
        <v>11832.92523</v>
      </c>
      <c r="BK14" s="72">
        <f t="shared" si="36"/>
        <v>11832.92523</v>
      </c>
      <c r="BL14" s="72">
        <f t="shared" si="36"/>
        <v>11832.92523</v>
      </c>
      <c r="BM14" s="72">
        <f t="shared" si="36"/>
        <v>11832.92523</v>
      </c>
      <c r="BN14" s="72">
        <f t="shared" si="36"/>
        <v>11832.92523</v>
      </c>
      <c r="BO14" s="72">
        <f t="shared" si="36"/>
        <v>11832.92523</v>
      </c>
      <c r="BP14" s="72">
        <f t="shared" si="36"/>
        <v>11832.92523</v>
      </c>
      <c r="BQ14" s="72">
        <f t="shared" si="36"/>
        <v>11832.92523</v>
      </c>
      <c r="BR14" s="72">
        <f t="shared" si="36"/>
        <v>11832.92523</v>
      </c>
      <c r="BS14" s="72">
        <f t="shared" si="36"/>
        <v>11832.92523</v>
      </c>
      <c r="BT14" s="72">
        <f t="shared" si="29"/>
        <v>141995.1028</v>
      </c>
      <c r="BU14" s="73"/>
      <c r="BV14" s="72">
        <f t="shared" si="30"/>
        <v>12247.07761</v>
      </c>
      <c r="BW14" s="72">
        <f t="shared" ref="BW14:CG14" si="37">BV14</f>
        <v>12247.07761</v>
      </c>
      <c r="BX14" s="72">
        <f t="shared" si="37"/>
        <v>12247.07761</v>
      </c>
      <c r="BY14" s="72">
        <f t="shared" si="37"/>
        <v>12247.07761</v>
      </c>
      <c r="BZ14" s="72">
        <f t="shared" si="37"/>
        <v>12247.07761</v>
      </c>
      <c r="CA14" s="72">
        <f t="shared" si="37"/>
        <v>12247.07761</v>
      </c>
      <c r="CB14" s="72">
        <f t="shared" si="37"/>
        <v>12247.07761</v>
      </c>
      <c r="CC14" s="72">
        <f t="shared" si="37"/>
        <v>12247.07761</v>
      </c>
      <c r="CD14" s="72">
        <f t="shared" si="37"/>
        <v>12247.07761</v>
      </c>
      <c r="CE14" s="72">
        <f t="shared" si="37"/>
        <v>12247.07761</v>
      </c>
      <c r="CF14" s="72">
        <f t="shared" si="37"/>
        <v>12247.07761</v>
      </c>
      <c r="CG14" s="72">
        <f t="shared" si="37"/>
        <v>12247.07761</v>
      </c>
      <c r="CH14" s="72">
        <f t="shared" si="32"/>
        <v>146964.9314</v>
      </c>
      <c r="CI14" s="73"/>
    </row>
    <row r="15" ht="21.75" customHeight="1">
      <c r="A15" s="68"/>
      <c r="B15" s="68" t="s">
        <v>151</v>
      </c>
      <c r="C15" s="72" t="s">
        <v>29</v>
      </c>
      <c r="D15" s="75">
        <v>0.0</v>
      </c>
      <c r="E15" s="75">
        <v>0.0</v>
      </c>
      <c r="F15" s="75">
        <v>0.0</v>
      </c>
      <c r="G15" s="75">
        <v>0.0</v>
      </c>
      <c r="H15" s="75">
        <v>0.0</v>
      </c>
      <c r="I15" s="75">
        <v>0.0</v>
      </c>
      <c r="J15" s="75">
        <v>0.0</v>
      </c>
      <c r="K15" s="75">
        <v>0.0</v>
      </c>
      <c r="L15" s="72">
        <f>Products_A!F61</f>
        <v>0</v>
      </c>
      <c r="M15" s="72">
        <f>Products_A!G61</f>
        <v>0</v>
      </c>
      <c r="N15" s="72">
        <f>Products_A!H61</f>
        <v>525</v>
      </c>
      <c r="O15" s="72">
        <f>Products_A!I61</f>
        <v>693</v>
      </c>
      <c r="P15" s="72">
        <f t="shared" si="18"/>
        <v>1218</v>
      </c>
      <c r="Q15" s="68"/>
      <c r="R15" s="72">
        <f>Products_A!J61</f>
        <v>840</v>
      </c>
      <c r="S15" s="72">
        <f>Products_A!K61</f>
        <v>1050</v>
      </c>
      <c r="T15" s="72">
        <f>Products_A!L61</f>
        <v>1575</v>
      </c>
      <c r="U15" s="72">
        <f>Products_A!M61</f>
        <v>1575</v>
      </c>
      <c r="V15" s="72">
        <f>Products_A!N61</f>
        <v>2100</v>
      </c>
      <c r="W15" s="72">
        <f>Products_A!O61</f>
        <v>2625</v>
      </c>
      <c r="X15" s="72">
        <f>Products_A!P61</f>
        <v>3675</v>
      </c>
      <c r="Y15" s="72">
        <f>Products_A!Q61</f>
        <v>5250</v>
      </c>
      <c r="Z15" s="72">
        <f t="shared" ref="Z15:AC15" si="38">Y15</f>
        <v>5250</v>
      </c>
      <c r="AA15" s="72">
        <f t="shared" si="38"/>
        <v>5250</v>
      </c>
      <c r="AB15" s="72">
        <f t="shared" si="38"/>
        <v>5250</v>
      </c>
      <c r="AC15" s="72">
        <f t="shared" si="38"/>
        <v>5250</v>
      </c>
      <c r="AD15" s="72">
        <f t="shared" si="20"/>
        <v>39690</v>
      </c>
      <c r="AE15" s="68"/>
      <c r="AF15" s="72">
        <f t="shared" si="21"/>
        <v>5517.75</v>
      </c>
      <c r="AG15" s="72">
        <f t="shared" ref="AG15:AQ15" si="39">AF15</f>
        <v>5517.75</v>
      </c>
      <c r="AH15" s="72">
        <f t="shared" si="39"/>
        <v>5517.75</v>
      </c>
      <c r="AI15" s="72">
        <f t="shared" si="39"/>
        <v>5517.75</v>
      </c>
      <c r="AJ15" s="72">
        <f t="shared" si="39"/>
        <v>5517.75</v>
      </c>
      <c r="AK15" s="72">
        <f t="shared" si="39"/>
        <v>5517.75</v>
      </c>
      <c r="AL15" s="72">
        <f t="shared" si="39"/>
        <v>5517.75</v>
      </c>
      <c r="AM15" s="72">
        <f t="shared" si="39"/>
        <v>5517.75</v>
      </c>
      <c r="AN15" s="72">
        <f t="shared" si="39"/>
        <v>5517.75</v>
      </c>
      <c r="AO15" s="72">
        <f t="shared" si="39"/>
        <v>5517.75</v>
      </c>
      <c r="AP15" s="72">
        <f t="shared" si="39"/>
        <v>5517.75</v>
      </c>
      <c r="AQ15" s="72">
        <f t="shared" si="39"/>
        <v>5517.75</v>
      </c>
      <c r="AR15" s="72">
        <f t="shared" si="23"/>
        <v>66213</v>
      </c>
      <c r="AS15" s="73"/>
      <c r="AT15" s="72">
        <f t="shared" si="24"/>
        <v>5716.389</v>
      </c>
      <c r="AU15" s="72">
        <f t="shared" ref="AU15:BE15" si="40">AT15</f>
        <v>5716.389</v>
      </c>
      <c r="AV15" s="72">
        <f t="shared" si="40"/>
        <v>5716.389</v>
      </c>
      <c r="AW15" s="72">
        <f t="shared" si="40"/>
        <v>5716.389</v>
      </c>
      <c r="AX15" s="72">
        <f t="shared" si="40"/>
        <v>5716.389</v>
      </c>
      <c r="AY15" s="72">
        <f t="shared" si="40"/>
        <v>5716.389</v>
      </c>
      <c r="AZ15" s="72">
        <f t="shared" si="40"/>
        <v>5716.389</v>
      </c>
      <c r="BA15" s="72">
        <f t="shared" si="40"/>
        <v>5716.389</v>
      </c>
      <c r="BB15" s="72">
        <f t="shared" si="40"/>
        <v>5716.389</v>
      </c>
      <c r="BC15" s="72">
        <f t="shared" si="40"/>
        <v>5716.389</v>
      </c>
      <c r="BD15" s="72">
        <f t="shared" si="40"/>
        <v>5716.389</v>
      </c>
      <c r="BE15" s="72">
        <f t="shared" si="40"/>
        <v>5716.389</v>
      </c>
      <c r="BF15" s="72">
        <f t="shared" si="26"/>
        <v>68596.668</v>
      </c>
      <c r="BG15" s="73"/>
      <c r="BH15" s="72">
        <f t="shared" si="27"/>
        <v>5916.462615</v>
      </c>
      <c r="BI15" s="72">
        <f t="shared" ref="BI15:BS15" si="41">BH15</f>
        <v>5916.462615</v>
      </c>
      <c r="BJ15" s="72">
        <f t="shared" si="41"/>
        <v>5916.462615</v>
      </c>
      <c r="BK15" s="72">
        <f t="shared" si="41"/>
        <v>5916.462615</v>
      </c>
      <c r="BL15" s="72">
        <f t="shared" si="41"/>
        <v>5916.462615</v>
      </c>
      <c r="BM15" s="72">
        <f t="shared" si="41"/>
        <v>5916.462615</v>
      </c>
      <c r="BN15" s="72">
        <f t="shared" si="41"/>
        <v>5916.462615</v>
      </c>
      <c r="BO15" s="72">
        <f t="shared" si="41"/>
        <v>5916.462615</v>
      </c>
      <c r="BP15" s="72">
        <f t="shared" si="41"/>
        <v>5916.462615</v>
      </c>
      <c r="BQ15" s="72">
        <f t="shared" si="41"/>
        <v>5916.462615</v>
      </c>
      <c r="BR15" s="72">
        <f t="shared" si="41"/>
        <v>5916.462615</v>
      </c>
      <c r="BS15" s="72">
        <f t="shared" si="41"/>
        <v>5916.462615</v>
      </c>
      <c r="BT15" s="72">
        <f t="shared" si="29"/>
        <v>70997.55138</v>
      </c>
      <c r="BU15" s="73"/>
      <c r="BV15" s="72">
        <f t="shared" si="30"/>
        <v>6123.538807</v>
      </c>
      <c r="BW15" s="72">
        <f t="shared" ref="BW15:CG15" si="42">BV15</f>
        <v>6123.538807</v>
      </c>
      <c r="BX15" s="72">
        <f t="shared" si="42"/>
        <v>6123.538807</v>
      </c>
      <c r="BY15" s="72">
        <f t="shared" si="42"/>
        <v>6123.538807</v>
      </c>
      <c r="BZ15" s="72">
        <f t="shared" si="42"/>
        <v>6123.538807</v>
      </c>
      <c r="CA15" s="72">
        <f t="shared" si="42"/>
        <v>6123.538807</v>
      </c>
      <c r="CB15" s="72">
        <f t="shared" si="42"/>
        <v>6123.538807</v>
      </c>
      <c r="CC15" s="72">
        <f t="shared" si="42"/>
        <v>6123.538807</v>
      </c>
      <c r="CD15" s="72">
        <f t="shared" si="42"/>
        <v>6123.538807</v>
      </c>
      <c r="CE15" s="72">
        <f t="shared" si="42"/>
        <v>6123.538807</v>
      </c>
      <c r="CF15" s="72">
        <f t="shared" si="42"/>
        <v>6123.538807</v>
      </c>
      <c r="CG15" s="72">
        <f t="shared" si="42"/>
        <v>6123.538807</v>
      </c>
      <c r="CH15" s="72">
        <f t="shared" si="32"/>
        <v>73482.46568</v>
      </c>
      <c r="CI15" s="73"/>
    </row>
    <row r="16" ht="21.75" customHeight="1">
      <c r="A16" s="68"/>
      <c r="B16" s="68" t="s">
        <v>152</v>
      </c>
      <c r="C16" s="72" t="s">
        <v>30</v>
      </c>
      <c r="D16" s="75">
        <v>0.0</v>
      </c>
      <c r="E16" s="75">
        <v>0.0</v>
      </c>
      <c r="F16" s="75">
        <v>0.0</v>
      </c>
      <c r="G16" s="75">
        <v>0.0</v>
      </c>
      <c r="H16" s="75">
        <v>0.0</v>
      </c>
      <c r="I16" s="75">
        <v>0.0</v>
      </c>
      <c r="J16" s="75">
        <v>0.0</v>
      </c>
      <c r="K16" s="75">
        <v>0.0</v>
      </c>
      <c r="L16" s="72">
        <f>Products_A!F76</f>
        <v>0</v>
      </c>
      <c r="M16" s="72">
        <f>Products_A!G76</f>
        <v>0</v>
      </c>
      <c r="N16" s="72">
        <f>Products_A!H76</f>
        <v>525</v>
      </c>
      <c r="O16" s="72">
        <f>Products_A!I76</f>
        <v>693</v>
      </c>
      <c r="P16" s="72">
        <f t="shared" si="18"/>
        <v>1218</v>
      </c>
      <c r="Q16" s="68"/>
      <c r="R16" s="72">
        <f>Products_A!J76</f>
        <v>840</v>
      </c>
      <c r="S16" s="72">
        <f>Products_A!K76</f>
        <v>1050</v>
      </c>
      <c r="T16" s="72">
        <f>Products_A!L76</f>
        <v>1575</v>
      </c>
      <c r="U16" s="72">
        <f>Products_A!M76</f>
        <v>1575</v>
      </c>
      <c r="V16" s="72">
        <f>Products_A!N76</f>
        <v>2100</v>
      </c>
      <c r="W16" s="72">
        <f>Products_A!O76</f>
        <v>2625</v>
      </c>
      <c r="X16" s="72">
        <f>Products_A!P76</f>
        <v>3675</v>
      </c>
      <c r="Y16" s="72">
        <f>Products_A!Q76</f>
        <v>5250</v>
      </c>
      <c r="Z16" s="72">
        <f t="shared" ref="Z16:AC16" si="43">Y16</f>
        <v>5250</v>
      </c>
      <c r="AA16" s="72">
        <f t="shared" si="43"/>
        <v>5250</v>
      </c>
      <c r="AB16" s="72">
        <f t="shared" si="43"/>
        <v>5250</v>
      </c>
      <c r="AC16" s="72">
        <f t="shared" si="43"/>
        <v>5250</v>
      </c>
      <c r="AD16" s="72">
        <f t="shared" si="20"/>
        <v>39690</v>
      </c>
      <c r="AE16" s="68"/>
      <c r="AF16" s="72">
        <f t="shared" si="21"/>
        <v>5517.75</v>
      </c>
      <c r="AG16" s="72">
        <f t="shared" ref="AG16:AQ16" si="44">AF16</f>
        <v>5517.75</v>
      </c>
      <c r="AH16" s="72">
        <f t="shared" si="44"/>
        <v>5517.75</v>
      </c>
      <c r="AI16" s="72">
        <f t="shared" si="44"/>
        <v>5517.75</v>
      </c>
      <c r="AJ16" s="72">
        <f t="shared" si="44"/>
        <v>5517.75</v>
      </c>
      <c r="AK16" s="72">
        <f t="shared" si="44"/>
        <v>5517.75</v>
      </c>
      <c r="AL16" s="72">
        <f t="shared" si="44"/>
        <v>5517.75</v>
      </c>
      <c r="AM16" s="72">
        <f t="shared" si="44"/>
        <v>5517.75</v>
      </c>
      <c r="AN16" s="72">
        <f t="shared" si="44"/>
        <v>5517.75</v>
      </c>
      <c r="AO16" s="72">
        <f t="shared" si="44"/>
        <v>5517.75</v>
      </c>
      <c r="AP16" s="72">
        <f t="shared" si="44"/>
        <v>5517.75</v>
      </c>
      <c r="AQ16" s="72">
        <f t="shared" si="44"/>
        <v>5517.75</v>
      </c>
      <c r="AR16" s="72">
        <f t="shared" si="23"/>
        <v>66213</v>
      </c>
      <c r="AS16" s="73"/>
      <c r="AT16" s="72">
        <f t="shared" si="24"/>
        <v>5716.389</v>
      </c>
      <c r="AU16" s="72">
        <f t="shared" ref="AU16:BE16" si="45">AT16</f>
        <v>5716.389</v>
      </c>
      <c r="AV16" s="72">
        <f t="shared" si="45"/>
        <v>5716.389</v>
      </c>
      <c r="AW16" s="72">
        <f t="shared" si="45"/>
        <v>5716.389</v>
      </c>
      <c r="AX16" s="72">
        <f t="shared" si="45"/>
        <v>5716.389</v>
      </c>
      <c r="AY16" s="72">
        <f t="shared" si="45"/>
        <v>5716.389</v>
      </c>
      <c r="AZ16" s="72">
        <f t="shared" si="45"/>
        <v>5716.389</v>
      </c>
      <c r="BA16" s="72">
        <f t="shared" si="45"/>
        <v>5716.389</v>
      </c>
      <c r="BB16" s="72">
        <f t="shared" si="45"/>
        <v>5716.389</v>
      </c>
      <c r="BC16" s="72">
        <f t="shared" si="45"/>
        <v>5716.389</v>
      </c>
      <c r="BD16" s="72">
        <f t="shared" si="45"/>
        <v>5716.389</v>
      </c>
      <c r="BE16" s="72">
        <f t="shared" si="45"/>
        <v>5716.389</v>
      </c>
      <c r="BF16" s="72">
        <f t="shared" si="26"/>
        <v>68596.668</v>
      </c>
      <c r="BG16" s="73"/>
      <c r="BH16" s="72">
        <f t="shared" si="27"/>
        <v>5916.462615</v>
      </c>
      <c r="BI16" s="72">
        <f t="shared" ref="BI16:BS16" si="46">BH16</f>
        <v>5916.462615</v>
      </c>
      <c r="BJ16" s="72">
        <f t="shared" si="46"/>
        <v>5916.462615</v>
      </c>
      <c r="BK16" s="72">
        <f t="shared" si="46"/>
        <v>5916.462615</v>
      </c>
      <c r="BL16" s="72">
        <f t="shared" si="46"/>
        <v>5916.462615</v>
      </c>
      <c r="BM16" s="72">
        <f t="shared" si="46"/>
        <v>5916.462615</v>
      </c>
      <c r="BN16" s="72">
        <f t="shared" si="46"/>
        <v>5916.462615</v>
      </c>
      <c r="BO16" s="72">
        <f t="shared" si="46"/>
        <v>5916.462615</v>
      </c>
      <c r="BP16" s="72">
        <f t="shared" si="46"/>
        <v>5916.462615</v>
      </c>
      <c r="BQ16" s="72">
        <f t="shared" si="46"/>
        <v>5916.462615</v>
      </c>
      <c r="BR16" s="72">
        <f t="shared" si="46"/>
        <v>5916.462615</v>
      </c>
      <c r="BS16" s="72">
        <f t="shared" si="46"/>
        <v>5916.462615</v>
      </c>
      <c r="BT16" s="72">
        <f t="shared" si="29"/>
        <v>70997.55138</v>
      </c>
      <c r="BU16" s="73"/>
      <c r="BV16" s="72">
        <f t="shared" si="30"/>
        <v>6123.538807</v>
      </c>
      <c r="BW16" s="72">
        <f t="shared" ref="BW16:CG16" si="47">BV16</f>
        <v>6123.538807</v>
      </c>
      <c r="BX16" s="72">
        <f t="shared" si="47"/>
        <v>6123.538807</v>
      </c>
      <c r="BY16" s="72">
        <f t="shared" si="47"/>
        <v>6123.538807</v>
      </c>
      <c r="BZ16" s="72">
        <f t="shared" si="47"/>
        <v>6123.538807</v>
      </c>
      <c r="CA16" s="72">
        <f t="shared" si="47"/>
        <v>6123.538807</v>
      </c>
      <c r="CB16" s="72">
        <f t="shared" si="47"/>
        <v>6123.538807</v>
      </c>
      <c r="CC16" s="72">
        <f t="shared" si="47"/>
        <v>6123.538807</v>
      </c>
      <c r="CD16" s="72">
        <f t="shared" si="47"/>
        <v>6123.538807</v>
      </c>
      <c r="CE16" s="72">
        <f t="shared" si="47"/>
        <v>6123.538807</v>
      </c>
      <c r="CF16" s="72">
        <f t="shared" si="47"/>
        <v>6123.538807</v>
      </c>
      <c r="CG16" s="72">
        <f t="shared" si="47"/>
        <v>6123.538807</v>
      </c>
      <c r="CH16" s="72">
        <f t="shared" si="32"/>
        <v>73482.46568</v>
      </c>
      <c r="CI16" s="73"/>
    </row>
    <row r="17" ht="21.75" customHeight="1">
      <c r="A17" s="68"/>
      <c r="B17" s="68" t="s">
        <v>153</v>
      </c>
      <c r="C17" s="75" t="s">
        <v>31</v>
      </c>
      <c r="D17" s="75">
        <v>0.0</v>
      </c>
      <c r="E17" s="75">
        <v>0.0</v>
      </c>
      <c r="F17" s="75">
        <v>0.0</v>
      </c>
      <c r="G17" s="75">
        <v>0.0</v>
      </c>
      <c r="H17" s="75">
        <v>0.0</v>
      </c>
      <c r="I17" s="75">
        <v>0.0</v>
      </c>
      <c r="J17" s="75">
        <v>0.0</v>
      </c>
      <c r="K17" s="75">
        <v>0.0</v>
      </c>
      <c r="L17" s="72">
        <f>Products_A!F91</f>
        <v>0</v>
      </c>
      <c r="M17" s="72">
        <f>Products_A!G91</f>
        <v>0</v>
      </c>
      <c r="N17" s="72">
        <f>Products_A!H91</f>
        <v>525</v>
      </c>
      <c r="O17" s="72">
        <f>Products_A!I91</f>
        <v>693</v>
      </c>
      <c r="P17" s="72">
        <f t="shared" si="18"/>
        <v>1218</v>
      </c>
      <c r="Q17" s="68"/>
      <c r="R17" s="72">
        <f>Products_A!J91</f>
        <v>840</v>
      </c>
      <c r="S17" s="72">
        <f>Products_A!K91</f>
        <v>1050</v>
      </c>
      <c r="T17" s="72">
        <f>Products_A!L91</f>
        <v>1575</v>
      </c>
      <c r="U17" s="72">
        <f>Products_A!M91</f>
        <v>1575</v>
      </c>
      <c r="V17" s="72">
        <f>Products_A!N91</f>
        <v>2100</v>
      </c>
      <c r="W17" s="72">
        <f>Products_A!O91</f>
        <v>2625</v>
      </c>
      <c r="X17" s="72">
        <f>Products_A!P91</f>
        <v>3675</v>
      </c>
      <c r="Y17" s="72">
        <f>Products_A!Q91</f>
        <v>5250</v>
      </c>
      <c r="Z17" s="72">
        <f t="shared" ref="Z17:AC17" si="48">Y17</f>
        <v>5250</v>
      </c>
      <c r="AA17" s="72">
        <f t="shared" si="48"/>
        <v>5250</v>
      </c>
      <c r="AB17" s="72">
        <f t="shared" si="48"/>
        <v>5250</v>
      </c>
      <c r="AC17" s="72">
        <f t="shared" si="48"/>
        <v>5250</v>
      </c>
      <c r="AD17" s="72">
        <f t="shared" si="20"/>
        <v>39690</v>
      </c>
      <c r="AE17" s="68"/>
      <c r="AF17" s="72">
        <f t="shared" si="21"/>
        <v>5517.75</v>
      </c>
      <c r="AG17" s="72">
        <f t="shared" ref="AG17:AQ17" si="49">AF17</f>
        <v>5517.75</v>
      </c>
      <c r="AH17" s="72">
        <f t="shared" si="49"/>
        <v>5517.75</v>
      </c>
      <c r="AI17" s="72">
        <f t="shared" si="49"/>
        <v>5517.75</v>
      </c>
      <c r="AJ17" s="72">
        <f t="shared" si="49"/>
        <v>5517.75</v>
      </c>
      <c r="AK17" s="72">
        <f t="shared" si="49"/>
        <v>5517.75</v>
      </c>
      <c r="AL17" s="72">
        <f t="shared" si="49"/>
        <v>5517.75</v>
      </c>
      <c r="AM17" s="72">
        <f t="shared" si="49"/>
        <v>5517.75</v>
      </c>
      <c r="AN17" s="72">
        <f t="shared" si="49"/>
        <v>5517.75</v>
      </c>
      <c r="AO17" s="72">
        <f t="shared" si="49"/>
        <v>5517.75</v>
      </c>
      <c r="AP17" s="72">
        <f t="shared" si="49"/>
        <v>5517.75</v>
      </c>
      <c r="AQ17" s="72">
        <f t="shared" si="49"/>
        <v>5517.75</v>
      </c>
      <c r="AR17" s="72">
        <f t="shared" si="23"/>
        <v>66213</v>
      </c>
      <c r="AS17" s="73"/>
      <c r="AT17" s="72">
        <f t="shared" si="24"/>
        <v>5716.389</v>
      </c>
      <c r="AU17" s="72">
        <f t="shared" ref="AU17:BE17" si="50">AT17</f>
        <v>5716.389</v>
      </c>
      <c r="AV17" s="72">
        <f t="shared" si="50"/>
        <v>5716.389</v>
      </c>
      <c r="AW17" s="72">
        <f t="shared" si="50"/>
        <v>5716.389</v>
      </c>
      <c r="AX17" s="72">
        <f t="shared" si="50"/>
        <v>5716.389</v>
      </c>
      <c r="AY17" s="72">
        <f t="shared" si="50"/>
        <v>5716.389</v>
      </c>
      <c r="AZ17" s="72">
        <f t="shared" si="50"/>
        <v>5716.389</v>
      </c>
      <c r="BA17" s="72">
        <f t="shared" si="50"/>
        <v>5716.389</v>
      </c>
      <c r="BB17" s="72">
        <f t="shared" si="50"/>
        <v>5716.389</v>
      </c>
      <c r="BC17" s="72">
        <f t="shared" si="50"/>
        <v>5716.389</v>
      </c>
      <c r="BD17" s="72">
        <f t="shared" si="50"/>
        <v>5716.389</v>
      </c>
      <c r="BE17" s="72">
        <f t="shared" si="50"/>
        <v>5716.389</v>
      </c>
      <c r="BF17" s="72">
        <f t="shared" si="26"/>
        <v>68596.668</v>
      </c>
      <c r="BG17" s="73">
        <f>SUM(AT17:BE17)</f>
        <v>68596.668</v>
      </c>
      <c r="BH17" s="72">
        <f t="shared" si="27"/>
        <v>5916.462615</v>
      </c>
      <c r="BI17" s="72">
        <f t="shared" ref="BI17:BS17" si="51">BH17</f>
        <v>5916.462615</v>
      </c>
      <c r="BJ17" s="72">
        <f t="shared" si="51"/>
        <v>5916.462615</v>
      </c>
      <c r="BK17" s="72">
        <f t="shared" si="51"/>
        <v>5916.462615</v>
      </c>
      <c r="BL17" s="72">
        <f t="shared" si="51"/>
        <v>5916.462615</v>
      </c>
      <c r="BM17" s="72">
        <f t="shared" si="51"/>
        <v>5916.462615</v>
      </c>
      <c r="BN17" s="72">
        <f t="shared" si="51"/>
        <v>5916.462615</v>
      </c>
      <c r="BO17" s="72">
        <f t="shared" si="51"/>
        <v>5916.462615</v>
      </c>
      <c r="BP17" s="72">
        <f t="shared" si="51"/>
        <v>5916.462615</v>
      </c>
      <c r="BQ17" s="72">
        <f t="shared" si="51"/>
        <v>5916.462615</v>
      </c>
      <c r="BR17" s="72">
        <f t="shared" si="51"/>
        <v>5916.462615</v>
      </c>
      <c r="BS17" s="72">
        <f t="shared" si="51"/>
        <v>5916.462615</v>
      </c>
      <c r="BT17" s="72">
        <f t="shared" si="29"/>
        <v>70997.55138</v>
      </c>
      <c r="BU17" s="73"/>
      <c r="BV17" s="72">
        <f t="shared" si="30"/>
        <v>6123.538807</v>
      </c>
      <c r="BW17" s="72">
        <f t="shared" ref="BW17:CG17" si="52">BV17</f>
        <v>6123.538807</v>
      </c>
      <c r="BX17" s="72">
        <f t="shared" si="52"/>
        <v>6123.538807</v>
      </c>
      <c r="BY17" s="72">
        <f t="shared" si="52"/>
        <v>6123.538807</v>
      </c>
      <c r="BZ17" s="72">
        <f t="shared" si="52"/>
        <v>6123.538807</v>
      </c>
      <c r="CA17" s="72">
        <f t="shared" si="52"/>
        <v>6123.538807</v>
      </c>
      <c r="CB17" s="72">
        <f t="shared" si="52"/>
        <v>6123.538807</v>
      </c>
      <c r="CC17" s="72">
        <f t="shared" si="52"/>
        <v>6123.538807</v>
      </c>
      <c r="CD17" s="72">
        <f t="shared" si="52"/>
        <v>6123.538807</v>
      </c>
      <c r="CE17" s="72">
        <f t="shared" si="52"/>
        <v>6123.538807</v>
      </c>
      <c r="CF17" s="72">
        <f t="shared" si="52"/>
        <v>6123.538807</v>
      </c>
      <c r="CG17" s="72">
        <f t="shared" si="52"/>
        <v>6123.538807</v>
      </c>
      <c r="CH17" s="72">
        <f t="shared" si="32"/>
        <v>73482.46568</v>
      </c>
      <c r="CI17" s="73"/>
    </row>
    <row r="18" ht="21.75" customHeight="1">
      <c r="A18" s="68"/>
      <c r="B18" s="74" t="s">
        <v>154</v>
      </c>
      <c r="C18" s="75" t="s">
        <v>32</v>
      </c>
      <c r="D18" s="75">
        <v>0.0</v>
      </c>
      <c r="E18" s="75">
        <v>0.0</v>
      </c>
      <c r="F18" s="75">
        <v>0.0</v>
      </c>
      <c r="G18" s="75">
        <v>0.0</v>
      </c>
      <c r="H18" s="75">
        <v>0.0</v>
      </c>
      <c r="I18" s="75">
        <v>0.0</v>
      </c>
      <c r="J18" s="75">
        <v>0.0</v>
      </c>
      <c r="K18" s="75">
        <v>0.0</v>
      </c>
      <c r="L18" s="72">
        <f>Products_A!F106</f>
        <v>0</v>
      </c>
      <c r="M18" s="72">
        <f>Products_A!G106</f>
        <v>0</v>
      </c>
      <c r="N18" s="72">
        <f>Products_A!H106</f>
        <v>0</v>
      </c>
      <c r="O18" s="72">
        <f>Products_A!I106</f>
        <v>0</v>
      </c>
      <c r="P18" s="72">
        <f t="shared" si="18"/>
        <v>0</v>
      </c>
      <c r="Q18" s="68"/>
      <c r="R18" s="72">
        <f>Products_A!J106</f>
        <v>0</v>
      </c>
      <c r="S18" s="72">
        <f>Products_A!K106</f>
        <v>0</v>
      </c>
      <c r="T18" s="72">
        <f>Products_A!L106</f>
        <v>0</v>
      </c>
      <c r="U18" s="72">
        <f>Products_A!M106</f>
        <v>0</v>
      </c>
      <c r="V18" s="72">
        <f>Products_A!N106</f>
        <v>1050</v>
      </c>
      <c r="W18" s="72">
        <f>Products_A!O106</f>
        <v>2100</v>
      </c>
      <c r="X18" s="72">
        <f>Products_A!P106</f>
        <v>3150</v>
      </c>
      <c r="Y18" s="72">
        <f>Products_A!Q106</f>
        <v>4725</v>
      </c>
      <c r="Z18" s="72">
        <f t="shared" ref="Z18:AC18" si="53">Y18</f>
        <v>4725</v>
      </c>
      <c r="AA18" s="72">
        <f t="shared" si="53"/>
        <v>4725</v>
      </c>
      <c r="AB18" s="72">
        <f t="shared" si="53"/>
        <v>4725</v>
      </c>
      <c r="AC18" s="72">
        <f t="shared" si="53"/>
        <v>4725</v>
      </c>
      <c r="AD18" s="72">
        <f t="shared" si="20"/>
        <v>29925</v>
      </c>
      <c r="AE18" s="68"/>
      <c r="AF18" s="72">
        <f t="shared" si="21"/>
        <v>4965.975</v>
      </c>
      <c r="AG18" s="72">
        <f t="shared" ref="AG18:AQ18" si="54">AF18</f>
        <v>4965.975</v>
      </c>
      <c r="AH18" s="72">
        <f t="shared" si="54"/>
        <v>4965.975</v>
      </c>
      <c r="AI18" s="72">
        <f t="shared" si="54"/>
        <v>4965.975</v>
      </c>
      <c r="AJ18" s="72">
        <f t="shared" si="54"/>
        <v>4965.975</v>
      </c>
      <c r="AK18" s="72">
        <f t="shared" si="54"/>
        <v>4965.975</v>
      </c>
      <c r="AL18" s="72">
        <f t="shared" si="54"/>
        <v>4965.975</v>
      </c>
      <c r="AM18" s="72">
        <f t="shared" si="54"/>
        <v>4965.975</v>
      </c>
      <c r="AN18" s="72">
        <f t="shared" si="54"/>
        <v>4965.975</v>
      </c>
      <c r="AO18" s="72">
        <f t="shared" si="54"/>
        <v>4965.975</v>
      </c>
      <c r="AP18" s="72">
        <f t="shared" si="54"/>
        <v>4965.975</v>
      </c>
      <c r="AQ18" s="72">
        <f t="shared" si="54"/>
        <v>4965.975</v>
      </c>
      <c r="AR18" s="72">
        <f t="shared" si="23"/>
        <v>59591.7</v>
      </c>
      <c r="AS18" s="73"/>
      <c r="AT18" s="72">
        <f t="shared" si="24"/>
        <v>5144.7501</v>
      </c>
      <c r="AU18" s="72">
        <f t="shared" ref="AU18:BE18" si="55">AT18</f>
        <v>5144.7501</v>
      </c>
      <c r="AV18" s="72">
        <f t="shared" si="55"/>
        <v>5144.7501</v>
      </c>
      <c r="AW18" s="72">
        <f t="shared" si="55"/>
        <v>5144.7501</v>
      </c>
      <c r="AX18" s="72">
        <f t="shared" si="55"/>
        <v>5144.7501</v>
      </c>
      <c r="AY18" s="72">
        <f t="shared" si="55"/>
        <v>5144.7501</v>
      </c>
      <c r="AZ18" s="72">
        <f t="shared" si="55"/>
        <v>5144.7501</v>
      </c>
      <c r="BA18" s="72">
        <f t="shared" si="55"/>
        <v>5144.7501</v>
      </c>
      <c r="BB18" s="72">
        <f t="shared" si="55"/>
        <v>5144.7501</v>
      </c>
      <c r="BC18" s="72">
        <f t="shared" si="55"/>
        <v>5144.7501</v>
      </c>
      <c r="BD18" s="72">
        <f t="shared" si="55"/>
        <v>5144.7501</v>
      </c>
      <c r="BE18" s="72">
        <f t="shared" si="55"/>
        <v>5144.7501</v>
      </c>
      <c r="BF18" s="72">
        <f t="shared" si="26"/>
        <v>61737.0012</v>
      </c>
      <c r="BG18" s="73"/>
      <c r="BH18" s="72">
        <f t="shared" si="27"/>
        <v>5324.816354</v>
      </c>
      <c r="BI18" s="72">
        <f t="shared" ref="BI18:BS18" si="56">BH18</f>
        <v>5324.816354</v>
      </c>
      <c r="BJ18" s="72">
        <f t="shared" si="56"/>
        <v>5324.816354</v>
      </c>
      <c r="BK18" s="72">
        <f t="shared" si="56"/>
        <v>5324.816354</v>
      </c>
      <c r="BL18" s="72">
        <f t="shared" si="56"/>
        <v>5324.816354</v>
      </c>
      <c r="BM18" s="72">
        <f t="shared" si="56"/>
        <v>5324.816354</v>
      </c>
      <c r="BN18" s="72">
        <f t="shared" si="56"/>
        <v>5324.816354</v>
      </c>
      <c r="BO18" s="72">
        <f t="shared" si="56"/>
        <v>5324.816354</v>
      </c>
      <c r="BP18" s="72">
        <f t="shared" si="56"/>
        <v>5324.816354</v>
      </c>
      <c r="BQ18" s="72">
        <f t="shared" si="56"/>
        <v>5324.816354</v>
      </c>
      <c r="BR18" s="72">
        <f t="shared" si="56"/>
        <v>5324.816354</v>
      </c>
      <c r="BS18" s="72">
        <f t="shared" si="56"/>
        <v>5324.816354</v>
      </c>
      <c r="BT18" s="72">
        <f t="shared" si="29"/>
        <v>63897.79624</v>
      </c>
      <c r="BU18" s="73"/>
      <c r="BV18" s="72">
        <f t="shared" si="30"/>
        <v>5511.184926</v>
      </c>
      <c r="BW18" s="72">
        <f t="shared" ref="BW18:CG18" si="57">BV18</f>
        <v>5511.184926</v>
      </c>
      <c r="BX18" s="72">
        <f t="shared" si="57"/>
        <v>5511.184926</v>
      </c>
      <c r="BY18" s="72">
        <f t="shared" si="57"/>
        <v>5511.184926</v>
      </c>
      <c r="BZ18" s="72">
        <f t="shared" si="57"/>
        <v>5511.184926</v>
      </c>
      <c r="CA18" s="72">
        <f t="shared" si="57"/>
        <v>5511.184926</v>
      </c>
      <c r="CB18" s="72">
        <f t="shared" si="57"/>
        <v>5511.184926</v>
      </c>
      <c r="CC18" s="72">
        <f t="shared" si="57"/>
        <v>5511.184926</v>
      </c>
      <c r="CD18" s="72">
        <f t="shared" si="57"/>
        <v>5511.184926</v>
      </c>
      <c r="CE18" s="72">
        <f t="shared" si="57"/>
        <v>5511.184926</v>
      </c>
      <c r="CF18" s="72">
        <f t="shared" si="57"/>
        <v>5511.184926</v>
      </c>
      <c r="CG18" s="72">
        <f t="shared" si="57"/>
        <v>5511.184926</v>
      </c>
      <c r="CH18" s="72">
        <f t="shared" si="32"/>
        <v>66134.21911</v>
      </c>
      <c r="CI18" s="73"/>
    </row>
    <row r="19" ht="21.75" customHeight="1">
      <c r="A19" s="68"/>
      <c r="B19" s="74" t="s">
        <v>155</v>
      </c>
      <c r="C19" s="75" t="s">
        <v>33</v>
      </c>
      <c r="D19" s="75">
        <v>0.0</v>
      </c>
      <c r="E19" s="75">
        <v>0.0</v>
      </c>
      <c r="F19" s="75">
        <v>0.0</v>
      </c>
      <c r="G19" s="75">
        <v>0.0</v>
      </c>
      <c r="H19" s="75">
        <v>0.0</v>
      </c>
      <c r="I19" s="75">
        <v>0.0</v>
      </c>
      <c r="J19" s="75">
        <v>0.0</v>
      </c>
      <c r="K19" s="75">
        <v>0.0</v>
      </c>
      <c r="L19" s="72">
        <f>Products_A!F121</f>
        <v>0</v>
      </c>
      <c r="M19" s="72">
        <f>Products_A!G121</f>
        <v>0</v>
      </c>
      <c r="N19" s="72">
        <f>Products_A!H121</f>
        <v>0</v>
      </c>
      <c r="O19" s="72">
        <f>Products_A!I121</f>
        <v>0</v>
      </c>
      <c r="P19" s="72">
        <f t="shared" si="18"/>
        <v>0</v>
      </c>
      <c r="Q19" s="68"/>
      <c r="R19" s="72">
        <f>Products_A!J121</f>
        <v>0</v>
      </c>
      <c r="S19" s="72">
        <f>Products_A!K121</f>
        <v>0</v>
      </c>
      <c r="T19" s="72">
        <f>Products_A!L121</f>
        <v>0</v>
      </c>
      <c r="U19" s="72">
        <f>Products_A!M121</f>
        <v>0</v>
      </c>
      <c r="V19" s="72">
        <f>Products_A!N121</f>
        <v>1050</v>
      </c>
      <c r="W19" s="72">
        <f>Products_A!O121</f>
        <v>2100</v>
      </c>
      <c r="X19" s="72">
        <f>Products_A!P121</f>
        <v>3150</v>
      </c>
      <c r="Y19" s="72">
        <f>Products_A!Q121</f>
        <v>4725</v>
      </c>
      <c r="Z19" s="72">
        <f t="shared" ref="Z19:AC19" si="58">Y19</f>
        <v>4725</v>
      </c>
      <c r="AA19" s="72">
        <f t="shared" si="58"/>
        <v>4725</v>
      </c>
      <c r="AB19" s="72">
        <f t="shared" si="58"/>
        <v>4725</v>
      </c>
      <c r="AC19" s="72">
        <f t="shared" si="58"/>
        <v>4725</v>
      </c>
      <c r="AD19" s="72">
        <f t="shared" si="20"/>
        <v>29925</v>
      </c>
      <c r="AE19" s="68"/>
      <c r="AF19" s="72">
        <f t="shared" si="21"/>
        <v>4965.975</v>
      </c>
      <c r="AG19" s="72">
        <f t="shared" ref="AG19:AQ19" si="59">AF19</f>
        <v>4965.975</v>
      </c>
      <c r="AH19" s="72">
        <f t="shared" si="59"/>
        <v>4965.975</v>
      </c>
      <c r="AI19" s="72">
        <f t="shared" si="59"/>
        <v>4965.975</v>
      </c>
      <c r="AJ19" s="72">
        <f t="shared" si="59"/>
        <v>4965.975</v>
      </c>
      <c r="AK19" s="72">
        <f t="shared" si="59"/>
        <v>4965.975</v>
      </c>
      <c r="AL19" s="72">
        <f t="shared" si="59"/>
        <v>4965.975</v>
      </c>
      <c r="AM19" s="72">
        <f t="shared" si="59"/>
        <v>4965.975</v>
      </c>
      <c r="AN19" s="72">
        <f t="shared" si="59"/>
        <v>4965.975</v>
      </c>
      <c r="AO19" s="72">
        <f t="shared" si="59"/>
        <v>4965.975</v>
      </c>
      <c r="AP19" s="72">
        <f t="shared" si="59"/>
        <v>4965.975</v>
      </c>
      <c r="AQ19" s="72">
        <f t="shared" si="59"/>
        <v>4965.975</v>
      </c>
      <c r="AR19" s="72">
        <f t="shared" si="23"/>
        <v>59591.7</v>
      </c>
      <c r="AS19" s="73"/>
      <c r="AT19" s="72">
        <f t="shared" si="24"/>
        <v>5144.7501</v>
      </c>
      <c r="AU19" s="72">
        <f t="shared" ref="AU19:BE19" si="60">AT19</f>
        <v>5144.7501</v>
      </c>
      <c r="AV19" s="72">
        <f t="shared" si="60"/>
        <v>5144.7501</v>
      </c>
      <c r="AW19" s="72">
        <f t="shared" si="60"/>
        <v>5144.7501</v>
      </c>
      <c r="AX19" s="72">
        <f t="shared" si="60"/>
        <v>5144.7501</v>
      </c>
      <c r="AY19" s="72">
        <f t="shared" si="60"/>
        <v>5144.7501</v>
      </c>
      <c r="AZ19" s="72">
        <f t="shared" si="60"/>
        <v>5144.7501</v>
      </c>
      <c r="BA19" s="72">
        <f t="shared" si="60"/>
        <v>5144.7501</v>
      </c>
      <c r="BB19" s="72">
        <f t="shared" si="60"/>
        <v>5144.7501</v>
      </c>
      <c r="BC19" s="72">
        <f t="shared" si="60"/>
        <v>5144.7501</v>
      </c>
      <c r="BD19" s="72">
        <f t="shared" si="60"/>
        <v>5144.7501</v>
      </c>
      <c r="BE19" s="72">
        <f t="shared" si="60"/>
        <v>5144.7501</v>
      </c>
      <c r="BF19" s="72">
        <f t="shared" si="26"/>
        <v>61737.0012</v>
      </c>
      <c r="BG19" s="73"/>
      <c r="BH19" s="72">
        <f t="shared" si="27"/>
        <v>5324.816354</v>
      </c>
      <c r="BI19" s="72">
        <f t="shared" ref="BI19:BS19" si="61">BH19</f>
        <v>5324.816354</v>
      </c>
      <c r="BJ19" s="72">
        <f t="shared" si="61"/>
        <v>5324.816354</v>
      </c>
      <c r="BK19" s="72">
        <f t="shared" si="61"/>
        <v>5324.816354</v>
      </c>
      <c r="BL19" s="72">
        <f t="shared" si="61"/>
        <v>5324.816354</v>
      </c>
      <c r="BM19" s="72">
        <f t="shared" si="61"/>
        <v>5324.816354</v>
      </c>
      <c r="BN19" s="72">
        <f t="shared" si="61"/>
        <v>5324.816354</v>
      </c>
      <c r="BO19" s="72">
        <f t="shared" si="61"/>
        <v>5324.816354</v>
      </c>
      <c r="BP19" s="72">
        <f t="shared" si="61"/>
        <v>5324.816354</v>
      </c>
      <c r="BQ19" s="72">
        <f t="shared" si="61"/>
        <v>5324.816354</v>
      </c>
      <c r="BR19" s="72">
        <f t="shared" si="61"/>
        <v>5324.816354</v>
      </c>
      <c r="BS19" s="72">
        <f t="shared" si="61"/>
        <v>5324.816354</v>
      </c>
      <c r="BT19" s="72">
        <f t="shared" si="29"/>
        <v>63897.79624</v>
      </c>
      <c r="BU19" s="73"/>
      <c r="BV19" s="72">
        <f t="shared" si="30"/>
        <v>5511.184926</v>
      </c>
      <c r="BW19" s="72">
        <f t="shared" ref="BW19:CG19" si="62">BV19</f>
        <v>5511.184926</v>
      </c>
      <c r="BX19" s="72">
        <f t="shared" si="62"/>
        <v>5511.184926</v>
      </c>
      <c r="BY19" s="72">
        <f t="shared" si="62"/>
        <v>5511.184926</v>
      </c>
      <c r="BZ19" s="72">
        <f t="shared" si="62"/>
        <v>5511.184926</v>
      </c>
      <c r="CA19" s="72">
        <f t="shared" si="62"/>
        <v>5511.184926</v>
      </c>
      <c r="CB19" s="72">
        <f t="shared" si="62"/>
        <v>5511.184926</v>
      </c>
      <c r="CC19" s="72">
        <f t="shared" si="62"/>
        <v>5511.184926</v>
      </c>
      <c r="CD19" s="72">
        <f t="shared" si="62"/>
        <v>5511.184926</v>
      </c>
      <c r="CE19" s="72">
        <f t="shared" si="62"/>
        <v>5511.184926</v>
      </c>
      <c r="CF19" s="72">
        <f t="shared" si="62"/>
        <v>5511.184926</v>
      </c>
      <c r="CG19" s="72">
        <f t="shared" si="62"/>
        <v>5511.184926</v>
      </c>
      <c r="CH19" s="72">
        <f t="shared" si="32"/>
        <v>66134.21911</v>
      </c>
      <c r="CI19" s="73"/>
    </row>
    <row r="20" ht="21.75" customHeight="1">
      <c r="A20" s="68"/>
      <c r="B20" s="74" t="s">
        <v>156</v>
      </c>
      <c r="C20" s="75" t="s">
        <v>34</v>
      </c>
      <c r="D20" s="75">
        <v>0.0</v>
      </c>
      <c r="E20" s="75">
        <v>0.0</v>
      </c>
      <c r="F20" s="75">
        <v>0.0</v>
      </c>
      <c r="G20" s="75">
        <v>0.0</v>
      </c>
      <c r="H20" s="75">
        <v>0.0</v>
      </c>
      <c r="I20" s="75">
        <v>0.0</v>
      </c>
      <c r="J20" s="75">
        <v>0.0</v>
      </c>
      <c r="K20" s="75">
        <v>0.0</v>
      </c>
      <c r="L20" s="72">
        <f>Products_A!F136</f>
        <v>0</v>
      </c>
      <c r="M20" s="72">
        <f>Products_A!G136</f>
        <v>0</v>
      </c>
      <c r="N20" s="72">
        <f>Products_A!H136</f>
        <v>0</v>
      </c>
      <c r="O20" s="72">
        <f>Products_A!I136</f>
        <v>0</v>
      </c>
      <c r="P20" s="72">
        <f t="shared" si="18"/>
        <v>0</v>
      </c>
      <c r="Q20" s="68"/>
      <c r="R20" s="72">
        <f>Products_A!J136</f>
        <v>0</v>
      </c>
      <c r="S20" s="72">
        <f>Products_A!K136</f>
        <v>0</v>
      </c>
      <c r="T20" s="72">
        <f>Products_A!L136</f>
        <v>0</v>
      </c>
      <c r="U20" s="72">
        <f>Products_A!M136</f>
        <v>0</v>
      </c>
      <c r="V20" s="72">
        <f>Products_A!N136</f>
        <v>1050</v>
      </c>
      <c r="W20" s="72">
        <f>Products_A!O136</f>
        <v>2100</v>
      </c>
      <c r="X20" s="72">
        <f>Products_A!P136</f>
        <v>3150</v>
      </c>
      <c r="Y20" s="72">
        <f>Products_A!Q136</f>
        <v>4725</v>
      </c>
      <c r="Z20" s="72">
        <f t="shared" ref="Z20:AC20" si="63">Y20</f>
        <v>4725</v>
      </c>
      <c r="AA20" s="72">
        <f t="shared" si="63"/>
        <v>4725</v>
      </c>
      <c r="AB20" s="72">
        <f t="shared" si="63"/>
        <v>4725</v>
      </c>
      <c r="AC20" s="72">
        <f t="shared" si="63"/>
        <v>4725</v>
      </c>
      <c r="AD20" s="72">
        <f t="shared" si="20"/>
        <v>29925</v>
      </c>
      <c r="AE20" s="68"/>
      <c r="AF20" s="72">
        <f t="shared" si="21"/>
        <v>4965.975</v>
      </c>
      <c r="AG20" s="72">
        <f t="shared" ref="AG20:AQ20" si="64">AF20</f>
        <v>4965.975</v>
      </c>
      <c r="AH20" s="72">
        <f t="shared" si="64"/>
        <v>4965.975</v>
      </c>
      <c r="AI20" s="72">
        <f t="shared" si="64"/>
        <v>4965.975</v>
      </c>
      <c r="AJ20" s="72">
        <f t="shared" si="64"/>
        <v>4965.975</v>
      </c>
      <c r="AK20" s="72">
        <f t="shared" si="64"/>
        <v>4965.975</v>
      </c>
      <c r="AL20" s="72">
        <f t="shared" si="64"/>
        <v>4965.975</v>
      </c>
      <c r="AM20" s="72">
        <f t="shared" si="64"/>
        <v>4965.975</v>
      </c>
      <c r="AN20" s="72">
        <f t="shared" si="64"/>
        <v>4965.975</v>
      </c>
      <c r="AO20" s="72">
        <f t="shared" si="64"/>
        <v>4965.975</v>
      </c>
      <c r="AP20" s="72">
        <f t="shared" si="64"/>
        <v>4965.975</v>
      </c>
      <c r="AQ20" s="72">
        <f t="shared" si="64"/>
        <v>4965.975</v>
      </c>
      <c r="AR20" s="72">
        <f t="shared" si="23"/>
        <v>59591.7</v>
      </c>
      <c r="AS20" s="73"/>
      <c r="AT20" s="72">
        <f t="shared" si="24"/>
        <v>5144.7501</v>
      </c>
      <c r="AU20" s="72">
        <f t="shared" ref="AU20:BE20" si="65">AT20</f>
        <v>5144.7501</v>
      </c>
      <c r="AV20" s="72">
        <f t="shared" si="65"/>
        <v>5144.7501</v>
      </c>
      <c r="AW20" s="72">
        <f t="shared" si="65"/>
        <v>5144.7501</v>
      </c>
      <c r="AX20" s="72">
        <f t="shared" si="65"/>
        <v>5144.7501</v>
      </c>
      <c r="AY20" s="72">
        <f t="shared" si="65"/>
        <v>5144.7501</v>
      </c>
      <c r="AZ20" s="72">
        <f t="shared" si="65"/>
        <v>5144.7501</v>
      </c>
      <c r="BA20" s="72">
        <f t="shared" si="65"/>
        <v>5144.7501</v>
      </c>
      <c r="BB20" s="72">
        <f t="shared" si="65"/>
        <v>5144.7501</v>
      </c>
      <c r="BC20" s="72">
        <f t="shared" si="65"/>
        <v>5144.7501</v>
      </c>
      <c r="BD20" s="72">
        <f t="shared" si="65"/>
        <v>5144.7501</v>
      </c>
      <c r="BE20" s="72">
        <f t="shared" si="65"/>
        <v>5144.7501</v>
      </c>
      <c r="BF20" s="72">
        <f t="shared" si="26"/>
        <v>61737.0012</v>
      </c>
      <c r="BG20" s="73"/>
      <c r="BH20" s="72">
        <f t="shared" si="27"/>
        <v>5324.816354</v>
      </c>
      <c r="BI20" s="72">
        <f t="shared" ref="BI20:BS20" si="66">BH20</f>
        <v>5324.816354</v>
      </c>
      <c r="BJ20" s="72">
        <f t="shared" si="66"/>
        <v>5324.816354</v>
      </c>
      <c r="BK20" s="72">
        <f t="shared" si="66"/>
        <v>5324.816354</v>
      </c>
      <c r="BL20" s="72">
        <f t="shared" si="66"/>
        <v>5324.816354</v>
      </c>
      <c r="BM20" s="72">
        <f t="shared" si="66"/>
        <v>5324.816354</v>
      </c>
      <c r="BN20" s="72">
        <f t="shared" si="66"/>
        <v>5324.816354</v>
      </c>
      <c r="BO20" s="72">
        <f t="shared" si="66"/>
        <v>5324.816354</v>
      </c>
      <c r="BP20" s="72">
        <f t="shared" si="66"/>
        <v>5324.816354</v>
      </c>
      <c r="BQ20" s="72">
        <f t="shared" si="66"/>
        <v>5324.816354</v>
      </c>
      <c r="BR20" s="72">
        <f t="shared" si="66"/>
        <v>5324.816354</v>
      </c>
      <c r="BS20" s="72">
        <f t="shared" si="66"/>
        <v>5324.816354</v>
      </c>
      <c r="BT20" s="72">
        <f t="shared" si="29"/>
        <v>63897.79624</v>
      </c>
      <c r="BU20" s="73"/>
      <c r="BV20" s="72">
        <f t="shared" si="30"/>
        <v>5511.184926</v>
      </c>
      <c r="BW20" s="72">
        <f t="shared" ref="BW20:CG20" si="67">BV20</f>
        <v>5511.184926</v>
      </c>
      <c r="BX20" s="72">
        <f t="shared" si="67"/>
        <v>5511.184926</v>
      </c>
      <c r="BY20" s="72">
        <f t="shared" si="67"/>
        <v>5511.184926</v>
      </c>
      <c r="BZ20" s="72">
        <f t="shared" si="67"/>
        <v>5511.184926</v>
      </c>
      <c r="CA20" s="72">
        <f t="shared" si="67"/>
        <v>5511.184926</v>
      </c>
      <c r="CB20" s="72">
        <f t="shared" si="67"/>
        <v>5511.184926</v>
      </c>
      <c r="CC20" s="72">
        <f t="shared" si="67"/>
        <v>5511.184926</v>
      </c>
      <c r="CD20" s="72">
        <f t="shared" si="67"/>
        <v>5511.184926</v>
      </c>
      <c r="CE20" s="72">
        <f t="shared" si="67"/>
        <v>5511.184926</v>
      </c>
      <c r="CF20" s="72">
        <f t="shared" si="67"/>
        <v>5511.184926</v>
      </c>
      <c r="CG20" s="72">
        <f t="shared" si="67"/>
        <v>5511.184926</v>
      </c>
      <c r="CH20" s="72">
        <f t="shared" si="32"/>
        <v>66134.21911</v>
      </c>
      <c r="CI20" s="73"/>
    </row>
    <row r="21" ht="21.75" customHeight="1">
      <c r="A21" s="68"/>
      <c r="B21" s="74" t="s">
        <v>157</v>
      </c>
      <c r="C21" s="75" t="s">
        <v>35</v>
      </c>
      <c r="D21" s="75">
        <v>0.0</v>
      </c>
      <c r="E21" s="75">
        <v>0.0</v>
      </c>
      <c r="F21" s="75">
        <v>0.0</v>
      </c>
      <c r="G21" s="75">
        <v>0.0</v>
      </c>
      <c r="H21" s="75">
        <v>0.0</v>
      </c>
      <c r="I21" s="75">
        <v>0.0</v>
      </c>
      <c r="J21" s="75">
        <v>0.0</v>
      </c>
      <c r="K21" s="75">
        <v>0.0</v>
      </c>
      <c r="L21" s="72">
        <f>Products_A!F151</f>
        <v>0</v>
      </c>
      <c r="M21" s="72">
        <f>Products_A!G151</f>
        <v>0</v>
      </c>
      <c r="N21" s="72">
        <f>Products_A!H151</f>
        <v>0</v>
      </c>
      <c r="O21" s="72">
        <f>Products_A!I151</f>
        <v>0</v>
      </c>
      <c r="P21" s="72">
        <f t="shared" si="18"/>
        <v>0</v>
      </c>
      <c r="Q21" s="68"/>
      <c r="R21" s="72">
        <f>Products_A!J151</f>
        <v>0</v>
      </c>
      <c r="S21" s="72">
        <f>Products_A!K151</f>
        <v>0</v>
      </c>
      <c r="T21" s="72">
        <f>Products_A!L151</f>
        <v>0</v>
      </c>
      <c r="U21" s="72">
        <f>Products_A!M151</f>
        <v>0</v>
      </c>
      <c r="V21" s="72">
        <f>Products_A!N151</f>
        <v>1050</v>
      </c>
      <c r="W21" s="72">
        <f>Products_A!O151</f>
        <v>2100</v>
      </c>
      <c r="X21" s="72">
        <f>Products_A!P151</f>
        <v>3150</v>
      </c>
      <c r="Y21" s="72">
        <f>Products_A!Q151</f>
        <v>4725</v>
      </c>
      <c r="Z21" s="72">
        <f t="shared" ref="Z21:AC21" si="68">Y21</f>
        <v>4725</v>
      </c>
      <c r="AA21" s="72">
        <f t="shared" si="68"/>
        <v>4725</v>
      </c>
      <c r="AB21" s="72">
        <f t="shared" si="68"/>
        <v>4725</v>
      </c>
      <c r="AC21" s="72">
        <f t="shared" si="68"/>
        <v>4725</v>
      </c>
      <c r="AD21" s="72">
        <f t="shared" si="20"/>
        <v>29925</v>
      </c>
      <c r="AE21" s="68"/>
      <c r="AF21" s="72">
        <f t="shared" si="21"/>
        <v>4965.975</v>
      </c>
      <c r="AG21" s="72">
        <f t="shared" ref="AG21:AQ21" si="69">AF21</f>
        <v>4965.975</v>
      </c>
      <c r="AH21" s="72">
        <f t="shared" si="69"/>
        <v>4965.975</v>
      </c>
      <c r="AI21" s="72">
        <f t="shared" si="69"/>
        <v>4965.975</v>
      </c>
      <c r="AJ21" s="72">
        <f t="shared" si="69"/>
        <v>4965.975</v>
      </c>
      <c r="AK21" s="72">
        <f t="shared" si="69"/>
        <v>4965.975</v>
      </c>
      <c r="AL21" s="72">
        <f t="shared" si="69"/>
        <v>4965.975</v>
      </c>
      <c r="AM21" s="72">
        <f t="shared" si="69"/>
        <v>4965.975</v>
      </c>
      <c r="AN21" s="72">
        <f t="shared" si="69"/>
        <v>4965.975</v>
      </c>
      <c r="AO21" s="72">
        <f t="shared" si="69"/>
        <v>4965.975</v>
      </c>
      <c r="AP21" s="72">
        <f t="shared" si="69"/>
        <v>4965.975</v>
      </c>
      <c r="AQ21" s="72">
        <f t="shared" si="69"/>
        <v>4965.975</v>
      </c>
      <c r="AR21" s="72">
        <f t="shared" si="23"/>
        <v>59591.7</v>
      </c>
      <c r="AS21" s="73"/>
      <c r="AT21" s="72">
        <f t="shared" si="24"/>
        <v>5144.7501</v>
      </c>
      <c r="AU21" s="72">
        <f t="shared" ref="AU21:BE21" si="70">AT21</f>
        <v>5144.7501</v>
      </c>
      <c r="AV21" s="72">
        <f t="shared" si="70"/>
        <v>5144.7501</v>
      </c>
      <c r="AW21" s="72">
        <f t="shared" si="70"/>
        <v>5144.7501</v>
      </c>
      <c r="AX21" s="72">
        <f t="shared" si="70"/>
        <v>5144.7501</v>
      </c>
      <c r="AY21" s="72">
        <f t="shared" si="70"/>
        <v>5144.7501</v>
      </c>
      <c r="AZ21" s="72">
        <f t="shared" si="70"/>
        <v>5144.7501</v>
      </c>
      <c r="BA21" s="72">
        <f t="shared" si="70"/>
        <v>5144.7501</v>
      </c>
      <c r="BB21" s="72">
        <f t="shared" si="70"/>
        <v>5144.7501</v>
      </c>
      <c r="BC21" s="72">
        <f t="shared" si="70"/>
        <v>5144.7501</v>
      </c>
      <c r="BD21" s="72">
        <f t="shared" si="70"/>
        <v>5144.7501</v>
      </c>
      <c r="BE21" s="72">
        <f t="shared" si="70"/>
        <v>5144.7501</v>
      </c>
      <c r="BF21" s="72">
        <f t="shared" si="26"/>
        <v>61737.0012</v>
      </c>
      <c r="BG21" s="73"/>
      <c r="BH21" s="72">
        <f t="shared" si="27"/>
        <v>5324.816354</v>
      </c>
      <c r="BI21" s="72">
        <f t="shared" ref="BI21:BS21" si="71">BH21</f>
        <v>5324.816354</v>
      </c>
      <c r="BJ21" s="72">
        <f t="shared" si="71"/>
        <v>5324.816354</v>
      </c>
      <c r="BK21" s="72">
        <f t="shared" si="71"/>
        <v>5324.816354</v>
      </c>
      <c r="BL21" s="72">
        <f t="shared" si="71"/>
        <v>5324.816354</v>
      </c>
      <c r="BM21" s="72">
        <f t="shared" si="71"/>
        <v>5324.816354</v>
      </c>
      <c r="BN21" s="72">
        <f t="shared" si="71"/>
        <v>5324.816354</v>
      </c>
      <c r="BO21" s="72">
        <f t="shared" si="71"/>
        <v>5324.816354</v>
      </c>
      <c r="BP21" s="72">
        <f t="shared" si="71"/>
        <v>5324.816354</v>
      </c>
      <c r="BQ21" s="72">
        <f t="shared" si="71"/>
        <v>5324.816354</v>
      </c>
      <c r="BR21" s="72">
        <f t="shared" si="71"/>
        <v>5324.816354</v>
      </c>
      <c r="BS21" s="72">
        <f t="shared" si="71"/>
        <v>5324.816354</v>
      </c>
      <c r="BT21" s="72">
        <f t="shared" si="29"/>
        <v>63897.79624</v>
      </c>
      <c r="BU21" s="73"/>
      <c r="BV21" s="72">
        <f t="shared" si="30"/>
        <v>5511.184926</v>
      </c>
      <c r="BW21" s="72">
        <f t="shared" ref="BW21:CG21" si="72">BV21</f>
        <v>5511.184926</v>
      </c>
      <c r="BX21" s="72">
        <f t="shared" si="72"/>
        <v>5511.184926</v>
      </c>
      <c r="BY21" s="72">
        <f t="shared" si="72"/>
        <v>5511.184926</v>
      </c>
      <c r="BZ21" s="72">
        <f t="shared" si="72"/>
        <v>5511.184926</v>
      </c>
      <c r="CA21" s="72">
        <f t="shared" si="72"/>
        <v>5511.184926</v>
      </c>
      <c r="CB21" s="72">
        <f t="shared" si="72"/>
        <v>5511.184926</v>
      </c>
      <c r="CC21" s="72">
        <f t="shared" si="72"/>
        <v>5511.184926</v>
      </c>
      <c r="CD21" s="72">
        <f t="shared" si="72"/>
        <v>5511.184926</v>
      </c>
      <c r="CE21" s="72">
        <f t="shared" si="72"/>
        <v>5511.184926</v>
      </c>
      <c r="CF21" s="72">
        <f t="shared" si="72"/>
        <v>5511.184926</v>
      </c>
      <c r="CG21" s="72">
        <f t="shared" si="72"/>
        <v>5511.184926</v>
      </c>
      <c r="CH21" s="72">
        <f t="shared" si="32"/>
        <v>66134.21911</v>
      </c>
      <c r="CI21" s="73"/>
    </row>
    <row r="22" ht="21.75" customHeight="1">
      <c r="A22" s="68"/>
      <c r="B22" s="68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68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68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3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3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3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3"/>
    </row>
    <row r="23" ht="21.75" customHeight="1">
      <c r="A23" s="68"/>
      <c r="B23" s="74" t="s">
        <v>5</v>
      </c>
      <c r="C23" s="75" t="s">
        <v>158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>
        <f>SUM(P11:P21)</f>
        <v>14458.5</v>
      </c>
      <c r="Q23" s="68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>
        <f>SUM(AD12:AD21)</f>
        <v>493164</v>
      </c>
      <c r="AE23" s="68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3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3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3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3"/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5.88"/>
    <col customWidth="1" min="3" max="3" width="50.38"/>
    <col customWidth="1" min="4" max="4" width="7.38"/>
    <col customWidth="1" min="5" max="17" width="10.0"/>
    <col customWidth="1" min="18" max="19" width="8.63"/>
    <col customWidth="1" min="20" max="20" width="12.13"/>
    <col customWidth="1" min="21" max="26" width="8.63"/>
  </cols>
  <sheetData>
    <row r="1" ht="13.5" customHeight="1"/>
    <row r="2" ht="13.5" customHeight="1"/>
    <row r="3" ht="24.0" customHeight="1">
      <c r="A3" s="66"/>
      <c r="B3" s="79" t="s">
        <v>26</v>
      </c>
      <c r="C3" s="143" t="s">
        <v>159</v>
      </c>
      <c r="D3" s="79"/>
      <c r="E3" s="80"/>
      <c r="F3" s="144">
        <v>1.0</v>
      </c>
      <c r="G3" s="144">
        <v>2.0</v>
      </c>
      <c r="H3" s="144">
        <v>3.0</v>
      </c>
      <c r="I3" s="144">
        <v>4.0</v>
      </c>
      <c r="J3" s="144">
        <v>5.0</v>
      </c>
      <c r="K3" s="144">
        <v>6.0</v>
      </c>
      <c r="L3" s="144">
        <v>7.0</v>
      </c>
      <c r="M3" s="144">
        <v>8.0</v>
      </c>
      <c r="N3" s="144">
        <v>9.0</v>
      </c>
      <c r="O3" s="144">
        <v>10.0</v>
      </c>
      <c r="P3" s="144">
        <v>11.0</v>
      </c>
      <c r="Q3" s="144">
        <v>12.0</v>
      </c>
      <c r="R3" s="66"/>
      <c r="S3" s="66"/>
      <c r="T3" s="66"/>
      <c r="U3" s="66"/>
      <c r="V3" s="66"/>
      <c r="W3" s="66"/>
      <c r="X3" s="66"/>
      <c r="Y3" s="66"/>
      <c r="Z3" s="66"/>
    </row>
    <row r="4" ht="13.5" customHeight="1">
      <c r="C4" s="82" t="s">
        <v>160</v>
      </c>
      <c r="D4" s="82"/>
      <c r="E4" s="99" t="s">
        <v>161</v>
      </c>
      <c r="F4" s="145">
        <f>T7</f>
        <v>1.5</v>
      </c>
      <c r="G4" s="145">
        <f t="shared" ref="G4:Q4" si="1">F4</f>
        <v>1.5</v>
      </c>
      <c r="H4" s="145">
        <f t="shared" si="1"/>
        <v>1.5</v>
      </c>
      <c r="I4" s="145">
        <f t="shared" si="1"/>
        <v>1.5</v>
      </c>
      <c r="J4" s="145">
        <f t="shared" si="1"/>
        <v>1.5</v>
      </c>
      <c r="K4" s="145">
        <f t="shared" si="1"/>
        <v>1.5</v>
      </c>
      <c r="L4" s="145">
        <f t="shared" si="1"/>
        <v>1.5</v>
      </c>
      <c r="M4" s="145">
        <f t="shared" si="1"/>
        <v>1.5</v>
      </c>
      <c r="N4" s="145">
        <f t="shared" si="1"/>
        <v>1.5</v>
      </c>
      <c r="O4" s="145">
        <f t="shared" si="1"/>
        <v>1.5</v>
      </c>
      <c r="P4" s="145">
        <f t="shared" si="1"/>
        <v>1.5</v>
      </c>
      <c r="Q4" s="145">
        <f t="shared" si="1"/>
        <v>1.5</v>
      </c>
      <c r="R4" s="69">
        <v>1.0</v>
      </c>
      <c r="S4" s="69" t="s">
        <v>162</v>
      </c>
      <c r="T4" s="69">
        <v>50.0</v>
      </c>
    </row>
    <row r="5" ht="13.5" customHeight="1">
      <c r="C5" s="68" t="s">
        <v>163</v>
      </c>
      <c r="D5" s="146">
        <v>1.0</v>
      </c>
      <c r="E5" s="85"/>
      <c r="F5" s="147">
        <f t="shared" ref="F5:Q5" si="2">F4*$D$5</f>
        <v>1.5</v>
      </c>
      <c r="G5" s="147">
        <f t="shared" si="2"/>
        <v>1.5</v>
      </c>
      <c r="H5" s="147">
        <f t="shared" si="2"/>
        <v>1.5</v>
      </c>
      <c r="I5" s="147">
        <f t="shared" si="2"/>
        <v>1.5</v>
      </c>
      <c r="J5" s="147">
        <f t="shared" si="2"/>
        <v>1.5</v>
      </c>
      <c r="K5" s="147">
        <f t="shared" si="2"/>
        <v>1.5</v>
      </c>
      <c r="L5" s="147">
        <f t="shared" si="2"/>
        <v>1.5</v>
      </c>
      <c r="M5" s="147">
        <f t="shared" si="2"/>
        <v>1.5</v>
      </c>
      <c r="N5" s="147">
        <f t="shared" si="2"/>
        <v>1.5</v>
      </c>
      <c r="O5" s="147">
        <f t="shared" si="2"/>
        <v>1.5</v>
      </c>
      <c r="P5" s="147">
        <f t="shared" si="2"/>
        <v>1.5</v>
      </c>
      <c r="Q5" s="147">
        <f t="shared" si="2"/>
        <v>1.5</v>
      </c>
      <c r="R5" s="69">
        <v>1.0</v>
      </c>
      <c r="S5" s="69" t="s">
        <v>164</v>
      </c>
      <c r="T5" s="69">
        <f>T4/1000</f>
        <v>0.05</v>
      </c>
    </row>
    <row r="6" ht="13.5" customHeight="1">
      <c r="C6" s="68" t="s">
        <v>165</v>
      </c>
      <c r="D6" s="146">
        <v>1.0</v>
      </c>
      <c r="E6" s="85"/>
      <c r="F6" s="147">
        <f t="shared" ref="F6:Q6" si="3">F4*$D$6</f>
        <v>1.5</v>
      </c>
      <c r="G6" s="147">
        <f t="shared" si="3"/>
        <v>1.5</v>
      </c>
      <c r="H6" s="147">
        <f t="shared" si="3"/>
        <v>1.5</v>
      </c>
      <c r="I6" s="147">
        <f t="shared" si="3"/>
        <v>1.5</v>
      </c>
      <c r="J6" s="147">
        <f t="shared" si="3"/>
        <v>1.5</v>
      </c>
      <c r="K6" s="147">
        <f t="shared" si="3"/>
        <v>1.5</v>
      </c>
      <c r="L6" s="147">
        <f t="shared" si="3"/>
        <v>1.5</v>
      </c>
      <c r="M6" s="147">
        <f t="shared" si="3"/>
        <v>1.5</v>
      </c>
      <c r="N6" s="147">
        <f t="shared" si="3"/>
        <v>1.5</v>
      </c>
      <c r="O6" s="147">
        <f t="shared" si="3"/>
        <v>1.5</v>
      </c>
      <c r="P6" s="147">
        <f t="shared" si="3"/>
        <v>1.5</v>
      </c>
      <c r="Q6" s="147">
        <f t="shared" si="3"/>
        <v>1.5</v>
      </c>
    </row>
    <row r="7" ht="13.5" customHeight="1">
      <c r="C7" s="68" t="s">
        <v>166</v>
      </c>
      <c r="D7" s="146">
        <v>2.0</v>
      </c>
      <c r="E7" s="85"/>
      <c r="F7" s="147">
        <f t="shared" ref="F7:Q7" si="4">F4*$D$7</f>
        <v>3</v>
      </c>
      <c r="G7" s="147">
        <f t="shared" si="4"/>
        <v>3</v>
      </c>
      <c r="H7" s="147">
        <f t="shared" si="4"/>
        <v>3</v>
      </c>
      <c r="I7" s="147">
        <f t="shared" si="4"/>
        <v>3</v>
      </c>
      <c r="J7" s="147">
        <f t="shared" si="4"/>
        <v>3</v>
      </c>
      <c r="K7" s="147">
        <f t="shared" si="4"/>
        <v>3</v>
      </c>
      <c r="L7" s="147">
        <f t="shared" si="4"/>
        <v>3</v>
      </c>
      <c r="M7" s="147">
        <f t="shared" si="4"/>
        <v>3</v>
      </c>
      <c r="N7" s="147">
        <f t="shared" si="4"/>
        <v>3</v>
      </c>
      <c r="O7" s="147">
        <f t="shared" si="4"/>
        <v>3</v>
      </c>
      <c r="P7" s="147">
        <f t="shared" si="4"/>
        <v>3</v>
      </c>
      <c r="Q7" s="147">
        <f t="shared" si="4"/>
        <v>3</v>
      </c>
      <c r="R7" s="69">
        <v>30.0</v>
      </c>
      <c r="S7" s="69" t="s">
        <v>164</v>
      </c>
      <c r="T7" s="69">
        <f>T5*R7</f>
        <v>1.5</v>
      </c>
    </row>
    <row r="8" ht="13.5" customHeight="1">
      <c r="C8" s="68" t="s">
        <v>167</v>
      </c>
      <c r="D8" s="146">
        <v>2.0</v>
      </c>
      <c r="E8" s="85"/>
      <c r="F8" s="148">
        <f t="shared" ref="F8:Q8" si="5">F4*$D$8</f>
        <v>3</v>
      </c>
      <c r="G8" s="148">
        <f t="shared" si="5"/>
        <v>3</v>
      </c>
      <c r="H8" s="148">
        <f t="shared" si="5"/>
        <v>3</v>
      </c>
      <c r="I8" s="148">
        <f t="shared" si="5"/>
        <v>3</v>
      </c>
      <c r="J8" s="148">
        <f t="shared" si="5"/>
        <v>3</v>
      </c>
      <c r="K8" s="148">
        <f t="shared" si="5"/>
        <v>3</v>
      </c>
      <c r="L8" s="148">
        <f t="shared" si="5"/>
        <v>3</v>
      </c>
      <c r="M8" s="148">
        <f t="shared" si="5"/>
        <v>3</v>
      </c>
      <c r="N8" s="148">
        <f t="shared" si="5"/>
        <v>3</v>
      </c>
      <c r="O8" s="148">
        <f t="shared" si="5"/>
        <v>3</v>
      </c>
      <c r="P8" s="148">
        <f t="shared" si="5"/>
        <v>3</v>
      </c>
      <c r="Q8" s="148">
        <f t="shared" si="5"/>
        <v>3</v>
      </c>
      <c r="R8" s="23"/>
      <c r="S8" s="23"/>
      <c r="T8" s="23"/>
      <c r="U8" s="23"/>
      <c r="V8" s="23"/>
      <c r="W8" s="23"/>
      <c r="X8" s="23"/>
      <c r="Y8" s="23"/>
      <c r="Z8" s="23"/>
    </row>
    <row r="9" ht="13.5" customHeight="1">
      <c r="C9" s="90" t="s">
        <v>168</v>
      </c>
      <c r="D9" s="90"/>
      <c r="E9" s="91"/>
      <c r="F9" s="149">
        <f t="shared" ref="F9:Q9" si="6">SUM(F4:F8)</f>
        <v>10.5</v>
      </c>
      <c r="G9" s="149">
        <f t="shared" si="6"/>
        <v>10.5</v>
      </c>
      <c r="H9" s="149">
        <f t="shared" si="6"/>
        <v>10.5</v>
      </c>
      <c r="I9" s="149">
        <f t="shared" si="6"/>
        <v>10.5</v>
      </c>
      <c r="J9" s="149">
        <f t="shared" si="6"/>
        <v>10.5</v>
      </c>
      <c r="K9" s="149">
        <f t="shared" si="6"/>
        <v>10.5</v>
      </c>
      <c r="L9" s="149">
        <f t="shared" si="6"/>
        <v>10.5</v>
      </c>
      <c r="M9" s="149">
        <f t="shared" si="6"/>
        <v>10.5</v>
      </c>
      <c r="N9" s="149">
        <f t="shared" si="6"/>
        <v>10.5</v>
      </c>
      <c r="O9" s="149">
        <f t="shared" si="6"/>
        <v>10.5</v>
      </c>
      <c r="P9" s="149">
        <f t="shared" si="6"/>
        <v>10.5</v>
      </c>
      <c r="Q9" s="149">
        <f t="shared" si="6"/>
        <v>10.5</v>
      </c>
      <c r="R9" s="23">
        <v>2000.0</v>
      </c>
      <c r="T9" s="150">
        <f>R9/R7</f>
        <v>66.66666667</v>
      </c>
    </row>
    <row r="10" ht="13.5" customHeight="1">
      <c r="C10" s="68"/>
      <c r="D10" s="68"/>
      <c r="E10" s="93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ht="13.5" customHeight="1">
      <c r="C11" s="95" t="s">
        <v>169</v>
      </c>
      <c r="D11" s="95"/>
      <c r="E11" s="96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</row>
    <row r="12" ht="13.5" customHeight="1">
      <c r="C12" s="82" t="s">
        <v>170</v>
      </c>
      <c r="D12" s="98"/>
      <c r="E12" s="99"/>
      <c r="F12" s="151">
        <v>21.0</v>
      </c>
      <c r="G12" s="145">
        <f t="shared" ref="G12:Q12" si="7">F12</f>
        <v>21</v>
      </c>
      <c r="H12" s="145">
        <f t="shared" si="7"/>
        <v>21</v>
      </c>
      <c r="I12" s="145">
        <f t="shared" si="7"/>
        <v>21</v>
      </c>
      <c r="J12" s="145">
        <f t="shared" si="7"/>
        <v>21</v>
      </c>
      <c r="K12" s="145">
        <f t="shared" si="7"/>
        <v>21</v>
      </c>
      <c r="L12" s="145">
        <f t="shared" si="7"/>
        <v>21</v>
      </c>
      <c r="M12" s="145">
        <f t="shared" si="7"/>
        <v>21</v>
      </c>
      <c r="N12" s="145">
        <f t="shared" si="7"/>
        <v>21</v>
      </c>
      <c r="O12" s="145">
        <f t="shared" si="7"/>
        <v>21</v>
      </c>
      <c r="P12" s="145">
        <f t="shared" si="7"/>
        <v>21</v>
      </c>
      <c r="Q12" s="145">
        <f t="shared" si="7"/>
        <v>21</v>
      </c>
    </row>
    <row r="13" ht="13.5" customHeight="1">
      <c r="C13" s="90" t="s">
        <v>171</v>
      </c>
      <c r="D13" s="101"/>
      <c r="E13" s="91"/>
      <c r="F13" s="152">
        <f>F12-F9</f>
        <v>10.5</v>
      </c>
      <c r="G13" s="152">
        <f t="shared" ref="G13:Q13" si="8">F13</f>
        <v>10.5</v>
      </c>
      <c r="H13" s="152">
        <f t="shared" si="8"/>
        <v>10.5</v>
      </c>
      <c r="I13" s="152">
        <f t="shared" si="8"/>
        <v>10.5</v>
      </c>
      <c r="J13" s="152">
        <f t="shared" si="8"/>
        <v>10.5</v>
      </c>
      <c r="K13" s="152">
        <f t="shared" si="8"/>
        <v>10.5</v>
      </c>
      <c r="L13" s="152">
        <f t="shared" si="8"/>
        <v>10.5</v>
      </c>
      <c r="M13" s="152">
        <f t="shared" si="8"/>
        <v>10.5</v>
      </c>
      <c r="N13" s="152">
        <f t="shared" si="8"/>
        <v>10.5</v>
      </c>
      <c r="O13" s="152">
        <f t="shared" si="8"/>
        <v>10.5</v>
      </c>
      <c r="P13" s="152">
        <f t="shared" si="8"/>
        <v>10.5</v>
      </c>
      <c r="Q13" s="152">
        <f t="shared" si="8"/>
        <v>10.5</v>
      </c>
    </row>
    <row r="14" ht="13.5" customHeight="1">
      <c r="C14" s="68"/>
      <c r="D14" s="100"/>
      <c r="E14" s="85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</row>
    <row r="15" ht="13.5" customHeight="1">
      <c r="C15" s="68" t="s">
        <v>172</v>
      </c>
      <c r="D15" s="100"/>
      <c r="E15" s="85"/>
      <c r="F15" s="153">
        <v>50.0</v>
      </c>
      <c r="G15" s="153">
        <v>66.0</v>
      </c>
      <c r="H15" s="153">
        <v>95.0</v>
      </c>
      <c r="I15" s="153">
        <v>132.0</v>
      </c>
      <c r="J15" s="153">
        <v>160.0</v>
      </c>
      <c r="K15" s="153">
        <v>200.0</v>
      </c>
      <c r="L15" s="153">
        <v>300.0</v>
      </c>
      <c r="M15" s="153">
        <v>400.0</v>
      </c>
      <c r="N15" s="153">
        <v>500.0</v>
      </c>
      <c r="O15" s="153">
        <v>666.0</v>
      </c>
      <c r="P15" s="153">
        <v>850.0</v>
      </c>
      <c r="Q15" s="153">
        <v>1000.0</v>
      </c>
    </row>
    <row r="16" ht="24.0" customHeight="1">
      <c r="B16" s="79"/>
      <c r="C16" s="104" t="s">
        <v>173</v>
      </c>
      <c r="D16" s="104"/>
      <c r="E16" s="105"/>
      <c r="F16" s="106">
        <f t="shared" ref="F16:Q16" si="9">F13*F15</f>
        <v>525</v>
      </c>
      <c r="G16" s="106">
        <f t="shared" si="9"/>
        <v>693</v>
      </c>
      <c r="H16" s="106">
        <f t="shared" si="9"/>
        <v>997.5</v>
      </c>
      <c r="I16" s="106">
        <f t="shared" si="9"/>
        <v>1386</v>
      </c>
      <c r="J16" s="106">
        <f t="shared" si="9"/>
        <v>1680</v>
      </c>
      <c r="K16" s="106">
        <f t="shared" si="9"/>
        <v>2100</v>
      </c>
      <c r="L16" s="106">
        <f t="shared" si="9"/>
        <v>3150</v>
      </c>
      <c r="M16" s="106">
        <f t="shared" si="9"/>
        <v>4200</v>
      </c>
      <c r="N16" s="106">
        <f t="shared" si="9"/>
        <v>5250</v>
      </c>
      <c r="O16" s="106">
        <f t="shared" si="9"/>
        <v>6993</v>
      </c>
      <c r="P16" s="106">
        <f t="shared" si="9"/>
        <v>8925</v>
      </c>
      <c r="Q16" s="106">
        <f t="shared" si="9"/>
        <v>10500</v>
      </c>
    </row>
    <row r="17" ht="13.5" customHeight="1"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</row>
    <row r="18" ht="24.0" customHeight="1">
      <c r="A18" s="66"/>
      <c r="B18" s="143" t="s">
        <v>27</v>
      </c>
      <c r="C18" s="143" t="s">
        <v>174</v>
      </c>
      <c r="D18" s="79"/>
      <c r="E18" s="80"/>
      <c r="F18" s="144">
        <v>1.0</v>
      </c>
      <c r="G18" s="144">
        <v>2.0</v>
      </c>
      <c r="H18" s="144">
        <v>3.0</v>
      </c>
      <c r="I18" s="144">
        <v>4.0</v>
      </c>
      <c r="J18" s="144">
        <v>5.0</v>
      </c>
      <c r="K18" s="144">
        <v>6.0</v>
      </c>
      <c r="L18" s="144">
        <v>7.0</v>
      </c>
      <c r="M18" s="144">
        <v>8.0</v>
      </c>
      <c r="N18" s="144">
        <v>9.0</v>
      </c>
      <c r="O18" s="144">
        <v>10.0</v>
      </c>
      <c r="P18" s="144">
        <v>11.0</v>
      </c>
      <c r="Q18" s="144">
        <v>12.0</v>
      </c>
      <c r="R18" s="66"/>
      <c r="S18" s="66"/>
      <c r="T18" s="66"/>
      <c r="U18" s="66"/>
      <c r="V18" s="66"/>
      <c r="W18" s="66"/>
      <c r="X18" s="66"/>
      <c r="Y18" s="66"/>
      <c r="Z18" s="66"/>
    </row>
    <row r="19" ht="13.5" customHeight="1">
      <c r="C19" s="82" t="s">
        <v>160</v>
      </c>
      <c r="D19" s="82"/>
      <c r="E19" s="99" t="s">
        <v>161</v>
      </c>
      <c r="F19" s="145">
        <f>T22</f>
        <v>1.5</v>
      </c>
      <c r="G19" s="145">
        <f t="shared" ref="G19:Q19" si="10">F19</f>
        <v>1.5</v>
      </c>
      <c r="H19" s="145">
        <f t="shared" si="10"/>
        <v>1.5</v>
      </c>
      <c r="I19" s="145">
        <f t="shared" si="10"/>
        <v>1.5</v>
      </c>
      <c r="J19" s="145">
        <f t="shared" si="10"/>
        <v>1.5</v>
      </c>
      <c r="K19" s="145">
        <f t="shared" si="10"/>
        <v>1.5</v>
      </c>
      <c r="L19" s="145">
        <f t="shared" si="10"/>
        <v>1.5</v>
      </c>
      <c r="M19" s="145">
        <f t="shared" si="10"/>
        <v>1.5</v>
      </c>
      <c r="N19" s="145">
        <f t="shared" si="10"/>
        <v>1.5</v>
      </c>
      <c r="O19" s="145">
        <f t="shared" si="10"/>
        <v>1.5</v>
      </c>
      <c r="P19" s="145">
        <f t="shared" si="10"/>
        <v>1.5</v>
      </c>
      <c r="Q19" s="145">
        <f t="shared" si="10"/>
        <v>1.5</v>
      </c>
      <c r="R19" s="69">
        <v>1.0</v>
      </c>
      <c r="S19" s="69" t="s">
        <v>162</v>
      </c>
      <c r="T19" s="69">
        <v>50.0</v>
      </c>
    </row>
    <row r="20" ht="13.5" customHeight="1">
      <c r="C20" s="68" t="s">
        <v>163</v>
      </c>
      <c r="D20" s="146">
        <v>1.0</v>
      </c>
      <c r="E20" s="85"/>
      <c r="F20" s="147">
        <f t="shared" ref="F20:Q20" si="11">F19*$D$5</f>
        <v>1.5</v>
      </c>
      <c r="G20" s="147">
        <f t="shared" si="11"/>
        <v>1.5</v>
      </c>
      <c r="H20" s="147">
        <f t="shared" si="11"/>
        <v>1.5</v>
      </c>
      <c r="I20" s="147">
        <f t="shared" si="11"/>
        <v>1.5</v>
      </c>
      <c r="J20" s="147">
        <f t="shared" si="11"/>
        <v>1.5</v>
      </c>
      <c r="K20" s="147">
        <f t="shared" si="11"/>
        <v>1.5</v>
      </c>
      <c r="L20" s="147">
        <f t="shared" si="11"/>
        <v>1.5</v>
      </c>
      <c r="M20" s="147">
        <f t="shared" si="11"/>
        <v>1.5</v>
      </c>
      <c r="N20" s="147">
        <f t="shared" si="11"/>
        <v>1.5</v>
      </c>
      <c r="O20" s="147">
        <f t="shared" si="11"/>
        <v>1.5</v>
      </c>
      <c r="P20" s="147">
        <f t="shared" si="11"/>
        <v>1.5</v>
      </c>
      <c r="Q20" s="147">
        <f t="shared" si="11"/>
        <v>1.5</v>
      </c>
      <c r="R20" s="69">
        <v>1.0</v>
      </c>
      <c r="S20" s="69" t="s">
        <v>164</v>
      </c>
      <c r="T20" s="69">
        <f>T19/1000</f>
        <v>0.05</v>
      </c>
    </row>
    <row r="21" ht="13.5" customHeight="1">
      <c r="C21" s="68" t="s">
        <v>165</v>
      </c>
      <c r="D21" s="146">
        <v>1.0</v>
      </c>
      <c r="E21" s="85"/>
      <c r="F21" s="147">
        <f t="shared" ref="F21:Q21" si="12">F19*$D$6</f>
        <v>1.5</v>
      </c>
      <c r="G21" s="147">
        <f t="shared" si="12"/>
        <v>1.5</v>
      </c>
      <c r="H21" s="147">
        <f t="shared" si="12"/>
        <v>1.5</v>
      </c>
      <c r="I21" s="147">
        <f t="shared" si="12"/>
        <v>1.5</v>
      </c>
      <c r="J21" s="147">
        <f t="shared" si="12"/>
        <v>1.5</v>
      </c>
      <c r="K21" s="147">
        <f t="shared" si="12"/>
        <v>1.5</v>
      </c>
      <c r="L21" s="147">
        <f t="shared" si="12"/>
        <v>1.5</v>
      </c>
      <c r="M21" s="147">
        <f t="shared" si="12"/>
        <v>1.5</v>
      </c>
      <c r="N21" s="147">
        <f t="shared" si="12"/>
        <v>1.5</v>
      </c>
      <c r="O21" s="147">
        <f t="shared" si="12"/>
        <v>1.5</v>
      </c>
      <c r="P21" s="147">
        <f t="shared" si="12"/>
        <v>1.5</v>
      </c>
      <c r="Q21" s="147">
        <f t="shared" si="12"/>
        <v>1.5</v>
      </c>
    </row>
    <row r="22" ht="13.5" customHeight="1">
      <c r="C22" s="68" t="s">
        <v>166</v>
      </c>
      <c r="D22" s="146">
        <v>2.0</v>
      </c>
      <c r="E22" s="85"/>
      <c r="F22" s="147">
        <f t="shared" ref="F22:Q22" si="13">F19*$D$7</f>
        <v>3</v>
      </c>
      <c r="G22" s="147">
        <f t="shared" si="13"/>
        <v>3</v>
      </c>
      <c r="H22" s="147">
        <f t="shared" si="13"/>
        <v>3</v>
      </c>
      <c r="I22" s="147">
        <f t="shared" si="13"/>
        <v>3</v>
      </c>
      <c r="J22" s="147">
        <f t="shared" si="13"/>
        <v>3</v>
      </c>
      <c r="K22" s="147">
        <f t="shared" si="13"/>
        <v>3</v>
      </c>
      <c r="L22" s="147">
        <f t="shared" si="13"/>
        <v>3</v>
      </c>
      <c r="M22" s="147">
        <f t="shared" si="13"/>
        <v>3</v>
      </c>
      <c r="N22" s="147">
        <f t="shared" si="13"/>
        <v>3</v>
      </c>
      <c r="O22" s="147">
        <f t="shared" si="13"/>
        <v>3</v>
      </c>
      <c r="P22" s="147">
        <f t="shared" si="13"/>
        <v>3</v>
      </c>
      <c r="Q22" s="147">
        <f t="shared" si="13"/>
        <v>3</v>
      </c>
      <c r="R22" s="69">
        <v>30.0</v>
      </c>
      <c r="S22" s="69" t="s">
        <v>164</v>
      </c>
      <c r="T22" s="69">
        <f>T20*R22</f>
        <v>1.5</v>
      </c>
    </row>
    <row r="23" ht="13.5" customHeight="1">
      <c r="C23" s="68" t="s">
        <v>167</v>
      </c>
      <c r="D23" s="146">
        <v>2.0</v>
      </c>
      <c r="E23" s="85"/>
      <c r="F23" s="148">
        <f t="shared" ref="F23:Q23" si="14">F19*$D$8</f>
        <v>3</v>
      </c>
      <c r="G23" s="148">
        <f t="shared" si="14"/>
        <v>3</v>
      </c>
      <c r="H23" s="148">
        <f t="shared" si="14"/>
        <v>3</v>
      </c>
      <c r="I23" s="148">
        <f t="shared" si="14"/>
        <v>3</v>
      </c>
      <c r="J23" s="148">
        <f t="shared" si="14"/>
        <v>3</v>
      </c>
      <c r="K23" s="148">
        <f t="shared" si="14"/>
        <v>3</v>
      </c>
      <c r="L23" s="148">
        <f t="shared" si="14"/>
        <v>3</v>
      </c>
      <c r="M23" s="148">
        <f t="shared" si="14"/>
        <v>3</v>
      </c>
      <c r="N23" s="148">
        <f t="shared" si="14"/>
        <v>3</v>
      </c>
      <c r="O23" s="148">
        <f t="shared" si="14"/>
        <v>3</v>
      </c>
      <c r="P23" s="148">
        <f t="shared" si="14"/>
        <v>3</v>
      </c>
      <c r="Q23" s="148">
        <f t="shared" si="14"/>
        <v>3</v>
      </c>
      <c r="R23" s="23"/>
      <c r="S23" s="23"/>
      <c r="T23" s="23"/>
      <c r="U23" s="23"/>
      <c r="V23" s="23"/>
      <c r="W23" s="23"/>
      <c r="X23" s="23"/>
      <c r="Y23" s="23"/>
      <c r="Z23" s="23"/>
    </row>
    <row r="24" ht="13.5" customHeight="1">
      <c r="C24" s="90" t="s">
        <v>168</v>
      </c>
      <c r="D24" s="90"/>
      <c r="E24" s="91"/>
      <c r="F24" s="149">
        <f t="shared" ref="F24:Q24" si="15">SUM(F19:F23)</f>
        <v>10.5</v>
      </c>
      <c r="G24" s="149">
        <f t="shared" si="15"/>
        <v>10.5</v>
      </c>
      <c r="H24" s="149">
        <f t="shared" si="15"/>
        <v>10.5</v>
      </c>
      <c r="I24" s="149">
        <f t="shared" si="15"/>
        <v>10.5</v>
      </c>
      <c r="J24" s="149">
        <f t="shared" si="15"/>
        <v>10.5</v>
      </c>
      <c r="K24" s="149">
        <f t="shared" si="15"/>
        <v>10.5</v>
      </c>
      <c r="L24" s="149">
        <f t="shared" si="15"/>
        <v>10.5</v>
      </c>
      <c r="M24" s="149">
        <f t="shared" si="15"/>
        <v>10.5</v>
      </c>
      <c r="N24" s="149">
        <f t="shared" si="15"/>
        <v>10.5</v>
      </c>
      <c r="O24" s="149">
        <f t="shared" si="15"/>
        <v>10.5</v>
      </c>
      <c r="P24" s="149">
        <f t="shared" si="15"/>
        <v>10.5</v>
      </c>
      <c r="Q24" s="149">
        <f t="shared" si="15"/>
        <v>10.5</v>
      </c>
      <c r="R24" s="23">
        <v>2000.0</v>
      </c>
      <c r="T24" s="150">
        <f>R24/R22</f>
        <v>66.66666667</v>
      </c>
    </row>
    <row r="25" ht="13.5" customHeight="1">
      <c r="C25" s="68"/>
      <c r="D25" s="68"/>
      <c r="E25" s="93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</row>
    <row r="26" ht="13.5" customHeight="1">
      <c r="C26" s="95" t="s">
        <v>169</v>
      </c>
      <c r="D26" s="95"/>
      <c r="E26" s="96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</row>
    <row r="27" ht="13.5" customHeight="1">
      <c r="C27" s="82" t="s">
        <v>170</v>
      </c>
      <c r="D27" s="98"/>
      <c r="E27" s="99"/>
      <c r="F27" s="151">
        <v>21.0</v>
      </c>
      <c r="G27" s="145">
        <f t="shared" ref="G27:Q27" si="16">F27</f>
        <v>21</v>
      </c>
      <c r="H27" s="145">
        <f t="shared" si="16"/>
        <v>21</v>
      </c>
      <c r="I27" s="145">
        <f t="shared" si="16"/>
        <v>21</v>
      </c>
      <c r="J27" s="145">
        <f t="shared" si="16"/>
        <v>21</v>
      </c>
      <c r="K27" s="145">
        <f t="shared" si="16"/>
        <v>21</v>
      </c>
      <c r="L27" s="145">
        <f t="shared" si="16"/>
        <v>21</v>
      </c>
      <c r="M27" s="145">
        <f t="shared" si="16"/>
        <v>21</v>
      </c>
      <c r="N27" s="145">
        <f t="shared" si="16"/>
        <v>21</v>
      </c>
      <c r="O27" s="145">
        <f t="shared" si="16"/>
        <v>21</v>
      </c>
      <c r="P27" s="145">
        <f t="shared" si="16"/>
        <v>21</v>
      </c>
      <c r="Q27" s="145">
        <f t="shared" si="16"/>
        <v>21</v>
      </c>
    </row>
    <row r="28" ht="13.5" customHeight="1">
      <c r="C28" s="90" t="s">
        <v>171</v>
      </c>
      <c r="D28" s="101"/>
      <c r="E28" s="91"/>
      <c r="F28" s="152">
        <f>F27-F24</f>
        <v>10.5</v>
      </c>
      <c r="G28" s="152">
        <f t="shared" ref="G28:Q28" si="17">F28</f>
        <v>10.5</v>
      </c>
      <c r="H28" s="152">
        <f t="shared" si="17"/>
        <v>10.5</v>
      </c>
      <c r="I28" s="152">
        <f t="shared" si="17"/>
        <v>10.5</v>
      </c>
      <c r="J28" s="152">
        <f t="shared" si="17"/>
        <v>10.5</v>
      </c>
      <c r="K28" s="152">
        <f t="shared" si="17"/>
        <v>10.5</v>
      </c>
      <c r="L28" s="152">
        <f t="shared" si="17"/>
        <v>10.5</v>
      </c>
      <c r="M28" s="152">
        <f t="shared" si="17"/>
        <v>10.5</v>
      </c>
      <c r="N28" s="152">
        <f t="shared" si="17"/>
        <v>10.5</v>
      </c>
      <c r="O28" s="152">
        <f t="shared" si="17"/>
        <v>10.5</v>
      </c>
      <c r="P28" s="152">
        <f t="shared" si="17"/>
        <v>10.5</v>
      </c>
      <c r="Q28" s="152">
        <f t="shared" si="17"/>
        <v>10.5</v>
      </c>
    </row>
    <row r="29" ht="13.5" customHeight="1">
      <c r="C29" s="68"/>
      <c r="D29" s="100"/>
      <c r="E29" s="85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</row>
    <row r="30" ht="13.5" customHeight="1">
      <c r="C30" s="68" t="s">
        <v>172</v>
      </c>
      <c r="D30" s="100"/>
      <c r="E30" s="85"/>
      <c r="F30" s="153">
        <v>50.0</v>
      </c>
      <c r="G30" s="153">
        <v>66.0</v>
      </c>
      <c r="H30" s="153">
        <v>95.0</v>
      </c>
      <c r="I30" s="153">
        <v>132.0</v>
      </c>
      <c r="J30" s="153">
        <v>160.0</v>
      </c>
      <c r="K30" s="153">
        <v>200.0</v>
      </c>
      <c r="L30" s="153">
        <v>300.0</v>
      </c>
      <c r="M30" s="153">
        <v>400.0</v>
      </c>
      <c r="N30" s="153">
        <v>500.0</v>
      </c>
      <c r="O30" s="153">
        <v>666.0</v>
      </c>
      <c r="P30" s="153">
        <v>850.0</v>
      </c>
      <c r="Q30" s="153">
        <v>1000.0</v>
      </c>
    </row>
    <row r="31" ht="24.0" customHeight="1">
      <c r="B31" s="79"/>
      <c r="C31" s="154" t="s">
        <v>175</v>
      </c>
      <c r="D31" s="104"/>
      <c r="E31" s="105"/>
      <c r="F31" s="106">
        <f t="shared" ref="F31:Q31" si="18">F28*F30</f>
        <v>525</v>
      </c>
      <c r="G31" s="106">
        <f t="shared" si="18"/>
        <v>693</v>
      </c>
      <c r="H31" s="106">
        <f t="shared" si="18"/>
        <v>997.5</v>
      </c>
      <c r="I31" s="106">
        <f t="shared" si="18"/>
        <v>1386</v>
      </c>
      <c r="J31" s="106">
        <f t="shared" si="18"/>
        <v>1680</v>
      </c>
      <c r="K31" s="106">
        <f t="shared" si="18"/>
        <v>2100</v>
      </c>
      <c r="L31" s="106">
        <f t="shared" si="18"/>
        <v>3150</v>
      </c>
      <c r="M31" s="106">
        <f t="shared" si="18"/>
        <v>4200</v>
      </c>
      <c r="N31" s="106">
        <f t="shared" si="18"/>
        <v>5250</v>
      </c>
      <c r="O31" s="106">
        <f t="shared" si="18"/>
        <v>6993</v>
      </c>
      <c r="P31" s="106">
        <f t="shared" si="18"/>
        <v>8925</v>
      </c>
      <c r="Q31" s="106">
        <f t="shared" si="18"/>
        <v>10500</v>
      </c>
    </row>
    <row r="32" ht="13.5" customHeight="1"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ht="24.0" customHeight="1">
      <c r="A33" s="66"/>
      <c r="B33" s="143" t="s">
        <v>28</v>
      </c>
      <c r="C33" s="143" t="s">
        <v>176</v>
      </c>
      <c r="D33" s="79"/>
      <c r="E33" s="80"/>
      <c r="F33" s="144">
        <v>1.0</v>
      </c>
      <c r="G33" s="144">
        <v>2.0</v>
      </c>
      <c r="H33" s="144">
        <v>3.0</v>
      </c>
      <c r="I33" s="144">
        <v>4.0</v>
      </c>
      <c r="J33" s="144">
        <v>5.0</v>
      </c>
      <c r="K33" s="144">
        <v>6.0</v>
      </c>
      <c r="L33" s="144">
        <v>7.0</v>
      </c>
      <c r="M33" s="144">
        <v>8.0</v>
      </c>
      <c r="N33" s="144">
        <v>9.0</v>
      </c>
      <c r="O33" s="144">
        <v>10.0</v>
      </c>
      <c r="P33" s="144">
        <v>11.0</v>
      </c>
      <c r="Q33" s="144">
        <v>12.0</v>
      </c>
      <c r="R33" s="66"/>
      <c r="S33" s="66"/>
      <c r="T33" s="66"/>
      <c r="U33" s="66"/>
      <c r="V33" s="66"/>
      <c r="W33" s="66"/>
      <c r="X33" s="66"/>
      <c r="Y33" s="66"/>
      <c r="Z33" s="66"/>
    </row>
    <row r="34" ht="13.5" customHeight="1">
      <c r="C34" s="82" t="s">
        <v>160</v>
      </c>
      <c r="D34" s="82"/>
      <c r="E34" s="99" t="s">
        <v>161</v>
      </c>
      <c r="F34" s="145">
        <f>T37</f>
        <v>1.5</v>
      </c>
      <c r="G34" s="145">
        <f t="shared" ref="G34:Q34" si="19">F34</f>
        <v>1.5</v>
      </c>
      <c r="H34" s="145">
        <f t="shared" si="19"/>
        <v>1.5</v>
      </c>
      <c r="I34" s="145">
        <f t="shared" si="19"/>
        <v>1.5</v>
      </c>
      <c r="J34" s="145">
        <f t="shared" si="19"/>
        <v>1.5</v>
      </c>
      <c r="K34" s="145">
        <f t="shared" si="19"/>
        <v>1.5</v>
      </c>
      <c r="L34" s="145">
        <f t="shared" si="19"/>
        <v>1.5</v>
      </c>
      <c r="M34" s="145">
        <f t="shared" si="19"/>
        <v>1.5</v>
      </c>
      <c r="N34" s="145">
        <f t="shared" si="19"/>
        <v>1.5</v>
      </c>
      <c r="O34" s="145">
        <f t="shared" si="19"/>
        <v>1.5</v>
      </c>
      <c r="P34" s="145">
        <f t="shared" si="19"/>
        <v>1.5</v>
      </c>
      <c r="Q34" s="145">
        <f t="shared" si="19"/>
        <v>1.5</v>
      </c>
      <c r="R34" s="69">
        <v>1.0</v>
      </c>
      <c r="S34" s="69" t="s">
        <v>162</v>
      </c>
      <c r="T34" s="69">
        <v>50.0</v>
      </c>
    </row>
    <row r="35" ht="13.5" customHeight="1">
      <c r="C35" s="68" t="s">
        <v>163</v>
      </c>
      <c r="D35" s="146">
        <v>1.0</v>
      </c>
      <c r="E35" s="85"/>
      <c r="F35" s="147">
        <f t="shared" ref="F35:Q35" si="20">F34*$D$5</f>
        <v>1.5</v>
      </c>
      <c r="G35" s="147">
        <f t="shared" si="20"/>
        <v>1.5</v>
      </c>
      <c r="H35" s="147">
        <f t="shared" si="20"/>
        <v>1.5</v>
      </c>
      <c r="I35" s="147">
        <f t="shared" si="20"/>
        <v>1.5</v>
      </c>
      <c r="J35" s="147">
        <f t="shared" si="20"/>
        <v>1.5</v>
      </c>
      <c r="K35" s="147">
        <f t="shared" si="20"/>
        <v>1.5</v>
      </c>
      <c r="L35" s="147">
        <f t="shared" si="20"/>
        <v>1.5</v>
      </c>
      <c r="M35" s="147">
        <f t="shared" si="20"/>
        <v>1.5</v>
      </c>
      <c r="N35" s="147">
        <f t="shared" si="20"/>
        <v>1.5</v>
      </c>
      <c r="O35" s="147">
        <f t="shared" si="20"/>
        <v>1.5</v>
      </c>
      <c r="P35" s="147">
        <f t="shared" si="20"/>
        <v>1.5</v>
      </c>
      <c r="Q35" s="147">
        <f t="shared" si="20"/>
        <v>1.5</v>
      </c>
      <c r="R35" s="69">
        <v>1.0</v>
      </c>
      <c r="S35" s="69" t="s">
        <v>164</v>
      </c>
      <c r="T35" s="69">
        <f>T34/1000</f>
        <v>0.05</v>
      </c>
    </row>
    <row r="36" ht="13.5" customHeight="1">
      <c r="C36" s="68" t="s">
        <v>165</v>
      </c>
      <c r="D36" s="146">
        <v>1.0</v>
      </c>
      <c r="E36" s="85"/>
      <c r="F36" s="147">
        <f t="shared" ref="F36:Q36" si="21">F34*$D$6</f>
        <v>1.5</v>
      </c>
      <c r="G36" s="147">
        <f t="shared" si="21"/>
        <v>1.5</v>
      </c>
      <c r="H36" s="147">
        <f t="shared" si="21"/>
        <v>1.5</v>
      </c>
      <c r="I36" s="147">
        <f t="shared" si="21"/>
        <v>1.5</v>
      </c>
      <c r="J36" s="147">
        <f t="shared" si="21"/>
        <v>1.5</v>
      </c>
      <c r="K36" s="147">
        <f t="shared" si="21"/>
        <v>1.5</v>
      </c>
      <c r="L36" s="147">
        <f t="shared" si="21"/>
        <v>1.5</v>
      </c>
      <c r="M36" s="147">
        <f t="shared" si="21"/>
        <v>1.5</v>
      </c>
      <c r="N36" s="147">
        <f t="shared" si="21"/>
        <v>1.5</v>
      </c>
      <c r="O36" s="147">
        <f t="shared" si="21"/>
        <v>1.5</v>
      </c>
      <c r="P36" s="147">
        <f t="shared" si="21"/>
        <v>1.5</v>
      </c>
      <c r="Q36" s="147">
        <f t="shared" si="21"/>
        <v>1.5</v>
      </c>
    </row>
    <row r="37" ht="13.5" customHeight="1">
      <c r="C37" s="68" t="s">
        <v>166</v>
      </c>
      <c r="D37" s="146">
        <v>2.0</v>
      </c>
      <c r="E37" s="85"/>
      <c r="F37" s="147">
        <f t="shared" ref="F37:Q37" si="22">F34*$D$7</f>
        <v>3</v>
      </c>
      <c r="G37" s="147">
        <f t="shared" si="22"/>
        <v>3</v>
      </c>
      <c r="H37" s="147">
        <f t="shared" si="22"/>
        <v>3</v>
      </c>
      <c r="I37" s="147">
        <f t="shared" si="22"/>
        <v>3</v>
      </c>
      <c r="J37" s="147">
        <f t="shared" si="22"/>
        <v>3</v>
      </c>
      <c r="K37" s="147">
        <f t="shared" si="22"/>
        <v>3</v>
      </c>
      <c r="L37" s="147">
        <f t="shared" si="22"/>
        <v>3</v>
      </c>
      <c r="M37" s="147">
        <f t="shared" si="22"/>
        <v>3</v>
      </c>
      <c r="N37" s="147">
        <f t="shared" si="22"/>
        <v>3</v>
      </c>
      <c r="O37" s="147">
        <f t="shared" si="22"/>
        <v>3</v>
      </c>
      <c r="P37" s="147">
        <f t="shared" si="22"/>
        <v>3</v>
      </c>
      <c r="Q37" s="147">
        <f t="shared" si="22"/>
        <v>3</v>
      </c>
      <c r="R37" s="69">
        <v>30.0</v>
      </c>
      <c r="S37" s="69" t="s">
        <v>164</v>
      </c>
      <c r="T37" s="69">
        <f>T35*R37</f>
        <v>1.5</v>
      </c>
    </row>
    <row r="38" ht="13.5" customHeight="1">
      <c r="C38" s="68" t="s">
        <v>167</v>
      </c>
      <c r="D38" s="146">
        <v>2.0</v>
      </c>
      <c r="E38" s="85"/>
      <c r="F38" s="148">
        <f t="shared" ref="F38:Q38" si="23">F34*$D$8</f>
        <v>3</v>
      </c>
      <c r="G38" s="148">
        <f t="shared" si="23"/>
        <v>3</v>
      </c>
      <c r="H38" s="148">
        <f t="shared" si="23"/>
        <v>3</v>
      </c>
      <c r="I38" s="148">
        <f t="shared" si="23"/>
        <v>3</v>
      </c>
      <c r="J38" s="148">
        <f t="shared" si="23"/>
        <v>3</v>
      </c>
      <c r="K38" s="148">
        <f t="shared" si="23"/>
        <v>3</v>
      </c>
      <c r="L38" s="148">
        <f t="shared" si="23"/>
        <v>3</v>
      </c>
      <c r="M38" s="148">
        <f t="shared" si="23"/>
        <v>3</v>
      </c>
      <c r="N38" s="148">
        <f t="shared" si="23"/>
        <v>3</v>
      </c>
      <c r="O38" s="148">
        <f t="shared" si="23"/>
        <v>3</v>
      </c>
      <c r="P38" s="148">
        <f t="shared" si="23"/>
        <v>3</v>
      </c>
      <c r="Q38" s="148">
        <f t="shared" si="23"/>
        <v>3</v>
      </c>
      <c r="R38" s="23"/>
      <c r="S38" s="23"/>
      <c r="T38" s="23"/>
      <c r="U38" s="23"/>
      <c r="V38" s="23"/>
      <c r="W38" s="23"/>
      <c r="X38" s="23"/>
      <c r="Y38" s="23"/>
      <c r="Z38" s="23"/>
    </row>
    <row r="39" ht="13.5" customHeight="1">
      <c r="C39" s="90" t="s">
        <v>168</v>
      </c>
      <c r="D39" s="90"/>
      <c r="E39" s="91"/>
      <c r="F39" s="149">
        <f t="shared" ref="F39:Q39" si="24">SUM(F34:F38)</f>
        <v>10.5</v>
      </c>
      <c r="G39" s="149">
        <f t="shared" si="24"/>
        <v>10.5</v>
      </c>
      <c r="H39" s="149">
        <f t="shared" si="24"/>
        <v>10.5</v>
      </c>
      <c r="I39" s="149">
        <f t="shared" si="24"/>
        <v>10.5</v>
      </c>
      <c r="J39" s="149">
        <f t="shared" si="24"/>
        <v>10.5</v>
      </c>
      <c r="K39" s="149">
        <f t="shared" si="24"/>
        <v>10.5</v>
      </c>
      <c r="L39" s="149">
        <f t="shared" si="24"/>
        <v>10.5</v>
      </c>
      <c r="M39" s="149">
        <f t="shared" si="24"/>
        <v>10.5</v>
      </c>
      <c r="N39" s="149">
        <f t="shared" si="24"/>
        <v>10.5</v>
      </c>
      <c r="O39" s="149">
        <f t="shared" si="24"/>
        <v>10.5</v>
      </c>
      <c r="P39" s="149">
        <f t="shared" si="24"/>
        <v>10.5</v>
      </c>
      <c r="Q39" s="149">
        <f t="shared" si="24"/>
        <v>10.5</v>
      </c>
      <c r="R39" s="23">
        <v>2000.0</v>
      </c>
      <c r="T39" s="150">
        <f>R39/R37</f>
        <v>66.66666667</v>
      </c>
    </row>
    <row r="40" ht="13.5" customHeight="1">
      <c r="C40" s="68"/>
      <c r="D40" s="68"/>
      <c r="E40" s="93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</row>
    <row r="41" ht="13.5" customHeight="1">
      <c r="C41" s="95" t="s">
        <v>169</v>
      </c>
      <c r="D41" s="95"/>
      <c r="E41" s="96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</row>
    <row r="42" ht="13.5" customHeight="1">
      <c r="C42" s="82" t="s">
        <v>170</v>
      </c>
      <c r="D42" s="98"/>
      <c r="E42" s="99"/>
      <c r="F42" s="151">
        <v>21.0</v>
      </c>
      <c r="G42" s="145">
        <f t="shared" ref="G42:Q42" si="25">F42</f>
        <v>21</v>
      </c>
      <c r="H42" s="145">
        <f t="shared" si="25"/>
        <v>21</v>
      </c>
      <c r="I42" s="145">
        <f t="shared" si="25"/>
        <v>21</v>
      </c>
      <c r="J42" s="145">
        <f t="shared" si="25"/>
        <v>21</v>
      </c>
      <c r="K42" s="145">
        <f t="shared" si="25"/>
        <v>21</v>
      </c>
      <c r="L42" s="145">
        <f t="shared" si="25"/>
        <v>21</v>
      </c>
      <c r="M42" s="145">
        <f t="shared" si="25"/>
        <v>21</v>
      </c>
      <c r="N42" s="145">
        <f t="shared" si="25"/>
        <v>21</v>
      </c>
      <c r="O42" s="145">
        <f t="shared" si="25"/>
        <v>21</v>
      </c>
      <c r="P42" s="145">
        <f t="shared" si="25"/>
        <v>21</v>
      </c>
      <c r="Q42" s="145">
        <f t="shared" si="25"/>
        <v>21</v>
      </c>
    </row>
    <row r="43" ht="13.5" customHeight="1">
      <c r="C43" s="90" t="s">
        <v>171</v>
      </c>
      <c r="D43" s="101"/>
      <c r="E43" s="91"/>
      <c r="F43" s="152">
        <f>F42-F39</f>
        <v>10.5</v>
      </c>
      <c r="G43" s="152">
        <f t="shared" ref="G43:Q43" si="26">F43</f>
        <v>10.5</v>
      </c>
      <c r="H43" s="152">
        <f t="shared" si="26"/>
        <v>10.5</v>
      </c>
      <c r="I43" s="152">
        <f t="shared" si="26"/>
        <v>10.5</v>
      </c>
      <c r="J43" s="152">
        <f t="shared" si="26"/>
        <v>10.5</v>
      </c>
      <c r="K43" s="152">
        <f t="shared" si="26"/>
        <v>10.5</v>
      </c>
      <c r="L43" s="152">
        <f t="shared" si="26"/>
        <v>10.5</v>
      </c>
      <c r="M43" s="152">
        <f t="shared" si="26"/>
        <v>10.5</v>
      </c>
      <c r="N43" s="152">
        <f t="shared" si="26"/>
        <v>10.5</v>
      </c>
      <c r="O43" s="152">
        <f t="shared" si="26"/>
        <v>10.5</v>
      </c>
      <c r="P43" s="152">
        <f t="shared" si="26"/>
        <v>10.5</v>
      </c>
      <c r="Q43" s="152">
        <f t="shared" si="26"/>
        <v>10.5</v>
      </c>
    </row>
    <row r="44" ht="13.5" customHeight="1">
      <c r="C44" s="68"/>
      <c r="D44" s="100"/>
      <c r="E44" s="85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</row>
    <row r="45" ht="13.5" customHeight="1">
      <c r="C45" s="68" t="s">
        <v>172</v>
      </c>
      <c r="D45" s="100"/>
      <c r="E45" s="85"/>
      <c r="F45" s="153">
        <v>50.0</v>
      </c>
      <c r="G45" s="153">
        <v>66.0</v>
      </c>
      <c r="H45" s="153">
        <v>95.0</v>
      </c>
      <c r="I45" s="153">
        <v>132.0</v>
      </c>
      <c r="J45" s="153">
        <v>160.0</v>
      </c>
      <c r="K45" s="153">
        <v>200.0</v>
      </c>
      <c r="L45" s="153">
        <v>300.0</v>
      </c>
      <c r="M45" s="153">
        <v>400.0</v>
      </c>
      <c r="N45" s="153">
        <v>500.0</v>
      </c>
      <c r="O45" s="153">
        <v>666.0</v>
      </c>
      <c r="P45" s="153">
        <v>850.0</v>
      </c>
      <c r="Q45" s="153">
        <v>1000.0</v>
      </c>
    </row>
    <row r="46" ht="24.0" customHeight="1">
      <c r="B46" s="79"/>
      <c r="C46" s="154" t="s">
        <v>177</v>
      </c>
      <c r="D46" s="104"/>
      <c r="E46" s="105"/>
      <c r="F46" s="106">
        <f t="shared" ref="F46:Q46" si="27">F43*F45</f>
        <v>525</v>
      </c>
      <c r="G46" s="106">
        <f t="shared" si="27"/>
        <v>693</v>
      </c>
      <c r="H46" s="106">
        <f t="shared" si="27"/>
        <v>997.5</v>
      </c>
      <c r="I46" s="106">
        <f t="shared" si="27"/>
        <v>1386</v>
      </c>
      <c r="J46" s="106">
        <f t="shared" si="27"/>
        <v>1680</v>
      </c>
      <c r="K46" s="106">
        <f t="shared" si="27"/>
        <v>2100</v>
      </c>
      <c r="L46" s="106">
        <f t="shared" si="27"/>
        <v>3150</v>
      </c>
      <c r="M46" s="106">
        <f t="shared" si="27"/>
        <v>4200</v>
      </c>
      <c r="N46" s="106">
        <f t="shared" si="27"/>
        <v>5250</v>
      </c>
      <c r="O46" s="106">
        <f t="shared" si="27"/>
        <v>6993</v>
      </c>
      <c r="P46" s="106">
        <f t="shared" si="27"/>
        <v>8925</v>
      </c>
      <c r="Q46" s="106">
        <f t="shared" si="27"/>
        <v>10500</v>
      </c>
    </row>
    <row r="47" ht="13.5" customHeight="1"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</row>
    <row r="48" ht="24.0" customHeight="1">
      <c r="A48" s="66"/>
      <c r="B48" s="143" t="s">
        <v>29</v>
      </c>
      <c r="C48" s="143" t="s">
        <v>178</v>
      </c>
      <c r="D48" s="79"/>
      <c r="E48" s="80"/>
      <c r="F48" s="144">
        <v>1.0</v>
      </c>
      <c r="G48" s="144">
        <v>2.0</v>
      </c>
      <c r="H48" s="144">
        <v>3.0</v>
      </c>
      <c r="I48" s="144">
        <v>4.0</v>
      </c>
      <c r="J48" s="144">
        <v>5.0</v>
      </c>
      <c r="K48" s="144">
        <v>6.0</v>
      </c>
      <c r="L48" s="144">
        <v>7.0</v>
      </c>
      <c r="M48" s="144">
        <v>8.0</v>
      </c>
      <c r="N48" s="144">
        <v>9.0</v>
      </c>
      <c r="O48" s="144">
        <v>10.0</v>
      </c>
      <c r="P48" s="144">
        <v>11.0</v>
      </c>
      <c r="Q48" s="144">
        <v>12.0</v>
      </c>
      <c r="R48" s="66"/>
      <c r="S48" s="66"/>
      <c r="T48" s="66"/>
      <c r="U48" s="66"/>
      <c r="V48" s="66"/>
      <c r="W48" s="66"/>
      <c r="X48" s="66"/>
      <c r="Y48" s="66"/>
      <c r="Z48" s="66"/>
    </row>
    <row r="49" ht="13.5" customHeight="1">
      <c r="C49" s="82" t="s">
        <v>160</v>
      </c>
      <c r="D49" s="82"/>
      <c r="E49" s="99" t="s">
        <v>161</v>
      </c>
      <c r="F49" s="145">
        <f>T52</f>
        <v>1.5</v>
      </c>
      <c r="G49" s="145">
        <f t="shared" ref="G49:Q49" si="28">F49</f>
        <v>1.5</v>
      </c>
      <c r="H49" s="145">
        <f t="shared" si="28"/>
        <v>1.5</v>
      </c>
      <c r="I49" s="145">
        <f t="shared" si="28"/>
        <v>1.5</v>
      </c>
      <c r="J49" s="145">
        <f t="shared" si="28"/>
        <v>1.5</v>
      </c>
      <c r="K49" s="145">
        <f t="shared" si="28"/>
        <v>1.5</v>
      </c>
      <c r="L49" s="145">
        <f t="shared" si="28"/>
        <v>1.5</v>
      </c>
      <c r="M49" s="145">
        <f t="shared" si="28"/>
        <v>1.5</v>
      </c>
      <c r="N49" s="145">
        <f t="shared" si="28"/>
        <v>1.5</v>
      </c>
      <c r="O49" s="145">
        <f t="shared" si="28"/>
        <v>1.5</v>
      </c>
      <c r="P49" s="145">
        <f t="shared" si="28"/>
        <v>1.5</v>
      </c>
      <c r="Q49" s="145">
        <f t="shared" si="28"/>
        <v>1.5</v>
      </c>
      <c r="R49" s="69">
        <v>1.0</v>
      </c>
      <c r="S49" s="69" t="s">
        <v>162</v>
      </c>
      <c r="T49" s="69">
        <v>50.0</v>
      </c>
    </row>
    <row r="50" ht="13.5" customHeight="1">
      <c r="C50" s="68" t="s">
        <v>163</v>
      </c>
      <c r="D50" s="146">
        <v>1.0</v>
      </c>
      <c r="E50" s="85"/>
      <c r="F50" s="147">
        <f t="shared" ref="F50:Q50" si="29">F49*$D$5</f>
        <v>1.5</v>
      </c>
      <c r="G50" s="147">
        <f t="shared" si="29"/>
        <v>1.5</v>
      </c>
      <c r="H50" s="147">
        <f t="shared" si="29"/>
        <v>1.5</v>
      </c>
      <c r="I50" s="147">
        <f t="shared" si="29"/>
        <v>1.5</v>
      </c>
      <c r="J50" s="147">
        <f t="shared" si="29"/>
        <v>1.5</v>
      </c>
      <c r="K50" s="147">
        <f t="shared" si="29"/>
        <v>1.5</v>
      </c>
      <c r="L50" s="147">
        <f t="shared" si="29"/>
        <v>1.5</v>
      </c>
      <c r="M50" s="147">
        <f t="shared" si="29"/>
        <v>1.5</v>
      </c>
      <c r="N50" s="147">
        <f t="shared" si="29"/>
        <v>1.5</v>
      </c>
      <c r="O50" s="147">
        <f t="shared" si="29"/>
        <v>1.5</v>
      </c>
      <c r="P50" s="147">
        <f t="shared" si="29"/>
        <v>1.5</v>
      </c>
      <c r="Q50" s="147">
        <f t="shared" si="29"/>
        <v>1.5</v>
      </c>
      <c r="R50" s="69">
        <v>1.0</v>
      </c>
      <c r="S50" s="69" t="s">
        <v>164</v>
      </c>
      <c r="T50" s="69">
        <f>T49/1000</f>
        <v>0.05</v>
      </c>
    </row>
    <row r="51" ht="13.5" customHeight="1">
      <c r="C51" s="68" t="s">
        <v>165</v>
      </c>
      <c r="D51" s="146">
        <v>1.0</v>
      </c>
      <c r="E51" s="85"/>
      <c r="F51" s="147">
        <f t="shared" ref="F51:Q51" si="30">F49*$D$6</f>
        <v>1.5</v>
      </c>
      <c r="G51" s="147">
        <f t="shared" si="30"/>
        <v>1.5</v>
      </c>
      <c r="H51" s="147">
        <f t="shared" si="30"/>
        <v>1.5</v>
      </c>
      <c r="I51" s="147">
        <f t="shared" si="30"/>
        <v>1.5</v>
      </c>
      <c r="J51" s="147">
        <f t="shared" si="30"/>
        <v>1.5</v>
      </c>
      <c r="K51" s="147">
        <f t="shared" si="30"/>
        <v>1.5</v>
      </c>
      <c r="L51" s="147">
        <f t="shared" si="30"/>
        <v>1.5</v>
      </c>
      <c r="M51" s="147">
        <f t="shared" si="30"/>
        <v>1.5</v>
      </c>
      <c r="N51" s="147">
        <f t="shared" si="30"/>
        <v>1.5</v>
      </c>
      <c r="O51" s="147">
        <f t="shared" si="30"/>
        <v>1.5</v>
      </c>
      <c r="P51" s="147">
        <f t="shared" si="30"/>
        <v>1.5</v>
      </c>
      <c r="Q51" s="147">
        <f t="shared" si="30"/>
        <v>1.5</v>
      </c>
    </row>
    <row r="52" ht="13.5" customHeight="1">
      <c r="C52" s="68" t="s">
        <v>166</v>
      </c>
      <c r="D52" s="146">
        <v>2.0</v>
      </c>
      <c r="E52" s="85"/>
      <c r="F52" s="147">
        <f t="shared" ref="F52:Q52" si="31">F49*$D$7</f>
        <v>3</v>
      </c>
      <c r="G52" s="147">
        <f t="shared" si="31"/>
        <v>3</v>
      </c>
      <c r="H52" s="147">
        <f t="shared" si="31"/>
        <v>3</v>
      </c>
      <c r="I52" s="147">
        <f t="shared" si="31"/>
        <v>3</v>
      </c>
      <c r="J52" s="147">
        <f t="shared" si="31"/>
        <v>3</v>
      </c>
      <c r="K52" s="147">
        <f t="shared" si="31"/>
        <v>3</v>
      </c>
      <c r="L52" s="147">
        <f t="shared" si="31"/>
        <v>3</v>
      </c>
      <c r="M52" s="147">
        <f t="shared" si="31"/>
        <v>3</v>
      </c>
      <c r="N52" s="147">
        <f t="shared" si="31"/>
        <v>3</v>
      </c>
      <c r="O52" s="147">
        <f t="shared" si="31"/>
        <v>3</v>
      </c>
      <c r="P52" s="147">
        <f t="shared" si="31"/>
        <v>3</v>
      </c>
      <c r="Q52" s="147">
        <f t="shared" si="31"/>
        <v>3</v>
      </c>
      <c r="R52" s="69">
        <v>30.0</v>
      </c>
      <c r="S52" s="69" t="s">
        <v>164</v>
      </c>
      <c r="T52" s="69">
        <f>T50*R52</f>
        <v>1.5</v>
      </c>
    </row>
    <row r="53" ht="13.5" customHeight="1">
      <c r="C53" s="68" t="s">
        <v>167</v>
      </c>
      <c r="D53" s="146">
        <v>2.0</v>
      </c>
      <c r="E53" s="85"/>
      <c r="F53" s="148">
        <f t="shared" ref="F53:Q53" si="32">F49*$D$8</f>
        <v>3</v>
      </c>
      <c r="G53" s="148">
        <f t="shared" si="32"/>
        <v>3</v>
      </c>
      <c r="H53" s="148">
        <f t="shared" si="32"/>
        <v>3</v>
      </c>
      <c r="I53" s="148">
        <f t="shared" si="32"/>
        <v>3</v>
      </c>
      <c r="J53" s="148">
        <f t="shared" si="32"/>
        <v>3</v>
      </c>
      <c r="K53" s="148">
        <f t="shared" si="32"/>
        <v>3</v>
      </c>
      <c r="L53" s="148">
        <f t="shared" si="32"/>
        <v>3</v>
      </c>
      <c r="M53" s="148">
        <f t="shared" si="32"/>
        <v>3</v>
      </c>
      <c r="N53" s="148">
        <f t="shared" si="32"/>
        <v>3</v>
      </c>
      <c r="O53" s="148">
        <f t="shared" si="32"/>
        <v>3</v>
      </c>
      <c r="P53" s="148">
        <f t="shared" si="32"/>
        <v>3</v>
      </c>
      <c r="Q53" s="148">
        <f t="shared" si="32"/>
        <v>3</v>
      </c>
      <c r="R53" s="23"/>
      <c r="S53" s="23"/>
      <c r="T53" s="23"/>
      <c r="U53" s="23"/>
      <c r="V53" s="23"/>
      <c r="W53" s="23"/>
      <c r="X53" s="23"/>
      <c r="Y53" s="23"/>
      <c r="Z53" s="23"/>
    </row>
    <row r="54" ht="13.5" customHeight="1">
      <c r="C54" s="90" t="s">
        <v>168</v>
      </c>
      <c r="D54" s="90"/>
      <c r="E54" s="91"/>
      <c r="F54" s="149">
        <f t="shared" ref="F54:Q54" si="33">SUM(F49:F53)</f>
        <v>10.5</v>
      </c>
      <c r="G54" s="149">
        <f t="shared" si="33"/>
        <v>10.5</v>
      </c>
      <c r="H54" s="149">
        <f t="shared" si="33"/>
        <v>10.5</v>
      </c>
      <c r="I54" s="149">
        <f t="shared" si="33"/>
        <v>10.5</v>
      </c>
      <c r="J54" s="149">
        <f t="shared" si="33"/>
        <v>10.5</v>
      </c>
      <c r="K54" s="149">
        <f t="shared" si="33"/>
        <v>10.5</v>
      </c>
      <c r="L54" s="149">
        <f t="shared" si="33"/>
        <v>10.5</v>
      </c>
      <c r="M54" s="149">
        <f t="shared" si="33"/>
        <v>10.5</v>
      </c>
      <c r="N54" s="149">
        <f t="shared" si="33"/>
        <v>10.5</v>
      </c>
      <c r="O54" s="149">
        <f t="shared" si="33"/>
        <v>10.5</v>
      </c>
      <c r="P54" s="149">
        <f t="shared" si="33"/>
        <v>10.5</v>
      </c>
      <c r="Q54" s="149">
        <f t="shared" si="33"/>
        <v>10.5</v>
      </c>
      <c r="R54" s="23">
        <v>2000.0</v>
      </c>
      <c r="T54" s="150">
        <f>R54/R52</f>
        <v>66.66666667</v>
      </c>
    </row>
    <row r="55" ht="13.5" customHeight="1">
      <c r="C55" s="68"/>
      <c r="D55" s="68"/>
      <c r="E55" s="93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</row>
    <row r="56" ht="13.5" customHeight="1">
      <c r="C56" s="95" t="s">
        <v>169</v>
      </c>
      <c r="D56" s="95"/>
      <c r="E56" s="96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</row>
    <row r="57" ht="13.5" customHeight="1">
      <c r="C57" s="82" t="s">
        <v>170</v>
      </c>
      <c r="D57" s="98"/>
      <c r="E57" s="99"/>
      <c r="F57" s="145"/>
      <c r="G57" s="145"/>
      <c r="H57" s="151">
        <v>21.0</v>
      </c>
      <c r="I57" s="145">
        <f t="shared" ref="I57:Q57" si="34">H57</f>
        <v>21</v>
      </c>
      <c r="J57" s="145">
        <f t="shared" si="34"/>
        <v>21</v>
      </c>
      <c r="K57" s="145">
        <f t="shared" si="34"/>
        <v>21</v>
      </c>
      <c r="L57" s="145">
        <f t="shared" si="34"/>
        <v>21</v>
      </c>
      <c r="M57" s="145">
        <f t="shared" si="34"/>
        <v>21</v>
      </c>
      <c r="N57" s="145">
        <f t="shared" si="34"/>
        <v>21</v>
      </c>
      <c r="O57" s="145">
        <f t="shared" si="34"/>
        <v>21</v>
      </c>
      <c r="P57" s="145">
        <f t="shared" si="34"/>
        <v>21</v>
      </c>
      <c r="Q57" s="145">
        <f t="shared" si="34"/>
        <v>21</v>
      </c>
    </row>
    <row r="58" ht="13.5" customHeight="1">
      <c r="C58" s="90" t="s">
        <v>171</v>
      </c>
      <c r="D58" s="101"/>
      <c r="E58" s="91"/>
      <c r="F58" s="152"/>
      <c r="G58" s="152"/>
      <c r="H58" s="152">
        <f>H57-H54</f>
        <v>10.5</v>
      </c>
      <c r="I58" s="152">
        <f t="shared" ref="I58:Q58" si="35">H58</f>
        <v>10.5</v>
      </c>
      <c r="J58" s="152">
        <f t="shared" si="35"/>
        <v>10.5</v>
      </c>
      <c r="K58" s="152">
        <f t="shared" si="35"/>
        <v>10.5</v>
      </c>
      <c r="L58" s="152">
        <f t="shared" si="35"/>
        <v>10.5</v>
      </c>
      <c r="M58" s="152">
        <f t="shared" si="35"/>
        <v>10.5</v>
      </c>
      <c r="N58" s="152">
        <f t="shared" si="35"/>
        <v>10.5</v>
      </c>
      <c r="O58" s="152">
        <f t="shared" si="35"/>
        <v>10.5</v>
      </c>
      <c r="P58" s="152">
        <f t="shared" si="35"/>
        <v>10.5</v>
      </c>
      <c r="Q58" s="152">
        <f t="shared" si="35"/>
        <v>10.5</v>
      </c>
    </row>
    <row r="59" ht="13.5" customHeight="1">
      <c r="C59" s="68"/>
      <c r="D59" s="100"/>
      <c r="E59" s="85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</row>
    <row r="60" ht="13.5" customHeight="1">
      <c r="C60" s="68" t="s">
        <v>172</v>
      </c>
      <c r="D60" s="100"/>
      <c r="E60" s="85"/>
      <c r="F60" s="86"/>
      <c r="G60" s="86"/>
      <c r="H60" s="153">
        <v>50.0</v>
      </c>
      <c r="I60" s="153">
        <v>66.0</v>
      </c>
      <c r="J60" s="153">
        <v>80.0</v>
      </c>
      <c r="K60" s="153">
        <v>100.0</v>
      </c>
      <c r="L60" s="153">
        <v>150.0</v>
      </c>
      <c r="M60" s="153">
        <v>150.0</v>
      </c>
      <c r="N60" s="153">
        <v>200.0</v>
      </c>
      <c r="O60" s="153">
        <v>250.0</v>
      </c>
      <c r="P60" s="153">
        <v>350.0</v>
      </c>
      <c r="Q60" s="153">
        <v>500.0</v>
      </c>
    </row>
    <row r="61" ht="24.0" customHeight="1">
      <c r="B61" s="79"/>
      <c r="C61" s="154" t="s">
        <v>179</v>
      </c>
      <c r="D61" s="104"/>
      <c r="E61" s="105"/>
      <c r="F61" s="106">
        <f t="shared" ref="F61:Q61" si="36">F58*F60</f>
        <v>0</v>
      </c>
      <c r="G61" s="106">
        <f t="shared" si="36"/>
        <v>0</v>
      </c>
      <c r="H61" s="106">
        <f t="shared" si="36"/>
        <v>525</v>
      </c>
      <c r="I61" s="106">
        <f t="shared" si="36"/>
        <v>693</v>
      </c>
      <c r="J61" s="106">
        <f t="shared" si="36"/>
        <v>840</v>
      </c>
      <c r="K61" s="106">
        <f t="shared" si="36"/>
        <v>1050</v>
      </c>
      <c r="L61" s="106">
        <f t="shared" si="36"/>
        <v>1575</v>
      </c>
      <c r="M61" s="106">
        <f t="shared" si="36"/>
        <v>1575</v>
      </c>
      <c r="N61" s="106">
        <f t="shared" si="36"/>
        <v>2100</v>
      </c>
      <c r="O61" s="106">
        <f t="shared" si="36"/>
        <v>2625</v>
      </c>
      <c r="P61" s="106">
        <f t="shared" si="36"/>
        <v>3675</v>
      </c>
      <c r="Q61" s="106">
        <f t="shared" si="36"/>
        <v>5250</v>
      </c>
    </row>
    <row r="62" ht="13.5" customHeight="1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</row>
    <row r="63" ht="24.0" customHeight="1">
      <c r="A63" s="66"/>
      <c r="B63" s="143" t="s">
        <v>30</v>
      </c>
      <c r="C63" s="143" t="s">
        <v>180</v>
      </c>
      <c r="D63" s="79"/>
      <c r="E63" s="80"/>
      <c r="F63" s="144">
        <v>1.0</v>
      </c>
      <c r="G63" s="144">
        <v>2.0</v>
      </c>
      <c r="H63" s="144">
        <v>3.0</v>
      </c>
      <c r="I63" s="144">
        <v>4.0</v>
      </c>
      <c r="J63" s="144">
        <v>5.0</v>
      </c>
      <c r="K63" s="144">
        <v>6.0</v>
      </c>
      <c r="L63" s="144">
        <v>7.0</v>
      </c>
      <c r="M63" s="144">
        <v>8.0</v>
      </c>
      <c r="N63" s="144">
        <v>9.0</v>
      </c>
      <c r="O63" s="144">
        <v>10.0</v>
      </c>
      <c r="P63" s="144">
        <v>11.0</v>
      </c>
      <c r="Q63" s="144">
        <v>12.0</v>
      </c>
      <c r="R63" s="66"/>
      <c r="S63" s="66"/>
      <c r="T63" s="66"/>
      <c r="U63" s="66"/>
      <c r="V63" s="66"/>
      <c r="W63" s="66"/>
      <c r="X63" s="66"/>
      <c r="Y63" s="66"/>
      <c r="Z63" s="66"/>
    </row>
    <row r="64" ht="13.5" customHeight="1">
      <c r="C64" s="82" t="s">
        <v>160</v>
      </c>
      <c r="D64" s="82"/>
      <c r="E64" s="99" t="s">
        <v>161</v>
      </c>
      <c r="F64" s="145">
        <f>T67</f>
        <v>1.5</v>
      </c>
      <c r="G64" s="145">
        <f t="shared" ref="G64:Q64" si="37">F64</f>
        <v>1.5</v>
      </c>
      <c r="H64" s="145">
        <f t="shared" si="37"/>
        <v>1.5</v>
      </c>
      <c r="I64" s="145">
        <f t="shared" si="37"/>
        <v>1.5</v>
      </c>
      <c r="J64" s="145">
        <f t="shared" si="37"/>
        <v>1.5</v>
      </c>
      <c r="K64" s="145">
        <f t="shared" si="37"/>
        <v>1.5</v>
      </c>
      <c r="L64" s="145">
        <f t="shared" si="37"/>
        <v>1.5</v>
      </c>
      <c r="M64" s="145">
        <f t="shared" si="37"/>
        <v>1.5</v>
      </c>
      <c r="N64" s="145">
        <f t="shared" si="37"/>
        <v>1.5</v>
      </c>
      <c r="O64" s="145">
        <f t="shared" si="37"/>
        <v>1.5</v>
      </c>
      <c r="P64" s="145">
        <f t="shared" si="37"/>
        <v>1.5</v>
      </c>
      <c r="Q64" s="145">
        <f t="shared" si="37"/>
        <v>1.5</v>
      </c>
      <c r="R64" s="69">
        <v>1.0</v>
      </c>
      <c r="S64" s="69" t="s">
        <v>162</v>
      </c>
      <c r="T64" s="69">
        <v>50.0</v>
      </c>
    </row>
    <row r="65" ht="13.5" customHeight="1">
      <c r="C65" s="68" t="s">
        <v>163</v>
      </c>
      <c r="D65" s="146">
        <v>1.0</v>
      </c>
      <c r="E65" s="85"/>
      <c r="F65" s="147">
        <f t="shared" ref="F65:Q65" si="38">F64*$D$5</f>
        <v>1.5</v>
      </c>
      <c r="G65" s="147">
        <f t="shared" si="38"/>
        <v>1.5</v>
      </c>
      <c r="H65" s="147">
        <f t="shared" si="38"/>
        <v>1.5</v>
      </c>
      <c r="I65" s="147">
        <f t="shared" si="38"/>
        <v>1.5</v>
      </c>
      <c r="J65" s="147">
        <f t="shared" si="38"/>
        <v>1.5</v>
      </c>
      <c r="K65" s="147">
        <f t="shared" si="38"/>
        <v>1.5</v>
      </c>
      <c r="L65" s="147">
        <f t="shared" si="38"/>
        <v>1.5</v>
      </c>
      <c r="M65" s="147">
        <f t="shared" si="38"/>
        <v>1.5</v>
      </c>
      <c r="N65" s="147">
        <f t="shared" si="38"/>
        <v>1.5</v>
      </c>
      <c r="O65" s="147">
        <f t="shared" si="38"/>
        <v>1.5</v>
      </c>
      <c r="P65" s="147">
        <f t="shared" si="38"/>
        <v>1.5</v>
      </c>
      <c r="Q65" s="147">
        <f t="shared" si="38"/>
        <v>1.5</v>
      </c>
      <c r="R65" s="69">
        <v>1.0</v>
      </c>
      <c r="S65" s="69" t="s">
        <v>164</v>
      </c>
      <c r="T65" s="69">
        <f>T64/1000</f>
        <v>0.05</v>
      </c>
    </row>
    <row r="66" ht="13.5" customHeight="1">
      <c r="C66" s="68" t="s">
        <v>165</v>
      </c>
      <c r="D66" s="146">
        <v>1.0</v>
      </c>
      <c r="E66" s="85"/>
      <c r="F66" s="147">
        <f t="shared" ref="F66:Q66" si="39">F64*$D$6</f>
        <v>1.5</v>
      </c>
      <c r="G66" s="147">
        <f t="shared" si="39"/>
        <v>1.5</v>
      </c>
      <c r="H66" s="147">
        <f t="shared" si="39"/>
        <v>1.5</v>
      </c>
      <c r="I66" s="147">
        <f t="shared" si="39"/>
        <v>1.5</v>
      </c>
      <c r="J66" s="147">
        <f t="shared" si="39"/>
        <v>1.5</v>
      </c>
      <c r="K66" s="147">
        <f t="shared" si="39"/>
        <v>1.5</v>
      </c>
      <c r="L66" s="147">
        <f t="shared" si="39"/>
        <v>1.5</v>
      </c>
      <c r="M66" s="147">
        <f t="shared" si="39"/>
        <v>1.5</v>
      </c>
      <c r="N66" s="147">
        <f t="shared" si="39"/>
        <v>1.5</v>
      </c>
      <c r="O66" s="147">
        <f t="shared" si="39"/>
        <v>1.5</v>
      </c>
      <c r="P66" s="147">
        <f t="shared" si="39"/>
        <v>1.5</v>
      </c>
      <c r="Q66" s="147">
        <f t="shared" si="39"/>
        <v>1.5</v>
      </c>
    </row>
    <row r="67" ht="13.5" customHeight="1">
      <c r="C67" s="68" t="s">
        <v>166</v>
      </c>
      <c r="D67" s="146">
        <v>2.0</v>
      </c>
      <c r="E67" s="85"/>
      <c r="F67" s="147">
        <f t="shared" ref="F67:Q67" si="40">F64*$D$7</f>
        <v>3</v>
      </c>
      <c r="G67" s="147">
        <f t="shared" si="40"/>
        <v>3</v>
      </c>
      <c r="H67" s="147">
        <f t="shared" si="40"/>
        <v>3</v>
      </c>
      <c r="I67" s="147">
        <f t="shared" si="40"/>
        <v>3</v>
      </c>
      <c r="J67" s="147">
        <f t="shared" si="40"/>
        <v>3</v>
      </c>
      <c r="K67" s="147">
        <f t="shared" si="40"/>
        <v>3</v>
      </c>
      <c r="L67" s="147">
        <f t="shared" si="40"/>
        <v>3</v>
      </c>
      <c r="M67" s="147">
        <f t="shared" si="40"/>
        <v>3</v>
      </c>
      <c r="N67" s="147">
        <f t="shared" si="40"/>
        <v>3</v>
      </c>
      <c r="O67" s="147">
        <f t="shared" si="40"/>
        <v>3</v>
      </c>
      <c r="P67" s="147">
        <f t="shared" si="40"/>
        <v>3</v>
      </c>
      <c r="Q67" s="147">
        <f t="shared" si="40"/>
        <v>3</v>
      </c>
      <c r="R67" s="69">
        <v>30.0</v>
      </c>
      <c r="S67" s="69" t="s">
        <v>164</v>
      </c>
      <c r="T67" s="69">
        <f>T65*R67</f>
        <v>1.5</v>
      </c>
    </row>
    <row r="68" ht="13.5" customHeight="1">
      <c r="C68" s="68" t="s">
        <v>167</v>
      </c>
      <c r="D68" s="146">
        <v>2.0</v>
      </c>
      <c r="E68" s="85"/>
      <c r="F68" s="148">
        <f t="shared" ref="F68:Q68" si="41">F64*$D$8</f>
        <v>3</v>
      </c>
      <c r="G68" s="148">
        <f t="shared" si="41"/>
        <v>3</v>
      </c>
      <c r="H68" s="148">
        <f t="shared" si="41"/>
        <v>3</v>
      </c>
      <c r="I68" s="148">
        <f t="shared" si="41"/>
        <v>3</v>
      </c>
      <c r="J68" s="148">
        <f t="shared" si="41"/>
        <v>3</v>
      </c>
      <c r="K68" s="148">
        <f t="shared" si="41"/>
        <v>3</v>
      </c>
      <c r="L68" s="148">
        <f t="shared" si="41"/>
        <v>3</v>
      </c>
      <c r="M68" s="148">
        <f t="shared" si="41"/>
        <v>3</v>
      </c>
      <c r="N68" s="148">
        <f t="shared" si="41"/>
        <v>3</v>
      </c>
      <c r="O68" s="148">
        <f t="shared" si="41"/>
        <v>3</v>
      </c>
      <c r="P68" s="148">
        <f t="shared" si="41"/>
        <v>3</v>
      </c>
      <c r="Q68" s="148">
        <f t="shared" si="41"/>
        <v>3</v>
      </c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C69" s="90" t="s">
        <v>168</v>
      </c>
      <c r="D69" s="90"/>
      <c r="E69" s="91"/>
      <c r="F69" s="149">
        <f t="shared" ref="F69:Q69" si="42">SUM(F64:F68)</f>
        <v>10.5</v>
      </c>
      <c r="G69" s="149">
        <f t="shared" si="42"/>
        <v>10.5</v>
      </c>
      <c r="H69" s="149">
        <f t="shared" si="42"/>
        <v>10.5</v>
      </c>
      <c r="I69" s="149">
        <f t="shared" si="42"/>
        <v>10.5</v>
      </c>
      <c r="J69" s="149">
        <f t="shared" si="42"/>
        <v>10.5</v>
      </c>
      <c r="K69" s="149">
        <f t="shared" si="42"/>
        <v>10.5</v>
      </c>
      <c r="L69" s="149">
        <f t="shared" si="42"/>
        <v>10.5</v>
      </c>
      <c r="M69" s="149">
        <f t="shared" si="42"/>
        <v>10.5</v>
      </c>
      <c r="N69" s="149">
        <f t="shared" si="42"/>
        <v>10.5</v>
      </c>
      <c r="O69" s="149">
        <f t="shared" si="42"/>
        <v>10.5</v>
      </c>
      <c r="P69" s="149">
        <f t="shared" si="42"/>
        <v>10.5</v>
      </c>
      <c r="Q69" s="149">
        <f t="shared" si="42"/>
        <v>10.5</v>
      </c>
      <c r="R69" s="23">
        <v>2000.0</v>
      </c>
      <c r="T69" s="150">
        <f>R69/R67</f>
        <v>66.66666667</v>
      </c>
    </row>
    <row r="70" ht="13.5" customHeight="1">
      <c r="C70" s="68"/>
      <c r="D70" s="68"/>
      <c r="E70" s="93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</row>
    <row r="71" ht="13.5" customHeight="1">
      <c r="C71" s="95" t="s">
        <v>169</v>
      </c>
      <c r="D71" s="95"/>
      <c r="E71" s="96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</row>
    <row r="72" ht="13.5" customHeight="1">
      <c r="C72" s="82" t="s">
        <v>170</v>
      </c>
      <c r="D72" s="98"/>
      <c r="E72" s="99"/>
      <c r="F72" s="145"/>
      <c r="G72" s="145"/>
      <c r="H72" s="151">
        <v>21.0</v>
      </c>
      <c r="I72" s="145">
        <f t="shared" ref="I72:Q72" si="43">H72</f>
        <v>21</v>
      </c>
      <c r="J72" s="145">
        <f t="shared" si="43"/>
        <v>21</v>
      </c>
      <c r="K72" s="145">
        <f t="shared" si="43"/>
        <v>21</v>
      </c>
      <c r="L72" s="145">
        <f t="shared" si="43"/>
        <v>21</v>
      </c>
      <c r="M72" s="145">
        <f t="shared" si="43"/>
        <v>21</v>
      </c>
      <c r="N72" s="145">
        <f t="shared" si="43"/>
        <v>21</v>
      </c>
      <c r="O72" s="145">
        <f t="shared" si="43"/>
        <v>21</v>
      </c>
      <c r="P72" s="145">
        <f t="shared" si="43"/>
        <v>21</v>
      </c>
      <c r="Q72" s="145">
        <f t="shared" si="43"/>
        <v>21</v>
      </c>
    </row>
    <row r="73" ht="13.5" customHeight="1">
      <c r="C73" s="90" t="s">
        <v>171</v>
      </c>
      <c r="D73" s="101"/>
      <c r="E73" s="91"/>
      <c r="F73" s="152"/>
      <c r="G73" s="152"/>
      <c r="H73" s="152">
        <f>H72-H69</f>
        <v>10.5</v>
      </c>
      <c r="I73" s="152">
        <f t="shared" ref="I73:Q73" si="44">H73</f>
        <v>10.5</v>
      </c>
      <c r="J73" s="152">
        <f t="shared" si="44"/>
        <v>10.5</v>
      </c>
      <c r="K73" s="152">
        <f t="shared" si="44"/>
        <v>10.5</v>
      </c>
      <c r="L73" s="152">
        <f t="shared" si="44"/>
        <v>10.5</v>
      </c>
      <c r="M73" s="152">
        <f t="shared" si="44"/>
        <v>10.5</v>
      </c>
      <c r="N73" s="152">
        <f t="shared" si="44"/>
        <v>10.5</v>
      </c>
      <c r="O73" s="152">
        <f t="shared" si="44"/>
        <v>10.5</v>
      </c>
      <c r="P73" s="152">
        <f t="shared" si="44"/>
        <v>10.5</v>
      </c>
      <c r="Q73" s="152">
        <f t="shared" si="44"/>
        <v>10.5</v>
      </c>
    </row>
    <row r="74" ht="13.5" customHeight="1">
      <c r="C74" s="68"/>
      <c r="D74" s="100"/>
      <c r="E74" s="85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ht="13.5" customHeight="1">
      <c r="C75" s="68" t="s">
        <v>172</v>
      </c>
      <c r="D75" s="100"/>
      <c r="E75" s="85"/>
      <c r="F75" s="86"/>
      <c r="G75" s="86"/>
      <c r="H75" s="153">
        <v>50.0</v>
      </c>
      <c r="I75" s="153">
        <v>66.0</v>
      </c>
      <c r="J75" s="153">
        <v>80.0</v>
      </c>
      <c r="K75" s="153">
        <v>100.0</v>
      </c>
      <c r="L75" s="153">
        <v>150.0</v>
      </c>
      <c r="M75" s="153">
        <v>150.0</v>
      </c>
      <c r="N75" s="153">
        <v>200.0</v>
      </c>
      <c r="O75" s="153">
        <v>250.0</v>
      </c>
      <c r="P75" s="153">
        <v>350.0</v>
      </c>
      <c r="Q75" s="153">
        <v>500.0</v>
      </c>
    </row>
    <row r="76" ht="24.0" customHeight="1">
      <c r="B76" s="79"/>
      <c r="C76" s="154" t="s">
        <v>181</v>
      </c>
      <c r="D76" s="104"/>
      <c r="E76" s="105"/>
      <c r="F76" s="106">
        <f t="shared" ref="F76:Q76" si="45">F73*F75</f>
        <v>0</v>
      </c>
      <c r="G76" s="106">
        <f t="shared" si="45"/>
        <v>0</v>
      </c>
      <c r="H76" s="106">
        <f t="shared" si="45"/>
        <v>525</v>
      </c>
      <c r="I76" s="106">
        <f t="shared" si="45"/>
        <v>693</v>
      </c>
      <c r="J76" s="106">
        <f t="shared" si="45"/>
        <v>840</v>
      </c>
      <c r="K76" s="106">
        <f t="shared" si="45"/>
        <v>1050</v>
      </c>
      <c r="L76" s="106">
        <f t="shared" si="45"/>
        <v>1575</v>
      </c>
      <c r="M76" s="106">
        <f t="shared" si="45"/>
        <v>1575</v>
      </c>
      <c r="N76" s="106">
        <f t="shared" si="45"/>
        <v>2100</v>
      </c>
      <c r="O76" s="106">
        <f t="shared" si="45"/>
        <v>2625</v>
      </c>
      <c r="P76" s="106">
        <f t="shared" si="45"/>
        <v>3675</v>
      </c>
      <c r="Q76" s="106">
        <f t="shared" si="45"/>
        <v>5250</v>
      </c>
    </row>
    <row r="77" ht="13.5" customHeight="1"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</row>
    <row r="78" ht="24.0" customHeight="1">
      <c r="A78" s="66"/>
      <c r="B78" s="143" t="s">
        <v>31</v>
      </c>
      <c r="C78" s="143" t="s">
        <v>182</v>
      </c>
      <c r="D78" s="79"/>
      <c r="E78" s="80"/>
      <c r="F78" s="144">
        <v>1.0</v>
      </c>
      <c r="G78" s="144">
        <v>2.0</v>
      </c>
      <c r="H78" s="144">
        <v>3.0</v>
      </c>
      <c r="I78" s="144">
        <v>4.0</v>
      </c>
      <c r="J78" s="144">
        <v>5.0</v>
      </c>
      <c r="K78" s="144">
        <v>6.0</v>
      </c>
      <c r="L78" s="144">
        <v>7.0</v>
      </c>
      <c r="M78" s="144">
        <v>8.0</v>
      </c>
      <c r="N78" s="144">
        <v>9.0</v>
      </c>
      <c r="O78" s="144">
        <v>10.0</v>
      </c>
      <c r="P78" s="144">
        <v>11.0</v>
      </c>
      <c r="Q78" s="144">
        <v>12.0</v>
      </c>
      <c r="R78" s="66"/>
      <c r="S78" s="66"/>
      <c r="T78" s="66"/>
      <c r="U78" s="66"/>
      <c r="V78" s="66"/>
      <c r="W78" s="66"/>
      <c r="X78" s="66"/>
      <c r="Y78" s="66"/>
      <c r="Z78" s="66"/>
    </row>
    <row r="79" ht="13.5" customHeight="1">
      <c r="C79" s="82" t="s">
        <v>160</v>
      </c>
      <c r="D79" s="82"/>
      <c r="E79" s="99" t="s">
        <v>161</v>
      </c>
      <c r="F79" s="145">
        <f>T82</f>
        <v>1.5</v>
      </c>
      <c r="G79" s="145">
        <f t="shared" ref="G79:Q79" si="46">F79</f>
        <v>1.5</v>
      </c>
      <c r="H79" s="145">
        <f t="shared" si="46"/>
        <v>1.5</v>
      </c>
      <c r="I79" s="145">
        <f t="shared" si="46"/>
        <v>1.5</v>
      </c>
      <c r="J79" s="145">
        <f t="shared" si="46"/>
        <v>1.5</v>
      </c>
      <c r="K79" s="145">
        <f t="shared" si="46"/>
        <v>1.5</v>
      </c>
      <c r="L79" s="145">
        <f t="shared" si="46"/>
        <v>1.5</v>
      </c>
      <c r="M79" s="145">
        <f t="shared" si="46"/>
        <v>1.5</v>
      </c>
      <c r="N79" s="145">
        <f t="shared" si="46"/>
        <v>1.5</v>
      </c>
      <c r="O79" s="145">
        <f t="shared" si="46"/>
        <v>1.5</v>
      </c>
      <c r="P79" s="145">
        <f t="shared" si="46"/>
        <v>1.5</v>
      </c>
      <c r="Q79" s="145">
        <f t="shared" si="46"/>
        <v>1.5</v>
      </c>
      <c r="R79" s="69">
        <v>1.0</v>
      </c>
      <c r="S79" s="69" t="s">
        <v>162</v>
      </c>
      <c r="T79" s="69">
        <v>50.0</v>
      </c>
    </row>
    <row r="80" ht="13.5" customHeight="1">
      <c r="C80" s="68" t="s">
        <v>163</v>
      </c>
      <c r="D80" s="146">
        <v>1.0</v>
      </c>
      <c r="E80" s="85"/>
      <c r="F80" s="147">
        <f t="shared" ref="F80:Q80" si="47">F79*$D$5</f>
        <v>1.5</v>
      </c>
      <c r="G80" s="147">
        <f t="shared" si="47"/>
        <v>1.5</v>
      </c>
      <c r="H80" s="147">
        <f t="shared" si="47"/>
        <v>1.5</v>
      </c>
      <c r="I80" s="147">
        <f t="shared" si="47"/>
        <v>1.5</v>
      </c>
      <c r="J80" s="147">
        <f t="shared" si="47"/>
        <v>1.5</v>
      </c>
      <c r="K80" s="147">
        <f t="shared" si="47"/>
        <v>1.5</v>
      </c>
      <c r="L80" s="147">
        <f t="shared" si="47"/>
        <v>1.5</v>
      </c>
      <c r="M80" s="147">
        <f t="shared" si="47"/>
        <v>1.5</v>
      </c>
      <c r="N80" s="147">
        <f t="shared" si="47"/>
        <v>1.5</v>
      </c>
      <c r="O80" s="147">
        <f t="shared" si="47"/>
        <v>1.5</v>
      </c>
      <c r="P80" s="147">
        <f t="shared" si="47"/>
        <v>1.5</v>
      </c>
      <c r="Q80" s="147">
        <f t="shared" si="47"/>
        <v>1.5</v>
      </c>
      <c r="R80" s="69">
        <v>1.0</v>
      </c>
      <c r="S80" s="69" t="s">
        <v>164</v>
      </c>
      <c r="T80" s="69">
        <f>T79/1000</f>
        <v>0.05</v>
      </c>
    </row>
    <row r="81" ht="13.5" customHeight="1">
      <c r="C81" s="68" t="s">
        <v>165</v>
      </c>
      <c r="D81" s="146">
        <v>1.0</v>
      </c>
      <c r="E81" s="85"/>
      <c r="F81" s="147">
        <f t="shared" ref="F81:Q81" si="48">F79*$D$6</f>
        <v>1.5</v>
      </c>
      <c r="G81" s="147">
        <f t="shared" si="48"/>
        <v>1.5</v>
      </c>
      <c r="H81" s="147">
        <f t="shared" si="48"/>
        <v>1.5</v>
      </c>
      <c r="I81" s="147">
        <f t="shared" si="48"/>
        <v>1.5</v>
      </c>
      <c r="J81" s="147">
        <f t="shared" si="48"/>
        <v>1.5</v>
      </c>
      <c r="K81" s="147">
        <f t="shared" si="48"/>
        <v>1.5</v>
      </c>
      <c r="L81" s="147">
        <f t="shared" si="48"/>
        <v>1.5</v>
      </c>
      <c r="M81" s="147">
        <f t="shared" si="48"/>
        <v>1.5</v>
      </c>
      <c r="N81" s="147">
        <f t="shared" si="48"/>
        <v>1.5</v>
      </c>
      <c r="O81" s="147">
        <f t="shared" si="48"/>
        <v>1.5</v>
      </c>
      <c r="P81" s="147">
        <f t="shared" si="48"/>
        <v>1.5</v>
      </c>
      <c r="Q81" s="147">
        <f t="shared" si="48"/>
        <v>1.5</v>
      </c>
    </row>
    <row r="82" ht="13.5" customHeight="1">
      <c r="C82" s="68" t="s">
        <v>166</v>
      </c>
      <c r="D82" s="146">
        <v>2.0</v>
      </c>
      <c r="E82" s="85"/>
      <c r="F82" s="147">
        <f t="shared" ref="F82:Q82" si="49">F79*$D$7</f>
        <v>3</v>
      </c>
      <c r="G82" s="147">
        <f t="shared" si="49"/>
        <v>3</v>
      </c>
      <c r="H82" s="147">
        <f t="shared" si="49"/>
        <v>3</v>
      </c>
      <c r="I82" s="147">
        <f t="shared" si="49"/>
        <v>3</v>
      </c>
      <c r="J82" s="147">
        <f t="shared" si="49"/>
        <v>3</v>
      </c>
      <c r="K82" s="147">
        <f t="shared" si="49"/>
        <v>3</v>
      </c>
      <c r="L82" s="147">
        <f t="shared" si="49"/>
        <v>3</v>
      </c>
      <c r="M82" s="147">
        <f t="shared" si="49"/>
        <v>3</v>
      </c>
      <c r="N82" s="147">
        <f t="shared" si="49"/>
        <v>3</v>
      </c>
      <c r="O82" s="147">
        <f t="shared" si="49"/>
        <v>3</v>
      </c>
      <c r="P82" s="147">
        <f t="shared" si="49"/>
        <v>3</v>
      </c>
      <c r="Q82" s="147">
        <f t="shared" si="49"/>
        <v>3</v>
      </c>
      <c r="R82" s="69">
        <v>30.0</v>
      </c>
      <c r="S82" s="69" t="s">
        <v>164</v>
      </c>
      <c r="T82" s="69">
        <f>T80*R82</f>
        <v>1.5</v>
      </c>
    </row>
    <row r="83" ht="13.5" customHeight="1">
      <c r="C83" s="68" t="s">
        <v>167</v>
      </c>
      <c r="D83" s="146">
        <v>2.0</v>
      </c>
      <c r="E83" s="85"/>
      <c r="F83" s="148">
        <f t="shared" ref="F83:Q83" si="50">F79*$D$8</f>
        <v>3</v>
      </c>
      <c r="G83" s="148">
        <f t="shared" si="50"/>
        <v>3</v>
      </c>
      <c r="H83" s="148">
        <f t="shared" si="50"/>
        <v>3</v>
      </c>
      <c r="I83" s="148">
        <f t="shared" si="50"/>
        <v>3</v>
      </c>
      <c r="J83" s="148">
        <f t="shared" si="50"/>
        <v>3</v>
      </c>
      <c r="K83" s="148">
        <f t="shared" si="50"/>
        <v>3</v>
      </c>
      <c r="L83" s="148">
        <f t="shared" si="50"/>
        <v>3</v>
      </c>
      <c r="M83" s="148">
        <f t="shared" si="50"/>
        <v>3</v>
      </c>
      <c r="N83" s="148">
        <f t="shared" si="50"/>
        <v>3</v>
      </c>
      <c r="O83" s="148">
        <f t="shared" si="50"/>
        <v>3</v>
      </c>
      <c r="P83" s="148">
        <f t="shared" si="50"/>
        <v>3</v>
      </c>
      <c r="Q83" s="148">
        <f t="shared" si="50"/>
        <v>3</v>
      </c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C84" s="90" t="s">
        <v>168</v>
      </c>
      <c r="D84" s="90"/>
      <c r="E84" s="91"/>
      <c r="F84" s="149">
        <f t="shared" ref="F84:Q84" si="51">SUM(F79:F83)</f>
        <v>10.5</v>
      </c>
      <c r="G84" s="149">
        <f t="shared" si="51"/>
        <v>10.5</v>
      </c>
      <c r="H84" s="149">
        <f t="shared" si="51"/>
        <v>10.5</v>
      </c>
      <c r="I84" s="149">
        <f t="shared" si="51"/>
        <v>10.5</v>
      </c>
      <c r="J84" s="149">
        <f t="shared" si="51"/>
        <v>10.5</v>
      </c>
      <c r="K84" s="149">
        <f t="shared" si="51"/>
        <v>10.5</v>
      </c>
      <c r="L84" s="149">
        <f t="shared" si="51"/>
        <v>10.5</v>
      </c>
      <c r="M84" s="149">
        <f t="shared" si="51"/>
        <v>10.5</v>
      </c>
      <c r="N84" s="149">
        <f t="shared" si="51"/>
        <v>10.5</v>
      </c>
      <c r="O84" s="149">
        <f t="shared" si="51"/>
        <v>10.5</v>
      </c>
      <c r="P84" s="149">
        <f t="shared" si="51"/>
        <v>10.5</v>
      </c>
      <c r="Q84" s="149">
        <f t="shared" si="51"/>
        <v>10.5</v>
      </c>
      <c r="R84" s="23">
        <v>2000.0</v>
      </c>
      <c r="T84" s="150">
        <f>R84/R82</f>
        <v>66.66666667</v>
      </c>
    </row>
    <row r="85" ht="13.5" customHeight="1">
      <c r="C85" s="68"/>
      <c r="D85" s="68"/>
      <c r="E85" s="93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</row>
    <row r="86" ht="13.5" customHeight="1">
      <c r="C86" s="95" t="s">
        <v>169</v>
      </c>
      <c r="D86" s="95"/>
      <c r="E86" s="96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</row>
    <row r="87" ht="13.5" customHeight="1">
      <c r="C87" s="82" t="s">
        <v>170</v>
      </c>
      <c r="D87" s="98"/>
      <c r="E87" s="99"/>
      <c r="F87" s="145"/>
      <c r="G87" s="145"/>
      <c r="H87" s="151">
        <v>21.0</v>
      </c>
      <c r="I87" s="145">
        <f t="shared" ref="I87:Q87" si="52">H87</f>
        <v>21</v>
      </c>
      <c r="J87" s="145">
        <f t="shared" si="52"/>
        <v>21</v>
      </c>
      <c r="K87" s="145">
        <f t="shared" si="52"/>
        <v>21</v>
      </c>
      <c r="L87" s="145">
        <f t="shared" si="52"/>
        <v>21</v>
      </c>
      <c r="M87" s="145">
        <f t="shared" si="52"/>
        <v>21</v>
      </c>
      <c r="N87" s="145">
        <f t="shared" si="52"/>
        <v>21</v>
      </c>
      <c r="O87" s="145">
        <f t="shared" si="52"/>
        <v>21</v>
      </c>
      <c r="P87" s="145">
        <f t="shared" si="52"/>
        <v>21</v>
      </c>
      <c r="Q87" s="145">
        <f t="shared" si="52"/>
        <v>21</v>
      </c>
    </row>
    <row r="88" ht="13.5" customHeight="1">
      <c r="C88" s="90" t="s">
        <v>171</v>
      </c>
      <c r="D88" s="101"/>
      <c r="E88" s="91"/>
      <c r="F88" s="152"/>
      <c r="G88" s="152"/>
      <c r="H88" s="152">
        <f>H87-H84</f>
        <v>10.5</v>
      </c>
      <c r="I88" s="152">
        <f t="shared" ref="I88:Q88" si="53">H88</f>
        <v>10.5</v>
      </c>
      <c r="J88" s="152">
        <f t="shared" si="53"/>
        <v>10.5</v>
      </c>
      <c r="K88" s="152">
        <f t="shared" si="53"/>
        <v>10.5</v>
      </c>
      <c r="L88" s="152">
        <f t="shared" si="53"/>
        <v>10.5</v>
      </c>
      <c r="M88" s="152">
        <f t="shared" si="53"/>
        <v>10.5</v>
      </c>
      <c r="N88" s="152">
        <f t="shared" si="53"/>
        <v>10.5</v>
      </c>
      <c r="O88" s="152">
        <f t="shared" si="53"/>
        <v>10.5</v>
      </c>
      <c r="P88" s="152">
        <f t="shared" si="53"/>
        <v>10.5</v>
      </c>
      <c r="Q88" s="152">
        <f t="shared" si="53"/>
        <v>10.5</v>
      </c>
    </row>
    <row r="89" ht="13.5" customHeight="1">
      <c r="C89" s="68"/>
      <c r="D89" s="100"/>
      <c r="E89" s="85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</row>
    <row r="90" ht="13.5" customHeight="1">
      <c r="C90" s="68" t="s">
        <v>172</v>
      </c>
      <c r="D90" s="100"/>
      <c r="E90" s="85"/>
      <c r="F90" s="86"/>
      <c r="G90" s="86"/>
      <c r="H90" s="153">
        <v>50.0</v>
      </c>
      <c r="I90" s="153">
        <v>66.0</v>
      </c>
      <c r="J90" s="153">
        <v>80.0</v>
      </c>
      <c r="K90" s="153">
        <v>100.0</v>
      </c>
      <c r="L90" s="153">
        <v>150.0</v>
      </c>
      <c r="M90" s="153">
        <v>150.0</v>
      </c>
      <c r="N90" s="153">
        <v>200.0</v>
      </c>
      <c r="O90" s="153">
        <v>250.0</v>
      </c>
      <c r="P90" s="153">
        <v>350.0</v>
      </c>
      <c r="Q90" s="153">
        <v>500.0</v>
      </c>
    </row>
    <row r="91" ht="24.0" customHeight="1">
      <c r="B91" s="79"/>
      <c r="C91" s="154" t="s">
        <v>183</v>
      </c>
      <c r="D91" s="104"/>
      <c r="E91" s="105"/>
      <c r="F91" s="106">
        <f t="shared" ref="F91:Q91" si="54">F88*F90</f>
        <v>0</v>
      </c>
      <c r="G91" s="106">
        <f t="shared" si="54"/>
        <v>0</v>
      </c>
      <c r="H91" s="106">
        <f t="shared" si="54"/>
        <v>525</v>
      </c>
      <c r="I91" s="106">
        <f t="shared" si="54"/>
        <v>693</v>
      </c>
      <c r="J91" s="106">
        <f t="shared" si="54"/>
        <v>840</v>
      </c>
      <c r="K91" s="106">
        <f t="shared" si="54"/>
        <v>1050</v>
      </c>
      <c r="L91" s="106">
        <f t="shared" si="54"/>
        <v>1575</v>
      </c>
      <c r="M91" s="106">
        <f t="shared" si="54"/>
        <v>1575</v>
      </c>
      <c r="N91" s="106">
        <f t="shared" si="54"/>
        <v>2100</v>
      </c>
      <c r="O91" s="106">
        <f t="shared" si="54"/>
        <v>2625</v>
      </c>
      <c r="P91" s="106">
        <f t="shared" si="54"/>
        <v>3675</v>
      </c>
      <c r="Q91" s="106">
        <f t="shared" si="54"/>
        <v>5250</v>
      </c>
    </row>
    <row r="92" ht="13.5" customHeight="1"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ht="24.0" customHeight="1">
      <c r="A93" s="66"/>
      <c r="B93" s="143" t="s">
        <v>32</v>
      </c>
      <c r="C93" s="143" t="s">
        <v>184</v>
      </c>
      <c r="D93" s="79"/>
      <c r="E93" s="80"/>
      <c r="F93" s="144">
        <v>1.0</v>
      </c>
      <c r="G93" s="144">
        <v>2.0</v>
      </c>
      <c r="H93" s="144">
        <v>3.0</v>
      </c>
      <c r="I93" s="144">
        <v>4.0</v>
      </c>
      <c r="J93" s="144">
        <v>5.0</v>
      </c>
      <c r="K93" s="144">
        <v>6.0</v>
      </c>
      <c r="L93" s="144">
        <v>7.0</v>
      </c>
      <c r="M93" s="144">
        <v>8.0</v>
      </c>
      <c r="N93" s="144">
        <v>9.0</v>
      </c>
      <c r="O93" s="144">
        <v>10.0</v>
      </c>
      <c r="P93" s="144">
        <v>11.0</v>
      </c>
      <c r="Q93" s="144">
        <v>12.0</v>
      </c>
      <c r="R93" s="66"/>
      <c r="S93" s="66"/>
      <c r="T93" s="66"/>
      <c r="U93" s="66"/>
      <c r="V93" s="66"/>
      <c r="W93" s="66"/>
      <c r="X93" s="66"/>
      <c r="Y93" s="66"/>
      <c r="Z93" s="66"/>
    </row>
    <row r="94" ht="13.5" customHeight="1">
      <c r="C94" s="82" t="s">
        <v>160</v>
      </c>
      <c r="D94" s="82"/>
      <c r="E94" s="99" t="s">
        <v>161</v>
      </c>
      <c r="F94" s="145">
        <f>T97</f>
        <v>1.5</v>
      </c>
      <c r="G94" s="145">
        <f t="shared" ref="G94:Q94" si="55">F94</f>
        <v>1.5</v>
      </c>
      <c r="H94" s="145">
        <f t="shared" si="55"/>
        <v>1.5</v>
      </c>
      <c r="I94" s="145">
        <f t="shared" si="55"/>
        <v>1.5</v>
      </c>
      <c r="J94" s="145">
        <f t="shared" si="55"/>
        <v>1.5</v>
      </c>
      <c r="K94" s="145">
        <f t="shared" si="55"/>
        <v>1.5</v>
      </c>
      <c r="L94" s="145">
        <f t="shared" si="55"/>
        <v>1.5</v>
      </c>
      <c r="M94" s="145">
        <f t="shared" si="55"/>
        <v>1.5</v>
      </c>
      <c r="N94" s="145">
        <f t="shared" si="55"/>
        <v>1.5</v>
      </c>
      <c r="O94" s="145">
        <f t="shared" si="55"/>
        <v>1.5</v>
      </c>
      <c r="P94" s="145">
        <f t="shared" si="55"/>
        <v>1.5</v>
      </c>
      <c r="Q94" s="145">
        <f t="shared" si="55"/>
        <v>1.5</v>
      </c>
      <c r="R94" s="69">
        <v>1.0</v>
      </c>
      <c r="S94" s="69" t="s">
        <v>162</v>
      </c>
      <c r="T94" s="69">
        <v>50.0</v>
      </c>
    </row>
    <row r="95" ht="13.5" customHeight="1">
      <c r="C95" s="68" t="s">
        <v>163</v>
      </c>
      <c r="D95" s="146">
        <v>1.0</v>
      </c>
      <c r="E95" s="85"/>
      <c r="F95" s="147">
        <f t="shared" ref="F95:Q95" si="56">F94*$D$5</f>
        <v>1.5</v>
      </c>
      <c r="G95" s="147">
        <f t="shared" si="56"/>
        <v>1.5</v>
      </c>
      <c r="H95" s="147">
        <f t="shared" si="56"/>
        <v>1.5</v>
      </c>
      <c r="I95" s="147">
        <f t="shared" si="56"/>
        <v>1.5</v>
      </c>
      <c r="J95" s="147">
        <f t="shared" si="56"/>
        <v>1.5</v>
      </c>
      <c r="K95" s="147">
        <f t="shared" si="56"/>
        <v>1.5</v>
      </c>
      <c r="L95" s="147">
        <f t="shared" si="56"/>
        <v>1.5</v>
      </c>
      <c r="M95" s="147">
        <f t="shared" si="56"/>
        <v>1.5</v>
      </c>
      <c r="N95" s="147">
        <f t="shared" si="56"/>
        <v>1.5</v>
      </c>
      <c r="O95" s="147">
        <f t="shared" si="56"/>
        <v>1.5</v>
      </c>
      <c r="P95" s="147">
        <f t="shared" si="56"/>
        <v>1.5</v>
      </c>
      <c r="Q95" s="147">
        <f t="shared" si="56"/>
        <v>1.5</v>
      </c>
      <c r="R95" s="69">
        <v>1.0</v>
      </c>
      <c r="S95" s="69" t="s">
        <v>164</v>
      </c>
      <c r="T95" s="69">
        <f>T94/1000</f>
        <v>0.05</v>
      </c>
    </row>
    <row r="96" ht="13.5" customHeight="1">
      <c r="C96" s="68" t="s">
        <v>165</v>
      </c>
      <c r="D96" s="146">
        <v>1.0</v>
      </c>
      <c r="E96" s="85"/>
      <c r="F96" s="147">
        <f t="shared" ref="F96:Q96" si="57">F94*$D$6</f>
        <v>1.5</v>
      </c>
      <c r="G96" s="147">
        <f t="shared" si="57"/>
        <v>1.5</v>
      </c>
      <c r="H96" s="147">
        <f t="shared" si="57"/>
        <v>1.5</v>
      </c>
      <c r="I96" s="147">
        <f t="shared" si="57"/>
        <v>1.5</v>
      </c>
      <c r="J96" s="147">
        <f t="shared" si="57"/>
        <v>1.5</v>
      </c>
      <c r="K96" s="147">
        <f t="shared" si="57"/>
        <v>1.5</v>
      </c>
      <c r="L96" s="147">
        <f t="shared" si="57"/>
        <v>1.5</v>
      </c>
      <c r="M96" s="147">
        <f t="shared" si="57"/>
        <v>1.5</v>
      </c>
      <c r="N96" s="147">
        <f t="shared" si="57"/>
        <v>1.5</v>
      </c>
      <c r="O96" s="147">
        <f t="shared" si="57"/>
        <v>1.5</v>
      </c>
      <c r="P96" s="147">
        <f t="shared" si="57"/>
        <v>1.5</v>
      </c>
      <c r="Q96" s="147">
        <f t="shared" si="57"/>
        <v>1.5</v>
      </c>
    </row>
    <row r="97" ht="13.5" customHeight="1">
      <c r="C97" s="68" t="s">
        <v>166</v>
      </c>
      <c r="D97" s="146">
        <v>2.0</v>
      </c>
      <c r="E97" s="85"/>
      <c r="F97" s="147">
        <f t="shared" ref="F97:Q97" si="58">F94*$D$7</f>
        <v>3</v>
      </c>
      <c r="G97" s="147">
        <f t="shared" si="58"/>
        <v>3</v>
      </c>
      <c r="H97" s="147">
        <f t="shared" si="58"/>
        <v>3</v>
      </c>
      <c r="I97" s="147">
        <f t="shared" si="58"/>
        <v>3</v>
      </c>
      <c r="J97" s="147">
        <f t="shared" si="58"/>
        <v>3</v>
      </c>
      <c r="K97" s="147">
        <f t="shared" si="58"/>
        <v>3</v>
      </c>
      <c r="L97" s="147">
        <f t="shared" si="58"/>
        <v>3</v>
      </c>
      <c r="M97" s="147">
        <f t="shared" si="58"/>
        <v>3</v>
      </c>
      <c r="N97" s="147">
        <f t="shared" si="58"/>
        <v>3</v>
      </c>
      <c r="O97" s="147">
        <f t="shared" si="58"/>
        <v>3</v>
      </c>
      <c r="P97" s="147">
        <f t="shared" si="58"/>
        <v>3</v>
      </c>
      <c r="Q97" s="147">
        <f t="shared" si="58"/>
        <v>3</v>
      </c>
      <c r="R97" s="69">
        <v>30.0</v>
      </c>
      <c r="S97" s="69" t="s">
        <v>164</v>
      </c>
      <c r="T97" s="69">
        <f>T95*R97</f>
        <v>1.5</v>
      </c>
    </row>
    <row r="98" ht="13.5" customHeight="1">
      <c r="C98" s="68" t="s">
        <v>167</v>
      </c>
      <c r="D98" s="146">
        <v>2.0</v>
      </c>
      <c r="E98" s="85"/>
      <c r="F98" s="148">
        <f t="shared" ref="F98:Q98" si="59">F94*$D$8</f>
        <v>3</v>
      </c>
      <c r="G98" s="148">
        <f t="shared" si="59"/>
        <v>3</v>
      </c>
      <c r="H98" s="148">
        <f t="shared" si="59"/>
        <v>3</v>
      </c>
      <c r="I98" s="148">
        <f t="shared" si="59"/>
        <v>3</v>
      </c>
      <c r="J98" s="148">
        <f t="shared" si="59"/>
        <v>3</v>
      </c>
      <c r="K98" s="148">
        <f t="shared" si="59"/>
        <v>3</v>
      </c>
      <c r="L98" s="148">
        <f t="shared" si="59"/>
        <v>3</v>
      </c>
      <c r="M98" s="148">
        <f t="shared" si="59"/>
        <v>3</v>
      </c>
      <c r="N98" s="148">
        <f t="shared" si="59"/>
        <v>3</v>
      </c>
      <c r="O98" s="148">
        <f t="shared" si="59"/>
        <v>3</v>
      </c>
      <c r="P98" s="148">
        <f t="shared" si="59"/>
        <v>3</v>
      </c>
      <c r="Q98" s="148">
        <f t="shared" si="59"/>
        <v>3</v>
      </c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C99" s="90" t="s">
        <v>168</v>
      </c>
      <c r="D99" s="90"/>
      <c r="E99" s="91"/>
      <c r="F99" s="149">
        <f t="shared" ref="F99:Q99" si="60">SUM(F94:F98)</f>
        <v>10.5</v>
      </c>
      <c r="G99" s="149">
        <f t="shared" si="60"/>
        <v>10.5</v>
      </c>
      <c r="H99" s="149">
        <f t="shared" si="60"/>
        <v>10.5</v>
      </c>
      <c r="I99" s="149">
        <f t="shared" si="60"/>
        <v>10.5</v>
      </c>
      <c r="J99" s="149">
        <f t="shared" si="60"/>
        <v>10.5</v>
      </c>
      <c r="K99" s="149">
        <f t="shared" si="60"/>
        <v>10.5</v>
      </c>
      <c r="L99" s="149">
        <f t="shared" si="60"/>
        <v>10.5</v>
      </c>
      <c r="M99" s="149">
        <f t="shared" si="60"/>
        <v>10.5</v>
      </c>
      <c r="N99" s="149">
        <f t="shared" si="60"/>
        <v>10.5</v>
      </c>
      <c r="O99" s="149">
        <f t="shared" si="60"/>
        <v>10.5</v>
      </c>
      <c r="P99" s="149">
        <f t="shared" si="60"/>
        <v>10.5</v>
      </c>
      <c r="Q99" s="149">
        <f t="shared" si="60"/>
        <v>10.5</v>
      </c>
      <c r="R99" s="23">
        <v>2000.0</v>
      </c>
      <c r="T99" s="150">
        <f>R99/R97</f>
        <v>66.66666667</v>
      </c>
    </row>
    <row r="100" ht="13.5" customHeight="1">
      <c r="C100" s="68"/>
      <c r="D100" s="68"/>
      <c r="E100" s="93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</row>
    <row r="101" ht="13.5" customHeight="1">
      <c r="C101" s="95" t="s">
        <v>169</v>
      </c>
      <c r="D101" s="95"/>
      <c r="E101" s="96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</row>
    <row r="102" ht="13.5" customHeight="1">
      <c r="C102" s="82" t="s">
        <v>170</v>
      </c>
      <c r="D102" s="98"/>
      <c r="E102" s="99"/>
      <c r="F102" s="151"/>
      <c r="G102" s="145"/>
      <c r="H102" s="145"/>
      <c r="I102" s="145"/>
      <c r="J102" s="151"/>
      <c r="K102" s="145"/>
      <c r="L102" s="145"/>
      <c r="M102" s="145"/>
      <c r="N102" s="151">
        <v>21.0</v>
      </c>
      <c r="O102" s="145">
        <f t="shared" ref="O102:Q102" si="61">N102</f>
        <v>21</v>
      </c>
      <c r="P102" s="145">
        <f t="shared" si="61"/>
        <v>21</v>
      </c>
      <c r="Q102" s="145">
        <f t="shared" si="61"/>
        <v>21</v>
      </c>
    </row>
    <row r="103" ht="13.5" customHeight="1">
      <c r="C103" s="90" t="s">
        <v>171</v>
      </c>
      <c r="D103" s="101"/>
      <c r="E103" s="91"/>
      <c r="F103" s="152"/>
      <c r="G103" s="152"/>
      <c r="H103" s="152"/>
      <c r="I103" s="152"/>
      <c r="J103" s="155"/>
      <c r="K103" s="152"/>
      <c r="L103" s="152"/>
      <c r="M103" s="152"/>
      <c r="N103" s="155">
        <v>10.5</v>
      </c>
      <c r="O103" s="152">
        <f t="shared" ref="O103:Q103" si="62">N103</f>
        <v>10.5</v>
      </c>
      <c r="P103" s="152">
        <f t="shared" si="62"/>
        <v>10.5</v>
      </c>
      <c r="Q103" s="152">
        <f t="shared" si="62"/>
        <v>10.5</v>
      </c>
    </row>
    <row r="104" ht="13.5" customHeight="1">
      <c r="C104" s="68"/>
      <c r="D104" s="100"/>
      <c r="E104" s="85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</row>
    <row r="105" ht="13.5" customHeight="1">
      <c r="C105" s="68" t="s">
        <v>172</v>
      </c>
      <c r="D105" s="100"/>
      <c r="E105" s="85"/>
      <c r="F105" s="153"/>
      <c r="G105" s="153"/>
      <c r="H105" s="153"/>
      <c r="I105" s="153"/>
      <c r="J105" s="153"/>
      <c r="K105" s="153"/>
      <c r="L105" s="153"/>
      <c r="M105" s="153"/>
      <c r="N105" s="153">
        <v>100.0</v>
      </c>
      <c r="O105" s="153">
        <v>200.0</v>
      </c>
      <c r="P105" s="153">
        <v>300.0</v>
      </c>
      <c r="Q105" s="153">
        <v>450.0</v>
      </c>
    </row>
    <row r="106" ht="24.0" customHeight="1">
      <c r="B106" s="79"/>
      <c r="C106" s="154" t="s">
        <v>185</v>
      </c>
      <c r="D106" s="104"/>
      <c r="E106" s="105"/>
      <c r="F106" s="106">
        <f t="shared" ref="F106:Q106" si="63">F103*F105</f>
        <v>0</v>
      </c>
      <c r="G106" s="106">
        <f t="shared" si="63"/>
        <v>0</v>
      </c>
      <c r="H106" s="106">
        <f t="shared" si="63"/>
        <v>0</v>
      </c>
      <c r="I106" s="106">
        <f t="shared" si="63"/>
        <v>0</v>
      </c>
      <c r="J106" s="106">
        <f t="shared" si="63"/>
        <v>0</v>
      </c>
      <c r="K106" s="106">
        <f t="shared" si="63"/>
        <v>0</v>
      </c>
      <c r="L106" s="106">
        <f t="shared" si="63"/>
        <v>0</v>
      </c>
      <c r="M106" s="106">
        <f t="shared" si="63"/>
        <v>0</v>
      </c>
      <c r="N106" s="106">
        <f t="shared" si="63"/>
        <v>1050</v>
      </c>
      <c r="O106" s="106">
        <f t="shared" si="63"/>
        <v>2100</v>
      </c>
      <c r="P106" s="106">
        <f t="shared" si="63"/>
        <v>3150</v>
      </c>
      <c r="Q106" s="106">
        <f t="shared" si="63"/>
        <v>4725</v>
      </c>
    </row>
    <row r="107" ht="13.5" customHeight="1"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</row>
    <row r="108" ht="24.0" customHeight="1">
      <c r="A108" s="66"/>
      <c r="B108" s="143" t="s">
        <v>33</v>
      </c>
      <c r="C108" s="143" t="s">
        <v>186</v>
      </c>
      <c r="D108" s="79"/>
      <c r="E108" s="80"/>
      <c r="F108" s="144">
        <v>1.0</v>
      </c>
      <c r="G108" s="144">
        <v>2.0</v>
      </c>
      <c r="H108" s="144">
        <v>3.0</v>
      </c>
      <c r="I108" s="144">
        <v>4.0</v>
      </c>
      <c r="J108" s="144">
        <v>5.0</v>
      </c>
      <c r="K108" s="144">
        <v>6.0</v>
      </c>
      <c r="L108" s="144">
        <v>7.0</v>
      </c>
      <c r="M108" s="144">
        <v>8.0</v>
      </c>
      <c r="N108" s="144">
        <v>9.0</v>
      </c>
      <c r="O108" s="144">
        <v>10.0</v>
      </c>
      <c r="P108" s="144">
        <v>11.0</v>
      </c>
      <c r="Q108" s="144">
        <v>12.0</v>
      </c>
      <c r="R108" s="66"/>
      <c r="S108" s="66"/>
      <c r="T108" s="66"/>
      <c r="U108" s="66"/>
      <c r="V108" s="66"/>
      <c r="W108" s="66"/>
      <c r="X108" s="66"/>
      <c r="Y108" s="66"/>
      <c r="Z108" s="66"/>
    </row>
    <row r="109" ht="13.5" customHeight="1">
      <c r="C109" s="82" t="s">
        <v>160</v>
      </c>
      <c r="D109" s="82"/>
      <c r="E109" s="156" t="s">
        <v>187</v>
      </c>
      <c r="F109" s="145">
        <f>T112</f>
        <v>1.5</v>
      </c>
      <c r="G109" s="145">
        <f t="shared" ref="G109:Q109" si="64">F109</f>
        <v>1.5</v>
      </c>
      <c r="H109" s="145">
        <f t="shared" si="64"/>
        <v>1.5</v>
      </c>
      <c r="I109" s="145">
        <f t="shared" si="64"/>
        <v>1.5</v>
      </c>
      <c r="J109" s="145">
        <f t="shared" si="64"/>
        <v>1.5</v>
      </c>
      <c r="K109" s="145">
        <f t="shared" si="64"/>
        <v>1.5</v>
      </c>
      <c r="L109" s="145">
        <f t="shared" si="64"/>
        <v>1.5</v>
      </c>
      <c r="M109" s="145">
        <f t="shared" si="64"/>
        <v>1.5</v>
      </c>
      <c r="N109" s="145">
        <f t="shared" si="64"/>
        <v>1.5</v>
      </c>
      <c r="O109" s="145">
        <f t="shared" si="64"/>
        <v>1.5</v>
      </c>
      <c r="P109" s="145">
        <f t="shared" si="64"/>
        <v>1.5</v>
      </c>
      <c r="Q109" s="145">
        <f t="shared" si="64"/>
        <v>1.5</v>
      </c>
      <c r="R109" s="69">
        <v>1.0</v>
      </c>
      <c r="S109" s="69" t="s">
        <v>162</v>
      </c>
      <c r="T109" s="69">
        <v>50.0</v>
      </c>
    </row>
    <row r="110" ht="13.5" customHeight="1">
      <c r="C110" s="68" t="s">
        <v>163</v>
      </c>
      <c r="D110" s="146">
        <v>1.0</v>
      </c>
      <c r="E110" s="85"/>
      <c r="F110" s="147">
        <f t="shared" ref="F110:Q110" si="65">F109*$D$5</f>
        <v>1.5</v>
      </c>
      <c r="G110" s="147">
        <f t="shared" si="65"/>
        <v>1.5</v>
      </c>
      <c r="H110" s="147">
        <f t="shared" si="65"/>
        <v>1.5</v>
      </c>
      <c r="I110" s="147">
        <f t="shared" si="65"/>
        <v>1.5</v>
      </c>
      <c r="J110" s="147">
        <f t="shared" si="65"/>
        <v>1.5</v>
      </c>
      <c r="K110" s="147">
        <f t="shared" si="65"/>
        <v>1.5</v>
      </c>
      <c r="L110" s="147">
        <f t="shared" si="65"/>
        <v>1.5</v>
      </c>
      <c r="M110" s="147">
        <f t="shared" si="65"/>
        <v>1.5</v>
      </c>
      <c r="N110" s="147">
        <f t="shared" si="65"/>
        <v>1.5</v>
      </c>
      <c r="O110" s="147">
        <f t="shared" si="65"/>
        <v>1.5</v>
      </c>
      <c r="P110" s="147">
        <f t="shared" si="65"/>
        <v>1.5</v>
      </c>
      <c r="Q110" s="147">
        <f t="shared" si="65"/>
        <v>1.5</v>
      </c>
      <c r="R110" s="69">
        <v>1.0</v>
      </c>
      <c r="S110" s="69" t="s">
        <v>164</v>
      </c>
      <c r="T110" s="69">
        <f>T109/1000</f>
        <v>0.05</v>
      </c>
    </row>
    <row r="111" ht="13.5" customHeight="1">
      <c r="C111" s="68" t="s">
        <v>165</v>
      </c>
      <c r="D111" s="146">
        <v>1.0</v>
      </c>
      <c r="E111" s="85"/>
      <c r="F111" s="147">
        <f t="shared" ref="F111:Q111" si="66">F109*$D$6</f>
        <v>1.5</v>
      </c>
      <c r="G111" s="147">
        <f t="shared" si="66"/>
        <v>1.5</v>
      </c>
      <c r="H111" s="147">
        <f t="shared" si="66"/>
        <v>1.5</v>
      </c>
      <c r="I111" s="147">
        <f t="shared" si="66"/>
        <v>1.5</v>
      </c>
      <c r="J111" s="147">
        <f t="shared" si="66"/>
        <v>1.5</v>
      </c>
      <c r="K111" s="147">
        <f t="shared" si="66"/>
        <v>1.5</v>
      </c>
      <c r="L111" s="147">
        <f t="shared" si="66"/>
        <v>1.5</v>
      </c>
      <c r="M111" s="147">
        <f t="shared" si="66"/>
        <v>1.5</v>
      </c>
      <c r="N111" s="147">
        <f t="shared" si="66"/>
        <v>1.5</v>
      </c>
      <c r="O111" s="147">
        <f t="shared" si="66"/>
        <v>1.5</v>
      </c>
      <c r="P111" s="147">
        <f t="shared" si="66"/>
        <v>1.5</v>
      </c>
      <c r="Q111" s="147">
        <f t="shared" si="66"/>
        <v>1.5</v>
      </c>
    </row>
    <row r="112" ht="13.5" customHeight="1">
      <c r="C112" s="68" t="s">
        <v>166</v>
      </c>
      <c r="D112" s="146">
        <v>2.0</v>
      </c>
      <c r="E112" s="85"/>
      <c r="F112" s="147">
        <f t="shared" ref="F112:Q112" si="67">F109*$D$7</f>
        <v>3</v>
      </c>
      <c r="G112" s="147">
        <f t="shared" si="67"/>
        <v>3</v>
      </c>
      <c r="H112" s="147">
        <f t="shared" si="67"/>
        <v>3</v>
      </c>
      <c r="I112" s="147">
        <f t="shared" si="67"/>
        <v>3</v>
      </c>
      <c r="J112" s="147">
        <f t="shared" si="67"/>
        <v>3</v>
      </c>
      <c r="K112" s="147">
        <f t="shared" si="67"/>
        <v>3</v>
      </c>
      <c r="L112" s="147">
        <f t="shared" si="67"/>
        <v>3</v>
      </c>
      <c r="M112" s="147">
        <f t="shared" si="67"/>
        <v>3</v>
      </c>
      <c r="N112" s="147">
        <f t="shared" si="67"/>
        <v>3</v>
      </c>
      <c r="O112" s="147">
        <f t="shared" si="67"/>
        <v>3</v>
      </c>
      <c r="P112" s="147">
        <f t="shared" si="67"/>
        <v>3</v>
      </c>
      <c r="Q112" s="147">
        <f t="shared" si="67"/>
        <v>3</v>
      </c>
      <c r="R112" s="69">
        <v>30.0</v>
      </c>
      <c r="S112" s="69" t="s">
        <v>164</v>
      </c>
      <c r="T112" s="69">
        <f>T110*R112</f>
        <v>1.5</v>
      </c>
    </row>
    <row r="113" ht="13.5" customHeight="1">
      <c r="C113" s="68" t="s">
        <v>167</v>
      </c>
      <c r="D113" s="146">
        <v>2.0</v>
      </c>
      <c r="E113" s="85"/>
      <c r="F113" s="148">
        <f t="shared" ref="F113:Q113" si="68">F109*$D$8</f>
        <v>3</v>
      </c>
      <c r="G113" s="148">
        <f t="shared" si="68"/>
        <v>3</v>
      </c>
      <c r="H113" s="148">
        <f t="shared" si="68"/>
        <v>3</v>
      </c>
      <c r="I113" s="148">
        <f t="shared" si="68"/>
        <v>3</v>
      </c>
      <c r="J113" s="148">
        <f t="shared" si="68"/>
        <v>3</v>
      </c>
      <c r="K113" s="148">
        <f t="shared" si="68"/>
        <v>3</v>
      </c>
      <c r="L113" s="148">
        <f t="shared" si="68"/>
        <v>3</v>
      </c>
      <c r="M113" s="148">
        <f t="shared" si="68"/>
        <v>3</v>
      </c>
      <c r="N113" s="148">
        <f t="shared" si="68"/>
        <v>3</v>
      </c>
      <c r="O113" s="148">
        <f t="shared" si="68"/>
        <v>3</v>
      </c>
      <c r="P113" s="148">
        <f t="shared" si="68"/>
        <v>3</v>
      </c>
      <c r="Q113" s="148">
        <f t="shared" si="68"/>
        <v>3</v>
      </c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C114" s="90" t="s">
        <v>168</v>
      </c>
      <c r="D114" s="90"/>
      <c r="E114" s="91"/>
      <c r="F114" s="149">
        <f t="shared" ref="F114:Q114" si="69">SUM(F109:F113)</f>
        <v>10.5</v>
      </c>
      <c r="G114" s="149">
        <f t="shared" si="69"/>
        <v>10.5</v>
      </c>
      <c r="H114" s="149">
        <f t="shared" si="69"/>
        <v>10.5</v>
      </c>
      <c r="I114" s="149">
        <f t="shared" si="69"/>
        <v>10.5</v>
      </c>
      <c r="J114" s="149">
        <f t="shared" si="69"/>
        <v>10.5</v>
      </c>
      <c r="K114" s="149">
        <f t="shared" si="69"/>
        <v>10.5</v>
      </c>
      <c r="L114" s="149">
        <f t="shared" si="69"/>
        <v>10.5</v>
      </c>
      <c r="M114" s="149">
        <f t="shared" si="69"/>
        <v>10.5</v>
      </c>
      <c r="N114" s="149">
        <f t="shared" si="69"/>
        <v>10.5</v>
      </c>
      <c r="O114" s="149">
        <f t="shared" si="69"/>
        <v>10.5</v>
      </c>
      <c r="P114" s="149">
        <f t="shared" si="69"/>
        <v>10.5</v>
      </c>
      <c r="Q114" s="149">
        <f t="shared" si="69"/>
        <v>10.5</v>
      </c>
      <c r="R114" s="23">
        <v>2000.0</v>
      </c>
      <c r="T114" s="150">
        <f>R114/R112</f>
        <v>66.66666667</v>
      </c>
    </row>
    <row r="115" ht="13.5" customHeight="1">
      <c r="C115" s="68"/>
      <c r="D115" s="68"/>
      <c r="E115" s="93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</row>
    <row r="116" ht="13.5" customHeight="1">
      <c r="C116" s="95" t="s">
        <v>169</v>
      </c>
      <c r="D116" s="95"/>
      <c r="E116" s="96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</row>
    <row r="117" ht="13.5" customHeight="1">
      <c r="C117" s="82" t="s">
        <v>170</v>
      </c>
      <c r="D117" s="98"/>
      <c r="E117" s="99"/>
      <c r="F117" s="151"/>
      <c r="G117" s="145"/>
      <c r="H117" s="145"/>
      <c r="I117" s="145"/>
      <c r="J117" s="151"/>
      <c r="K117" s="145"/>
      <c r="L117" s="145"/>
      <c r="M117" s="145"/>
      <c r="N117" s="151">
        <v>21.0</v>
      </c>
      <c r="O117" s="145">
        <f t="shared" ref="O117:Q117" si="70">N117</f>
        <v>21</v>
      </c>
      <c r="P117" s="145">
        <f t="shared" si="70"/>
        <v>21</v>
      </c>
      <c r="Q117" s="145">
        <f t="shared" si="70"/>
        <v>21</v>
      </c>
    </row>
    <row r="118" ht="13.5" customHeight="1">
      <c r="C118" s="90" t="s">
        <v>171</v>
      </c>
      <c r="D118" s="101"/>
      <c r="E118" s="91"/>
      <c r="F118" s="152"/>
      <c r="G118" s="152"/>
      <c r="H118" s="152"/>
      <c r="I118" s="152"/>
      <c r="J118" s="155"/>
      <c r="K118" s="152"/>
      <c r="L118" s="152"/>
      <c r="M118" s="152"/>
      <c r="N118" s="155">
        <v>10.5</v>
      </c>
      <c r="O118" s="152">
        <f t="shared" ref="O118:Q118" si="71">N118</f>
        <v>10.5</v>
      </c>
      <c r="P118" s="152">
        <f t="shared" si="71"/>
        <v>10.5</v>
      </c>
      <c r="Q118" s="152">
        <f t="shared" si="71"/>
        <v>10.5</v>
      </c>
    </row>
    <row r="119" ht="13.5" customHeight="1">
      <c r="C119" s="68"/>
      <c r="D119" s="100"/>
      <c r="E119" s="85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</row>
    <row r="120" ht="13.5" customHeight="1">
      <c r="C120" s="68" t="s">
        <v>172</v>
      </c>
      <c r="D120" s="100"/>
      <c r="E120" s="85"/>
      <c r="F120" s="153"/>
      <c r="G120" s="153"/>
      <c r="H120" s="153"/>
      <c r="I120" s="153"/>
      <c r="J120" s="153"/>
      <c r="K120" s="153"/>
      <c r="L120" s="153"/>
      <c r="M120" s="153"/>
      <c r="N120" s="153">
        <v>100.0</v>
      </c>
      <c r="O120" s="153">
        <v>200.0</v>
      </c>
      <c r="P120" s="153">
        <v>300.0</v>
      </c>
      <c r="Q120" s="153">
        <v>450.0</v>
      </c>
    </row>
    <row r="121" ht="24.0" customHeight="1">
      <c r="B121" s="79"/>
      <c r="C121" s="154" t="s">
        <v>188</v>
      </c>
      <c r="D121" s="104"/>
      <c r="E121" s="105"/>
      <c r="F121" s="106">
        <f t="shared" ref="F121:Q121" si="72">F118*F120</f>
        <v>0</v>
      </c>
      <c r="G121" s="106">
        <f t="shared" si="72"/>
        <v>0</v>
      </c>
      <c r="H121" s="106">
        <f t="shared" si="72"/>
        <v>0</v>
      </c>
      <c r="I121" s="106">
        <f t="shared" si="72"/>
        <v>0</v>
      </c>
      <c r="J121" s="106">
        <f t="shared" si="72"/>
        <v>0</v>
      </c>
      <c r="K121" s="106">
        <f t="shared" si="72"/>
        <v>0</v>
      </c>
      <c r="L121" s="106">
        <f t="shared" si="72"/>
        <v>0</v>
      </c>
      <c r="M121" s="106">
        <f t="shared" si="72"/>
        <v>0</v>
      </c>
      <c r="N121" s="106">
        <f t="shared" si="72"/>
        <v>1050</v>
      </c>
      <c r="O121" s="106">
        <f t="shared" si="72"/>
        <v>2100</v>
      </c>
      <c r="P121" s="106">
        <f t="shared" si="72"/>
        <v>3150</v>
      </c>
      <c r="Q121" s="106">
        <f t="shared" si="72"/>
        <v>4725</v>
      </c>
    </row>
    <row r="122" ht="13.5" customHeight="1"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</row>
    <row r="123" ht="24.0" customHeight="1">
      <c r="A123" s="66"/>
      <c r="B123" s="143" t="s">
        <v>34</v>
      </c>
      <c r="C123" s="143" t="s">
        <v>189</v>
      </c>
      <c r="D123" s="79"/>
      <c r="E123" s="80"/>
      <c r="F123" s="144">
        <v>1.0</v>
      </c>
      <c r="G123" s="144">
        <v>2.0</v>
      </c>
      <c r="H123" s="144">
        <v>3.0</v>
      </c>
      <c r="I123" s="144">
        <v>4.0</v>
      </c>
      <c r="J123" s="144">
        <v>5.0</v>
      </c>
      <c r="K123" s="144">
        <v>6.0</v>
      </c>
      <c r="L123" s="144">
        <v>7.0</v>
      </c>
      <c r="M123" s="144">
        <v>8.0</v>
      </c>
      <c r="N123" s="144">
        <v>9.0</v>
      </c>
      <c r="O123" s="144">
        <v>10.0</v>
      </c>
      <c r="P123" s="144">
        <v>11.0</v>
      </c>
      <c r="Q123" s="144">
        <v>12.0</v>
      </c>
      <c r="R123" s="66"/>
      <c r="S123" s="66"/>
      <c r="T123" s="66"/>
      <c r="U123" s="66"/>
      <c r="V123" s="66"/>
      <c r="W123" s="66"/>
      <c r="X123" s="66"/>
      <c r="Y123" s="66"/>
      <c r="Z123" s="66"/>
    </row>
    <row r="124" ht="13.5" customHeight="1">
      <c r="C124" s="82" t="s">
        <v>160</v>
      </c>
      <c r="D124" s="82"/>
      <c r="E124" s="99" t="s">
        <v>161</v>
      </c>
      <c r="F124" s="145">
        <f>T127</f>
        <v>1.5</v>
      </c>
      <c r="G124" s="145">
        <f t="shared" ref="G124:Q124" si="73">F124</f>
        <v>1.5</v>
      </c>
      <c r="H124" s="145">
        <f t="shared" si="73"/>
        <v>1.5</v>
      </c>
      <c r="I124" s="145">
        <f t="shared" si="73"/>
        <v>1.5</v>
      </c>
      <c r="J124" s="145">
        <f t="shared" si="73"/>
        <v>1.5</v>
      </c>
      <c r="K124" s="145">
        <f t="shared" si="73"/>
        <v>1.5</v>
      </c>
      <c r="L124" s="145">
        <f t="shared" si="73"/>
        <v>1.5</v>
      </c>
      <c r="M124" s="145">
        <f t="shared" si="73"/>
        <v>1.5</v>
      </c>
      <c r="N124" s="145">
        <f t="shared" si="73"/>
        <v>1.5</v>
      </c>
      <c r="O124" s="145">
        <f t="shared" si="73"/>
        <v>1.5</v>
      </c>
      <c r="P124" s="145">
        <f t="shared" si="73"/>
        <v>1.5</v>
      </c>
      <c r="Q124" s="145">
        <f t="shared" si="73"/>
        <v>1.5</v>
      </c>
      <c r="R124" s="69">
        <v>1.0</v>
      </c>
      <c r="S124" s="69" t="s">
        <v>162</v>
      </c>
      <c r="T124" s="69">
        <v>50.0</v>
      </c>
    </row>
    <row r="125" ht="13.5" customHeight="1">
      <c r="C125" s="68" t="s">
        <v>163</v>
      </c>
      <c r="D125" s="146">
        <v>1.0</v>
      </c>
      <c r="E125" s="85"/>
      <c r="F125" s="147">
        <f t="shared" ref="F125:Q125" si="74">F124*$D$5</f>
        <v>1.5</v>
      </c>
      <c r="G125" s="147">
        <f t="shared" si="74"/>
        <v>1.5</v>
      </c>
      <c r="H125" s="147">
        <f t="shared" si="74"/>
        <v>1.5</v>
      </c>
      <c r="I125" s="147">
        <f t="shared" si="74"/>
        <v>1.5</v>
      </c>
      <c r="J125" s="147">
        <f t="shared" si="74"/>
        <v>1.5</v>
      </c>
      <c r="K125" s="147">
        <f t="shared" si="74"/>
        <v>1.5</v>
      </c>
      <c r="L125" s="147">
        <f t="shared" si="74"/>
        <v>1.5</v>
      </c>
      <c r="M125" s="147">
        <f t="shared" si="74"/>
        <v>1.5</v>
      </c>
      <c r="N125" s="147">
        <f t="shared" si="74"/>
        <v>1.5</v>
      </c>
      <c r="O125" s="147">
        <f t="shared" si="74"/>
        <v>1.5</v>
      </c>
      <c r="P125" s="147">
        <f t="shared" si="74"/>
        <v>1.5</v>
      </c>
      <c r="Q125" s="147">
        <f t="shared" si="74"/>
        <v>1.5</v>
      </c>
      <c r="R125" s="69">
        <v>1.0</v>
      </c>
      <c r="S125" s="69" t="s">
        <v>164</v>
      </c>
      <c r="T125" s="69">
        <f>T124/1000</f>
        <v>0.05</v>
      </c>
    </row>
    <row r="126" ht="13.5" customHeight="1">
      <c r="C126" s="68" t="s">
        <v>165</v>
      </c>
      <c r="D126" s="146">
        <v>1.0</v>
      </c>
      <c r="E126" s="85"/>
      <c r="F126" s="147">
        <f t="shared" ref="F126:Q126" si="75">F124*$D$6</f>
        <v>1.5</v>
      </c>
      <c r="G126" s="147">
        <f t="shared" si="75"/>
        <v>1.5</v>
      </c>
      <c r="H126" s="147">
        <f t="shared" si="75"/>
        <v>1.5</v>
      </c>
      <c r="I126" s="147">
        <f t="shared" si="75"/>
        <v>1.5</v>
      </c>
      <c r="J126" s="147">
        <f t="shared" si="75"/>
        <v>1.5</v>
      </c>
      <c r="K126" s="147">
        <f t="shared" si="75"/>
        <v>1.5</v>
      </c>
      <c r="L126" s="147">
        <f t="shared" si="75"/>
        <v>1.5</v>
      </c>
      <c r="M126" s="147">
        <f t="shared" si="75"/>
        <v>1.5</v>
      </c>
      <c r="N126" s="147">
        <f t="shared" si="75"/>
        <v>1.5</v>
      </c>
      <c r="O126" s="147">
        <f t="shared" si="75"/>
        <v>1.5</v>
      </c>
      <c r="P126" s="147">
        <f t="shared" si="75"/>
        <v>1.5</v>
      </c>
      <c r="Q126" s="147">
        <f t="shared" si="75"/>
        <v>1.5</v>
      </c>
    </row>
    <row r="127" ht="13.5" customHeight="1">
      <c r="C127" s="68" t="s">
        <v>166</v>
      </c>
      <c r="D127" s="146">
        <v>2.0</v>
      </c>
      <c r="E127" s="85"/>
      <c r="F127" s="147">
        <f t="shared" ref="F127:Q127" si="76">F124*$D$7</f>
        <v>3</v>
      </c>
      <c r="G127" s="147">
        <f t="shared" si="76"/>
        <v>3</v>
      </c>
      <c r="H127" s="147">
        <f t="shared" si="76"/>
        <v>3</v>
      </c>
      <c r="I127" s="147">
        <f t="shared" si="76"/>
        <v>3</v>
      </c>
      <c r="J127" s="147">
        <f t="shared" si="76"/>
        <v>3</v>
      </c>
      <c r="K127" s="147">
        <f t="shared" si="76"/>
        <v>3</v>
      </c>
      <c r="L127" s="147">
        <f t="shared" si="76"/>
        <v>3</v>
      </c>
      <c r="M127" s="147">
        <f t="shared" si="76"/>
        <v>3</v>
      </c>
      <c r="N127" s="147">
        <f t="shared" si="76"/>
        <v>3</v>
      </c>
      <c r="O127" s="147">
        <f t="shared" si="76"/>
        <v>3</v>
      </c>
      <c r="P127" s="147">
        <f t="shared" si="76"/>
        <v>3</v>
      </c>
      <c r="Q127" s="147">
        <f t="shared" si="76"/>
        <v>3</v>
      </c>
      <c r="R127" s="69">
        <v>30.0</v>
      </c>
      <c r="S127" s="69" t="s">
        <v>164</v>
      </c>
      <c r="T127" s="69">
        <f>T125*R127</f>
        <v>1.5</v>
      </c>
    </row>
    <row r="128" ht="13.5" customHeight="1">
      <c r="C128" s="68" t="s">
        <v>167</v>
      </c>
      <c r="D128" s="146">
        <v>2.0</v>
      </c>
      <c r="E128" s="85"/>
      <c r="F128" s="148">
        <f t="shared" ref="F128:Q128" si="77">F124*$D$8</f>
        <v>3</v>
      </c>
      <c r="G128" s="148">
        <f t="shared" si="77"/>
        <v>3</v>
      </c>
      <c r="H128" s="148">
        <f t="shared" si="77"/>
        <v>3</v>
      </c>
      <c r="I128" s="148">
        <f t="shared" si="77"/>
        <v>3</v>
      </c>
      <c r="J128" s="148">
        <f t="shared" si="77"/>
        <v>3</v>
      </c>
      <c r="K128" s="148">
        <f t="shared" si="77"/>
        <v>3</v>
      </c>
      <c r="L128" s="148">
        <f t="shared" si="77"/>
        <v>3</v>
      </c>
      <c r="M128" s="148">
        <f t="shared" si="77"/>
        <v>3</v>
      </c>
      <c r="N128" s="148">
        <f t="shared" si="77"/>
        <v>3</v>
      </c>
      <c r="O128" s="148">
        <f t="shared" si="77"/>
        <v>3</v>
      </c>
      <c r="P128" s="148">
        <f t="shared" si="77"/>
        <v>3</v>
      </c>
      <c r="Q128" s="148">
        <f t="shared" si="77"/>
        <v>3</v>
      </c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C129" s="90" t="s">
        <v>168</v>
      </c>
      <c r="D129" s="90"/>
      <c r="E129" s="91"/>
      <c r="F129" s="149">
        <f t="shared" ref="F129:Q129" si="78">SUM(F124:F128)</f>
        <v>10.5</v>
      </c>
      <c r="G129" s="149">
        <f t="shared" si="78"/>
        <v>10.5</v>
      </c>
      <c r="H129" s="149">
        <f t="shared" si="78"/>
        <v>10.5</v>
      </c>
      <c r="I129" s="149">
        <f t="shared" si="78"/>
        <v>10.5</v>
      </c>
      <c r="J129" s="149">
        <f t="shared" si="78"/>
        <v>10.5</v>
      </c>
      <c r="K129" s="149">
        <f t="shared" si="78"/>
        <v>10.5</v>
      </c>
      <c r="L129" s="149">
        <f t="shared" si="78"/>
        <v>10.5</v>
      </c>
      <c r="M129" s="149">
        <f t="shared" si="78"/>
        <v>10.5</v>
      </c>
      <c r="N129" s="149">
        <f t="shared" si="78"/>
        <v>10.5</v>
      </c>
      <c r="O129" s="149">
        <f t="shared" si="78"/>
        <v>10.5</v>
      </c>
      <c r="P129" s="149">
        <f t="shared" si="78"/>
        <v>10.5</v>
      </c>
      <c r="Q129" s="149">
        <f t="shared" si="78"/>
        <v>10.5</v>
      </c>
      <c r="R129" s="23">
        <v>2000.0</v>
      </c>
      <c r="T129" s="150">
        <f>R129/R127</f>
        <v>66.66666667</v>
      </c>
    </row>
    <row r="130" ht="13.5" customHeight="1">
      <c r="C130" s="68"/>
      <c r="D130" s="68"/>
      <c r="E130" s="93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</row>
    <row r="131" ht="13.5" customHeight="1">
      <c r="C131" s="95" t="s">
        <v>169</v>
      </c>
      <c r="D131" s="95"/>
      <c r="E131" s="96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</row>
    <row r="132" ht="13.5" customHeight="1">
      <c r="C132" s="82" t="s">
        <v>170</v>
      </c>
      <c r="D132" s="98"/>
      <c r="E132" s="99"/>
      <c r="F132" s="151"/>
      <c r="G132" s="145"/>
      <c r="H132" s="145"/>
      <c r="I132" s="145"/>
      <c r="J132" s="151"/>
      <c r="K132" s="145"/>
      <c r="L132" s="145"/>
      <c r="M132" s="145"/>
      <c r="N132" s="157">
        <v>21.0</v>
      </c>
      <c r="O132" s="158">
        <f t="shared" ref="O132:Q132" si="79">N132</f>
        <v>21</v>
      </c>
      <c r="P132" s="158">
        <f t="shared" si="79"/>
        <v>21</v>
      </c>
      <c r="Q132" s="158">
        <f t="shared" si="79"/>
        <v>21</v>
      </c>
    </row>
    <row r="133" ht="13.5" customHeight="1">
      <c r="C133" s="90" t="s">
        <v>171</v>
      </c>
      <c r="D133" s="101"/>
      <c r="E133" s="91"/>
      <c r="F133" s="152"/>
      <c r="G133" s="152"/>
      <c r="H133" s="152"/>
      <c r="I133" s="152"/>
      <c r="J133" s="155"/>
      <c r="K133" s="152"/>
      <c r="L133" s="152"/>
      <c r="M133" s="152"/>
      <c r="N133" s="159">
        <v>10.5</v>
      </c>
      <c r="O133" s="160">
        <f t="shared" ref="O133:Q133" si="80">N133</f>
        <v>10.5</v>
      </c>
      <c r="P133" s="160">
        <f t="shared" si="80"/>
        <v>10.5</v>
      </c>
      <c r="Q133" s="160">
        <f t="shared" si="80"/>
        <v>10.5</v>
      </c>
    </row>
    <row r="134" ht="13.5" customHeight="1">
      <c r="C134" s="68"/>
      <c r="D134" s="100"/>
      <c r="E134" s="85"/>
      <c r="F134" s="147"/>
      <c r="G134" s="147"/>
      <c r="H134" s="147"/>
      <c r="I134" s="147"/>
      <c r="J134" s="147"/>
      <c r="K134" s="147"/>
      <c r="L134" s="147"/>
      <c r="M134" s="147"/>
      <c r="N134" s="161"/>
      <c r="O134" s="161"/>
      <c r="P134" s="161"/>
      <c r="Q134" s="161"/>
    </row>
    <row r="135" ht="13.5" customHeight="1">
      <c r="C135" s="68" t="s">
        <v>172</v>
      </c>
      <c r="D135" s="100"/>
      <c r="E135" s="85"/>
      <c r="F135" s="153"/>
      <c r="G135" s="153"/>
      <c r="H135" s="153"/>
      <c r="I135" s="153"/>
      <c r="J135" s="153"/>
      <c r="K135" s="153"/>
      <c r="L135" s="153"/>
      <c r="M135" s="153"/>
      <c r="N135" s="162">
        <v>100.0</v>
      </c>
      <c r="O135" s="162">
        <v>200.0</v>
      </c>
      <c r="P135" s="162">
        <v>300.0</v>
      </c>
      <c r="Q135" s="162">
        <v>450.0</v>
      </c>
    </row>
    <row r="136" ht="24.0" customHeight="1">
      <c r="B136" s="79"/>
      <c r="C136" s="154" t="s">
        <v>190</v>
      </c>
      <c r="D136" s="104"/>
      <c r="E136" s="105"/>
      <c r="F136" s="106">
        <f t="shared" ref="F136:Q136" si="81">F133*F135</f>
        <v>0</v>
      </c>
      <c r="G136" s="106">
        <f t="shared" si="81"/>
        <v>0</v>
      </c>
      <c r="H136" s="106">
        <f t="shared" si="81"/>
        <v>0</v>
      </c>
      <c r="I136" s="106">
        <f t="shared" si="81"/>
        <v>0</v>
      </c>
      <c r="J136" s="106">
        <f t="shared" si="81"/>
        <v>0</v>
      </c>
      <c r="K136" s="106">
        <f t="shared" si="81"/>
        <v>0</v>
      </c>
      <c r="L136" s="106">
        <f t="shared" si="81"/>
        <v>0</v>
      </c>
      <c r="M136" s="106">
        <f t="shared" si="81"/>
        <v>0</v>
      </c>
      <c r="N136" s="106">
        <f t="shared" si="81"/>
        <v>1050</v>
      </c>
      <c r="O136" s="106">
        <f t="shared" si="81"/>
        <v>2100</v>
      </c>
      <c r="P136" s="106">
        <f t="shared" si="81"/>
        <v>3150</v>
      </c>
      <c r="Q136" s="106">
        <f t="shared" si="81"/>
        <v>4725</v>
      </c>
    </row>
    <row r="137" ht="13.5" customHeight="1"/>
    <row r="138" ht="24.0" customHeight="1">
      <c r="A138" s="66"/>
      <c r="B138" s="143" t="s">
        <v>35</v>
      </c>
      <c r="C138" s="143" t="s">
        <v>191</v>
      </c>
      <c r="D138" s="79"/>
      <c r="E138" s="80"/>
      <c r="F138" s="144">
        <v>1.0</v>
      </c>
      <c r="G138" s="144">
        <v>2.0</v>
      </c>
      <c r="H138" s="144">
        <v>3.0</v>
      </c>
      <c r="I138" s="144">
        <v>4.0</v>
      </c>
      <c r="J138" s="144">
        <v>5.0</v>
      </c>
      <c r="K138" s="144">
        <v>6.0</v>
      </c>
      <c r="L138" s="144">
        <v>7.0</v>
      </c>
      <c r="M138" s="144">
        <v>8.0</v>
      </c>
      <c r="N138" s="144">
        <v>9.0</v>
      </c>
      <c r="O138" s="144">
        <v>10.0</v>
      </c>
      <c r="P138" s="144">
        <v>11.0</v>
      </c>
      <c r="Q138" s="144">
        <v>12.0</v>
      </c>
      <c r="R138" s="66"/>
      <c r="S138" s="66"/>
      <c r="T138" s="66"/>
      <c r="U138" s="66"/>
      <c r="V138" s="66"/>
      <c r="W138" s="66"/>
      <c r="X138" s="66"/>
      <c r="Y138" s="66"/>
      <c r="Z138" s="66"/>
    </row>
    <row r="139" ht="13.5" customHeight="1">
      <c r="C139" s="82" t="s">
        <v>160</v>
      </c>
      <c r="D139" s="82"/>
      <c r="E139" s="99" t="s">
        <v>161</v>
      </c>
      <c r="F139" s="145">
        <f>T142</f>
        <v>1.5</v>
      </c>
      <c r="G139" s="145">
        <f t="shared" ref="G139:Q139" si="82">F139</f>
        <v>1.5</v>
      </c>
      <c r="H139" s="145">
        <f t="shared" si="82"/>
        <v>1.5</v>
      </c>
      <c r="I139" s="145">
        <f t="shared" si="82"/>
        <v>1.5</v>
      </c>
      <c r="J139" s="145">
        <f t="shared" si="82"/>
        <v>1.5</v>
      </c>
      <c r="K139" s="145">
        <f t="shared" si="82"/>
        <v>1.5</v>
      </c>
      <c r="L139" s="145">
        <f t="shared" si="82"/>
        <v>1.5</v>
      </c>
      <c r="M139" s="145">
        <f t="shared" si="82"/>
        <v>1.5</v>
      </c>
      <c r="N139" s="145">
        <f t="shared" si="82"/>
        <v>1.5</v>
      </c>
      <c r="O139" s="145">
        <f t="shared" si="82"/>
        <v>1.5</v>
      </c>
      <c r="P139" s="145">
        <f t="shared" si="82"/>
        <v>1.5</v>
      </c>
      <c r="Q139" s="145">
        <f t="shared" si="82"/>
        <v>1.5</v>
      </c>
      <c r="R139" s="69">
        <v>1.0</v>
      </c>
      <c r="S139" s="69" t="s">
        <v>162</v>
      </c>
      <c r="T139" s="69">
        <v>50.0</v>
      </c>
    </row>
    <row r="140" ht="13.5" customHeight="1">
      <c r="C140" s="68" t="s">
        <v>163</v>
      </c>
      <c r="D140" s="146">
        <v>1.0</v>
      </c>
      <c r="E140" s="85"/>
      <c r="F140" s="147">
        <f t="shared" ref="F140:Q140" si="83">F139*$D$5</f>
        <v>1.5</v>
      </c>
      <c r="G140" s="147">
        <f t="shared" si="83"/>
        <v>1.5</v>
      </c>
      <c r="H140" s="147">
        <f t="shared" si="83"/>
        <v>1.5</v>
      </c>
      <c r="I140" s="147">
        <f t="shared" si="83"/>
        <v>1.5</v>
      </c>
      <c r="J140" s="147">
        <f t="shared" si="83"/>
        <v>1.5</v>
      </c>
      <c r="K140" s="147">
        <f t="shared" si="83"/>
        <v>1.5</v>
      </c>
      <c r="L140" s="147">
        <f t="shared" si="83"/>
        <v>1.5</v>
      </c>
      <c r="M140" s="147">
        <f t="shared" si="83"/>
        <v>1.5</v>
      </c>
      <c r="N140" s="147">
        <f t="shared" si="83"/>
        <v>1.5</v>
      </c>
      <c r="O140" s="147">
        <f t="shared" si="83"/>
        <v>1.5</v>
      </c>
      <c r="P140" s="147">
        <f t="shared" si="83"/>
        <v>1.5</v>
      </c>
      <c r="Q140" s="147">
        <f t="shared" si="83"/>
        <v>1.5</v>
      </c>
      <c r="R140" s="69">
        <v>1.0</v>
      </c>
      <c r="S140" s="69" t="s">
        <v>164</v>
      </c>
      <c r="T140" s="69">
        <f>T139/1000</f>
        <v>0.05</v>
      </c>
    </row>
    <row r="141" ht="13.5" customHeight="1">
      <c r="C141" s="68" t="s">
        <v>165</v>
      </c>
      <c r="D141" s="146">
        <v>1.0</v>
      </c>
      <c r="E141" s="85"/>
      <c r="F141" s="147">
        <f t="shared" ref="F141:Q141" si="84">F139*$D$6</f>
        <v>1.5</v>
      </c>
      <c r="G141" s="147">
        <f t="shared" si="84"/>
        <v>1.5</v>
      </c>
      <c r="H141" s="147">
        <f t="shared" si="84"/>
        <v>1.5</v>
      </c>
      <c r="I141" s="147">
        <f t="shared" si="84"/>
        <v>1.5</v>
      </c>
      <c r="J141" s="147">
        <f t="shared" si="84"/>
        <v>1.5</v>
      </c>
      <c r="K141" s="147">
        <f t="shared" si="84"/>
        <v>1.5</v>
      </c>
      <c r="L141" s="147">
        <f t="shared" si="84"/>
        <v>1.5</v>
      </c>
      <c r="M141" s="147">
        <f t="shared" si="84"/>
        <v>1.5</v>
      </c>
      <c r="N141" s="147">
        <f t="shared" si="84"/>
        <v>1.5</v>
      </c>
      <c r="O141" s="147">
        <f t="shared" si="84"/>
        <v>1.5</v>
      </c>
      <c r="P141" s="147">
        <f t="shared" si="84"/>
        <v>1.5</v>
      </c>
      <c r="Q141" s="147">
        <f t="shared" si="84"/>
        <v>1.5</v>
      </c>
    </row>
    <row r="142" ht="13.5" customHeight="1">
      <c r="C142" s="68" t="s">
        <v>166</v>
      </c>
      <c r="D142" s="146">
        <v>2.0</v>
      </c>
      <c r="E142" s="85"/>
      <c r="F142" s="147">
        <f t="shared" ref="F142:Q142" si="85">F139*$D$7</f>
        <v>3</v>
      </c>
      <c r="G142" s="147">
        <f t="shared" si="85"/>
        <v>3</v>
      </c>
      <c r="H142" s="147">
        <f t="shared" si="85"/>
        <v>3</v>
      </c>
      <c r="I142" s="147">
        <f t="shared" si="85"/>
        <v>3</v>
      </c>
      <c r="J142" s="147">
        <f t="shared" si="85"/>
        <v>3</v>
      </c>
      <c r="K142" s="147">
        <f t="shared" si="85"/>
        <v>3</v>
      </c>
      <c r="L142" s="147">
        <f t="shared" si="85"/>
        <v>3</v>
      </c>
      <c r="M142" s="147">
        <f t="shared" si="85"/>
        <v>3</v>
      </c>
      <c r="N142" s="147">
        <f t="shared" si="85"/>
        <v>3</v>
      </c>
      <c r="O142" s="147">
        <f t="shared" si="85"/>
        <v>3</v>
      </c>
      <c r="P142" s="147">
        <f t="shared" si="85"/>
        <v>3</v>
      </c>
      <c r="Q142" s="147">
        <f t="shared" si="85"/>
        <v>3</v>
      </c>
      <c r="R142" s="69">
        <v>30.0</v>
      </c>
      <c r="S142" s="69" t="s">
        <v>164</v>
      </c>
      <c r="T142" s="69">
        <f>T140*R142</f>
        <v>1.5</v>
      </c>
    </row>
    <row r="143" ht="13.5" customHeight="1">
      <c r="C143" s="68" t="s">
        <v>167</v>
      </c>
      <c r="D143" s="146">
        <v>2.0</v>
      </c>
      <c r="E143" s="85"/>
      <c r="F143" s="148">
        <f t="shared" ref="F143:Q143" si="86">F139*$D$8</f>
        <v>3</v>
      </c>
      <c r="G143" s="148">
        <f t="shared" si="86"/>
        <v>3</v>
      </c>
      <c r="H143" s="148">
        <f t="shared" si="86"/>
        <v>3</v>
      </c>
      <c r="I143" s="148">
        <f t="shared" si="86"/>
        <v>3</v>
      </c>
      <c r="J143" s="148">
        <f t="shared" si="86"/>
        <v>3</v>
      </c>
      <c r="K143" s="148">
        <f t="shared" si="86"/>
        <v>3</v>
      </c>
      <c r="L143" s="148">
        <f t="shared" si="86"/>
        <v>3</v>
      </c>
      <c r="M143" s="148">
        <f t="shared" si="86"/>
        <v>3</v>
      </c>
      <c r="N143" s="148">
        <f t="shared" si="86"/>
        <v>3</v>
      </c>
      <c r="O143" s="148">
        <f t="shared" si="86"/>
        <v>3</v>
      </c>
      <c r="P143" s="148">
        <f t="shared" si="86"/>
        <v>3</v>
      </c>
      <c r="Q143" s="148">
        <f t="shared" si="86"/>
        <v>3</v>
      </c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C144" s="90" t="s">
        <v>168</v>
      </c>
      <c r="D144" s="90"/>
      <c r="E144" s="91"/>
      <c r="F144" s="149">
        <f t="shared" ref="F144:Q144" si="87">SUM(F139:F143)</f>
        <v>10.5</v>
      </c>
      <c r="G144" s="149">
        <f t="shared" si="87"/>
        <v>10.5</v>
      </c>
      <c r="H144" s="149">
        <f t="shared" si="87"/>
        <v>10.5</v>
      </c>
      <c r="I144" s="149">
        <f t="shared" si="87"/>
        <v>10.5</v>
      </c>
      <c r="J144" s="149">
        <f t="shared" si="87"/>
        <v>10.5</v>
      </c>
      <c r="K144" s="149">
        <f t="shared" si="87"/>
        <v>10.5</v>
      </c>
      <c r="L144" s="149">
        <f t="shared" si="87"/>
        <v>10.5</v>
      </c>
      <c r="M144" s="149">
        <f t="shared" si="87"/>
        <v>10.5</v>
      </c>
      <c r="N144" s="149">
        <f t="shared" si="87"/>
        <v>10.5</v>
      </c>
      <c r="O144" s="149">
        <f t="shared" si="87"/>
        <v>10.5</v>
      </c>
      <c r="P144" s="149">
        <f t="shared" si="87"/>
        <v>10.5</v>
      </c>
      <c r="Q144" s="149">
        <f t="shared" si="87"/>
        <v>10.5</v>
      </c>
      <c r="R144" s="23">
        <v>2000.0</v>
      </c>
      <c r="T144" s="150">
        <f>R144/R142</f>
        <v>66.66666667</v>
      </c>
    </row>
    <row r="145" ht="13.5" customHeight="1">
      <c r="C145" s="68"/>
      <c r="D145" s="68"/>
      <c r="E145" s="93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</row>
    <row r="146" ht="13.5" customHeight="1">
      <c r="C146" s="95" t="s">
        <v>169</v>
      </c>
      <c r="D146" s="95"/>
      <c r="E146" s="96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</row>
    <row r="147" ht="13.5" customHeight="1">
      <c r="C147" s="82" t="s">
        <v>170</v>
      </c>
      <c r="D147" s="98"/>
      <c r="E147" s="99"/>
      <c r="F147" s="151"/>
      <c r="G147" s="145"/>
      <c r="H147" s="145"/>
      <c r="I147" s="145"/>
      <c r="J147" s="151"/>
      <c r="K147" s="145"/>
      <c r="L147" s="145"/>
      <c r="M147" s="145"/>
      <c r="N147" s="157">
        <v>21.0</v>
      </c>
      <c r="O147" s="158">
        <f t="shared" ref="O147:Q147" si="88">N147</f>
        <v>21</v>
      </c>
      <c r="P147" s="158">
        <f t="shared" si="88"/>
        <v>21</v>
      </c>
      <c r="Q147" s="158">
        <f t="shared" si="88"/>
        <v>21</v>
      </c>
    </row>
    <row r="148" ht="13.5" customHeight="1">
      <c r="C148" s="90" t="s">
        <v>171</v>
      </c>
      <c r="D148" s="101"/>
      <c r="E148" s="91"/>
      <c r="F148" s="152"/>
      <c r="G148" s="152"/>
      <c r="H148" s="152"/>
      <c r="I148" s="152"/>
      <c r="J148" s="155"/>
      <c r="K148" s="152"/>
      <c r="L148" s="152"/>
      <c r="M148" s="152"/>
      <c r="N148" s="159">
        <v>10.5</v>
      </c>
      <c r="O148" s="160">
        <f t="shared" ref="O148:Q148" si="89">N148</f>
        <v>10.5</v>
      </c>
      <c r="P148" s="160">
        <f t="shared" si="89"/>
        <v>10.5</v>
      </c>
      <c r="Q148" s="160">
        <f t="shared" si="89"/>
        <v>10.5</v>
      </c>
    </row>
    <row r="149" ht="13.5" customHeight="1">
      <c r="C149" s="68"/>
      <c r="D149" s="100"/>
      <c r="E149" s="85"/>
      <c r="F149" s="147"/>
      <c r="G149" s="147"/>
      <c r="H149" s="147"/>
      <c r="I149" s="147"/>
      <c r="J149" s="147"/>
      <c r="K149" s="147"/>
      <c r="L149" s="147"/>
      <c r="M149" s="147"/>
      <c r="N149" s="161"/>
      <c r="O149" s="161"/>
      <c r="P149" s="161"/>
      <c r="Q149" s="161"/>
    </row>
    <row r="150" ht="13.5" customHeight="1">
      <c r="C150" s="68" t="s">
        <v>172</v>
      </c>
      <c r="D150" s="100"/>
      <c r="E150" s="85"/>
      <c r="F150" s="153"/>
      <c r="G150" s="153"/>
      <c r="H150" s="153"/>
      <c r="I150" s="153"/>
      <c r="J150" s="153"/>
      <c r="K150" s="153"/>
      <c r="L150" s="153"/>
      <c r="M150" s="153"/>
      <c r="N150" s="162">
        <v>100.0</v>
      </c>
      <c r="O150" s="162">
        <v>200.0</v>
      </c>
      <c r="P150" s="162">
        <v>300.0</v>
      </c>
      <c r="Q150" s="162">
        <v>450.0</v>
      </c>
    </row>
    <row r="151" ht="24.0" customHeight="1">
      <c r="B151" s="79"/>
      <c r="C151" s="154" t="s">
        <v>192</v>
      </c>
      <c r="D151" s="104"/>
      <c r="E151" s="105"/>
      <c r="F151" s="106">
        <f t="shared" ref="F151:Q151" si="90">F148*F150</f>
        <v>0</v>
      </c>
      <c r="G151" s="106">
        <f t="shared" si="90"/>
        <v>0</v>
      </c>
      <c r="H151" s="106">
        <f t="shared" si="90"/>
        <v>0</v>
      </c>
      <c r="I151" s="106">
        <f t="shared" si="90"/>
        <v>0</v>
      </c>
      <c r="J151" s="106">
        <f t="shared" si="90"/>
        <v>0</v>
      </c>
      <c r="K151" s="106">
        <f t="shared" si="90"/>
        <v>0</v>
      </c>
      <c r="L151" s="106">
        <f t="shared" si="90"/>
        <v>0</v>
      </c>
      <c r="M151" s="106">
        <f t="shared" si="90"/>
        <v>0</v>
      </c>
      <c r="N151" s="106">
        <f t="shared" si="90"/>
        <v>1050</v>
      </c>
      <c r="O151" s="106">
        <f t="shared" si="90"/>
        <v>2100</v>
      </c>
      <c r="P151" s="106">
        <f t="shared" si="90"/>
        <v>3150</v>
      </c>
      <c r="Q151" s="106">
        <f t="shared" si="90"/>
        <v>4725</v>
      </c>
    </row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2022-06-29T07:15:45Z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0x0101006D849EA8A22E334AB41A05B792BCD49F</vt:lpwstr>
  </property>
  <property fmtid="{D5CDD505-2E9C-101B-9397-08002B2CF9AE}" pid="3" name="TemplafyTenantId">
    <vt:lpwstr>ccreal</vt:lpwstr>
  </property>
  <property fmtid="{D5CDD505-2E9C-101B-9397-08002B2CF9AE}" pid="4" name="TemplafyTemplateId">
    <vt:lpwstr>637897775176076705</vt:lpwstr>
  </property>
  <property fmtid="{D5CDD505-2E9C-101B-9397-08002B2CF9AE}" pid="5" name="TemplafyUserProfileId">
    <vt:lpwstr>637883866332663198</vt:lpwstr>
  </property>
  <property fmtid="{D5CDD505-2E9C-101B-9397-08002B2CF9AE}" pid="6" name="TemplafyFromBlank">
    <vt:bool>true</vt:bool>
  </property>
  <property fmtid="{D5CDD505-2E9C-101B-9397-08002B2CF9AE}" pid="7" name="MediaServiceImageTags">
    <vt:lpwstr/>
  </property>
</Properties>
</file>